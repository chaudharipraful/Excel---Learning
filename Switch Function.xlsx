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Switch Function\"/>
    </mc:Choice>
  </mc:AlternateContent>
  <xr:revisionPtr revIDLastSave="0" documentId="8_{4CB6C14C-033F-4619-A34D-AA36BEA8E7DB}" xr6:coauthVersionLast="47" xr6:coauthVersionMax="47" xr10:uidLastSave="{00000000-0000-0000-0000-000000000000}"/>
  <bookViews>
    <workbookView xWindow="-110" yWindow="-110" windowWidth="19420" windowHeight="10420" xr2:uid="{3DD64DC4-F8A0-4609-9AB6-AA1588EAF3FB}"/>
  </bookViews>
  <sheets>
    <sheet name="Switch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 a="1"/>
  <c r="F31" i="1" s="1"/>
  <c r="E31" i="1" a="1"/>
  <c r="E31" i="1" s="1"/>
  <c r="F30" i="1" a="1"/>
  <c r="F30" i="1" s="1"/>
  <c r="E30" i="1" a="1"/>
  <c r="E30" i="1" s="1"/>
  <c r="F29" i="1" a="1"/>
  <c r="F29" i="1" s="1"/>
  <c r="E29" i="1" a="1"/>
  <c r="E29" i="1" s="1"/>
  <c r="F28" i="1" a="1"/>
  <c r="F28" i="1" s="1"/>
  <c r="E28" i="1" a="1"/>
  <c r="E28" i="1" s="1"/>
  <c r="F27" i="1" a="1"/>
  <c r="F27" i="1" s="1"/>
  <c r="E27" i="1" a="1"/>
  <c r="E27" i="1" s="1"/>
  <c r="F26" i="1" a="1"/>
  <c r="F26" i="1" s="1"/>
  <c r="E26" i="1" a="1"/>
  <c r="E26" i="1" s="1"/>
  <c r="F25" i="1" a="1"/>
  <c r="F25" i="1" s="1"/>
  <c r="E25" i="1" a="1"/>
  <c r="E25" i="1" s="1"/>
  <c r="F24" i="1" a="1"/>
  <c r="F24" i="1" s="1"/>
  <c r="E24" i="1" a="1"/>
  <c r="E24" i="1" s="1"/>
  <c r="F23" i="1" a="1"/>
  <c r="F23" i="1" s="1"/>
  <c r="E23" i="1" a="1"/>
  <c r="E23" i="1" s="1"/>
  <c r="F22" i="1" a="1"/>
  <c r="F22" i="1" s="1"/>
  <c r="E22" i="1" a="1"/>
  <c r="E22" i="1" s="1"/>
  <c r="F21" i="1" a="1"/>
  <c r="F21" i="1" s="1"/>
  <c r="E21" i="1" a="1"/>
  <c r="E21" i="1" s="1"/>
  <c r="F20" i="1" a="1"/>
  <c r="F20" i="1" s="1"/>
  <c r="E20" i="1" a="1"/>
  <c r="E20" i="1" s="1"/>
  <c r="F19" i="1" a="1"/>
  <c r="F19" i="1" s="1"/>
  <c r="E19" i="1" a="1"/>
  <c r="E19" i="1" s="1"/>
  <c r="F18" i="1" a="1"/>
  <c r="F18" i="1" s="1"/>
  <c r="E18" i="1" a="1"/>
  <c r="E18" i="1" s="1"/>
  <c r="F17" i="1" a="1"/>
  <c r="F17" i="1" s="1"/>
  <c r="E17" i="1" a="1"/>
  <c r="E17" i="1" s="1"/>
  <c r="F16" i="1" a="1"/>
  <c r="F16" i="1" s="1"/>
  <c r="E16" i="1" a="1"/>
  <c r="E16" i="1" s="1"/>
  <c r="F15" i="1" a="1"/>
  <c r="F15" i="1" s="1"/>
  <c r="E15" i="1" a="1"/>
  <c r="E15" i="1" s="1"/>
  <c r="F14" i="1" a="1"/>
  <c r="F14" i="1" s="1"/>
  <c r="E14" i="1" a="1"/>
  <c r="E14" i="1" s="1"/>
  <c r="F13" i="1" a="1"/>
  <c r="F13" i="1" s="1"/>
  <c r="E13" i="1" a="1"/>
  <c r="E13" i="1" s="1"/>
  <c r="F12" i="1" a="1"/>
  <c r="F12" i="1" s="1"/>
  <c r="E12" i="1" a="1"/>
  <c r="E12" i="1" s="1"/>
  <c r="F11" i="1" a="1"/>
  <c r="F11" i="1" s="1"/>
  <c r="E11" i="1" a="1"/>
  <c r="E11" i="1" s="1"/>
  <c r="F10" i="1" a="1"/>
  <c r="F10" i="1" s="1"/>
  <c r="E10" i="1" a="1"/>
  <c r="E10" i="1" s="1"/>
  <c r="F9" i="1" a="1"/>
  <c r="F9" i="1" s="1"/>
  <c r="E9" i="1" a="1"/>
  <c r="E9" i="1" s="1"/>
  <c r="F8" i="1" a="1"/>
  <c r="F8" i="1" s="1"/>
  <c r="E8" i="1" a="1"/>
  <c r="E8" i="1" s="1"/>
  <c r="F7" i="1" a="1"/>
  <c r="F7" i="1" s="1"/>
  <c r="E7" i="1" a="1"/>
  <c r="E7" i="1" s="1"/>
  <c r="F6" i="1" a="1"/>
  <c r="F6" i="1" s="1"/>
  <c r="E6" i="1" a="1"/>
  <c r="E6" i="1" s="1"/>
  <c r="F5" i="1" a="1"/>
  <c r="F5" i="1" s="1"/>
  <c r="E5" i="1" a="1"/>
  <c r="E5" i="1" s="1"/>
  <c r="F4" i="1" a="1"/>
  <c r="F4" i="1" s="1"/>
  <c r="E4" i="1" a="1"/>
  <c r="E4" i="1" s="1"/>
  <c r="F3" i="1" a="1"/>
  <c r="F3" i="1" s="1"/>
  <c r="E3" i="1" a="1"/>
  <c r="E3" i="1" s="1"/>
  <c r="F2" i="1" a="1"/>
  <c r="F2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<sst xmlns="http://schemas.openxmlformats.org/spreadsheetml/2006/main" count="96" uniqueCount="71">
  <si>
    <t>Invoice ID</t>
  </si>
  <si>
    <t>Client Name</t>
  </si>
  <si>
    <t>Days Overdue</t>
  </si>
  <si>
    <t>Payment Method</t>
  </si>
  <si>
    <t>Type</t>
  </si>
  <si>
    <t>Status</t>
  </si>
  <si>
    <t>INV001</t>
  </si>
  <si>
    <t>Alice Wong</t>
  </si>
  <si>
    <t>Credit Card</t>
  </si>
  <si>
    <t>INV002</t>
  </si>
  <si>
    <t>Bob Smith</t>
  </si>
  <si>
    <t>Bank Transfer</t>
  </si>
  <si>
    <t>INV003</t>
  </si>
  <si>
    <t>Carol Adams</t>
  </si>
  <si>
    <t>Cash</t>
  </si>
  <si>
    <t>INV004</t>
  </si>
  <si>
    <t>David Evans</t>
  </si>
  <si>
    <t>PayPal</t>
  </si>
  <si>
    <t>INV005</t>
  </si>
  <si>
    <t>Emily Johnson</t>
  </si>
  <si>
    <t>INV006</t>
  </si>
  <si>
    <t>Frank White</t>
  </si>
  <si>
    <t>INV007</t>
  </si>
  <si>
    <t>Grace Miller</t>
  </si>
  <si>
    <t>Check</t>
  </si>
  <si>
    <t>INV008</t>
  </si>
  <si>
    <t>Henry Taylor</t>
  </si>
  <si>
    <t>INV009</t>
  </si>
  <si>
    <t>Isabel Clark</t>
  </si>
  <si>
    <t>INV010</t>
  </si>
  <si>
    <t>Jack Lewis</t>
  </si>
  <si>
    <t>INV011</t>
  </si>
  <si>
    <t>Laura Sanchez</t>
  </si>
  <si>
    <t>INV012</t>
  </si>
  <si>
    <t>George Brown</t>
  </si>
  <si>
    <t>INV013</t>
  </si>
  <si>
    <t>Hannah Kim</t>
  </si>
  <si>
    <t>INV014</t>
  </si>
  <si>
    <t>Ivan Thomas</t>
  </si>
  <si>
    <t>INV015</t>
  </si>
  <si>
    <t>Jennifer Lee</t>
  </si>
  <si>
    <t>INV016</t>
  </si>
  <si>
    <t>Kevin Nelson</t>
  </si>
  <si>
    <t>INV017</t>
  </si>
  <si>
    <t>Linda Cooper</t>
  </si>
  <si>
    <t>INV018</t>
  </si>
  <si>
    <t>Mark Phillips</t>
  </si>
  <si>
    <t>INV019</t>
  </si>
  <si>
    <t>Natalie Hill</t>
  </si>
  <si>
    <t>INV020</t>
  </si>
  <si>
    <t>Oscar Diaz</t>
  </si>
  <si>
    <t>INV021</t>
  </si>
  <si>
    <t>Patricia Gonzalez</t>
  </si>
  <si>
    <t>INV022</t>
  </si>
  <si>
    <t>Quincy James</t>
  </si>
  <si>
    <t>INV023</t>
  </si>
  <si>
    <t>Rachel Lopez</t>
  </si>
  <si>
    <t>INV024</t>
  </si>
  <si>
    <t>Samuel Morgan</t>
  </si>
  <si>
    <t>INV025</t>
  </si>
  <si>
    <t>Tina Russell</t>
  </si>
  <si>
    <t>INV026</t>
  </si>
  <si>
    <t>Victor Scott</t>
  </si>
  <si>
    <t>INV027</t>
  </si>
  <si>
    <t>Wendy Foster</t>
  </si>
  <si>
    <t>INV028</t>
  </si>
  <si>
    <t>Xavier Johnson</t>
  </si>
  <si>
    <t>INV029</t>
  </si>
  <si>
    <t>Yolanda Perry</t>
  </si>
  <si>
    <t>INV030</t>
  </si>
  <si>
    <t>Zachary 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</si>
</sst>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9E6F-DB95-42C9-9EB7-AC9C3F0656E0}">
  <dimension ref="A1:F31"/>
  <sheetViews>
    <sheetView tabSelected="1" workbookViewId="0">
      <selection activeCell="C4" sqref="C4"/>
    </sheetView>
  </sheetViews>
  <sheetFormatPr defaultRowHeight="14.5" x14ac:dyDescent="0.35"/>
  <cols>
    <col min="1" max="1" width="9" bestFit="1" customWidth="1"/>
    <col min="2" max="2" width="15" bestFit="1" customWidth="1"/>
    <col min="3" max="3" width="12.453125" bestFit="1" customWidth="1"/>
    <col min="4" max="4" width="15.54296875" bestFit="1" customWidth="1"/>
    <col min="5" max="5" width="8.90625" bestFit="1" customWidth="1"/>
    <col min="6" max="6" width="18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5</v>
      </c>
      <c r="D2" t="s">
        <v>8</v>
      </c>
      <c r="E2" t="str" cm="1">
        <f t="array" ref="E2">_xlfn.SWITCH(D2,"Credit Card","Electronic","Bank Transfer","Electronic","Cash","Other","PayPal","Electronic","Check","Other")</f>
        <v>Electronic</v>
      </c>
      <c r="F2" t="str" cm="1">
        <f t="array" ref="F2">_xlfn.SWITCH(TRUE,C2=0,"PAID",C2&lt;=10,"OVERDUE",C2&lt;=30,"SIRIOUSLY OVERDUE","CRITICAL")</f>
        <v>OVERDUE</v>
      </c>
    </row>
    <row r="3" spans="1:6" x14ac:dyDescent="0.35">
      <c r="A3" t="s">
        <v>9</v>
      </c>
      <c r="B3" t="s">
        <v>10</v>
      </c>
      <c r="C3">
        <v>15</v>
      </c>
      <c r="D3" t="s">
        <v>11</v>
      </c>
      <c r="E3" t="str" cm="1">
        <f t="array" ref="E3">_xlfn.SWITCH(D3,"Credit Card","Electronic","Bank Transfer","Electronic","Cash","Other","PayPal","Electronic","Check","Other")</f>
        <v>Electronic</v>
      </c>
      <c r="F3" t="str" cm="1">
        <f t="array" ref="F3">_xlfn.SWITCH(TRUE,C3=0,"PAID",C3&lt;=10,"OVERDUE",C3&lt;=30,"SIRIOUSLY OVERDUE","CRITICAL")</f>
        <v>SIRIOUSLY OVERDUE</v>
      </c>
    </row>
    <row r="4" spans="1:6" x14ac:dyDescent="0.35">
      <c r="A4" t="s">
        <v>12</v>
      </c>
      <c r="B4" t="s">
        <v>13</v>
      </c>
      <c r="C4">
        <v>30</v>
      </c>
      <c r="D4" t="s">
        <v>14</v>
      </c>
      <c r="E4" t="str" cm="1">
        <f t="array" ref="E4">_xlfn.SWITCH(D4,"Credit Card","Electronic","Bank Transfer","Electronic","Cash","Other","PayPal","Electronic","Check","Other")</f>
        <v>Other</v>
      </c>
      <c r="F4" t="str" cm="1">
        <f t="array" ref="F4">_xlfn.SWITCH(TRUE,C4=0,"PAID",C4&lt;=10,"OVERDUE",C4&lt;=30,"SIRIOUSLY OVERDUE","CRITICAL")</f>
        <v>SIRIOUSLY OVERDUE</v>
      </c>
    </row>
    <row r="5" spans="1:6" x14ac:dyDescent="0.35">
      <c r="A5" t="s">
        <v>15</v>
      </c>
      <c r="B5" t="s">
        <v>16</v>
      </c>
      <c r="C5">
        <v>45</v>
      </c>
      <c r="D5" t="s">
        <v>17</v>
      </c>
      <c r="E5" t="str" cm="1">
        <f t="array" ref="E5">_xlfn.SWITCH(D5,"Credit Card","Electronic","Bank Transfer","Electronic","Cash","Other","PayPal","Electronic","Check","Other")</f>
        <v>Electronic</v>
      </c>
      <c r="F5" t="str" cm="1">
        <f t="array" ref="F5">_xlfn.SWITCH(TRUE,C5=0,"PAID",C5&lt;=10,"OVERDUE",C5&lt;=30,"SIRIOUSLY OVERDUE","CRITICAL")</f>
        <v>CRITICAL</v>
      </c>
    </row>
    <row r="6" spans="1:6" x14ac:dyDescent="0.35">
      <c r="A6" t="s">
        <v>18</v>
      </c>
      <c r="B6" t="s">
        <v>19</v>
      </c>
      <c r="C6">
        <v>60</v>
      </c>
      <c r="D6" t="s">
        <v>11</v>
      </c>
      <c r="E6" t="str" cm="1">
        <f t="array" ref="E6">_xlfn.SWITCH(D6,"Credit Card","Electronic","Bank Transfer","Electronic","Cash","Other","PayPal","Electronic","Check","Other")</f>
        <v>Electronic</v>
      </c>
      <c r="F6" t="str" cm="1">
        <f t="array" ref="F6">_xlfn.SWITCH(TRUE,C6=0,"PAID",C6&lt;=10,"OVERDUE",C6&lt;=30,"SIRIOUSLY OVERDUE","CRITICAL")</f>
        <v>CRITICAL</v>
      </c>
    </row>
    <row r="7" spans="1:6" x14ac:dyDescent="0.35">
      <c r="A7" t="s">
        <v>20</v>
      </c>
      <c r="B7" t="s">
        <v>21</v>
      </c>
      <c r="C7">
        <v>10</v>
      </c>
      <c r="D7" t="s">
        <v>8</v>
      </c>
      <c r="E7" t="str" cm="1">
        <f t="array" ref="E7">_xlfn.SWITCH(D7,"Credit Card","Electronic","Bank Transfer","Electronic","Cash","Other","PayPal","Electronic","Check","Other")</f>
        <v>Electronic</v>
      </c>
      <c r="F7" t="str" cm="1">
        <f t="array" ref="F7">_xlfn.SWITCH(TRUE,C7=0,"PAID",C7&lt;=10,"OVERDUE",C7&lt;=30,"SIRIOUSLY OVERDUE","CRITICAL")</f>
        <v>OVERDUE</v>
      </c>
    </row>
    <row r="8" spans="1:6" x14ac:dyDescent="0.35">
      <c r="A8" t="s">
        <v>22</v>
      </c>
      <c r="B8" t="s">
        <v>23</v>
      </c>
      <c r="C8">
        <v>20</v>
      </c>
      <c r="D8" t="s">
        <v>24</v>
      </c>
      <c r="E8" t="str" cm="1">
        <f t="array" ref="E8">_xlfn.SWITCH(D8,"Credit Card","Electronic","Bank Transfer","Electronic","Cash","Other","PayPal","Electronic","Check","Other")</f>
        <v>Other</v>
      </c>
      <c r="F8" t="str" cm="1">
        <f t="array" ref="F8">_xlfn.SWITCH(TRUE,C8=0,"PAID",C8&lt;=10,"OVERDUE",C8&lt;=30,"SIRIOUSLY OVERDUE","CRITICAL")</f>
        <v>SIRIOUSLY OVERDUE</v>
      </c>
    </row>
    <row r="9" spans="1:6" x14ac:dyDescent="0.35">
      <c r="A9" t="s">
        <v>25</v>
      </c>
      <c r="B9" t="s">
        <v>26</v>
      </c>
      <c r="C9">
        <v>0</v>
      </c>
      <c r="D9" t="s">
        <v>17</v>
      </c>
      <c r="E9" t="str" cm="1">
        <f t="array" ref="E9">_xlfn.SWITCH(D9,"Credit Card","Electronic","Bank Transfer","Electronic","Cash","Other","PayPal","Electronic","Check","Other")</f>
        <v>Electronic</v>
      </c>
      <c r="F9" t="str" cm="1">
        <f t="array" ref="F9">_xlfn.SWITCH(TRUE,C9=0,"PAID",C9&lt;=10,"OVERDUE",C9&lt;=30,"SIRIOUSLY OVERDUE","CRITICAL")</f>
        <v>PAID</v>
      </c>
    </row>
    <row r="10" spans="1:6" x14ac:dyDescent="0.35">
      <c r="A10" t="s">
        <v>27</v>
      </c>
      <c r="B10" t="s">
        <v>28</v>
      </c>
      <c r="C10">
        <v>25</v>
      </c>
      <c r="D10" t="s">
        <v>14</v>
      </c>
      <c r="E10" t="str" cm="1">
        <f t="array" ref="E10">_xlfn.SWITCH(D10,"Credit Card","Electronic","Bank Transfer","Electronic","Cash","Other","PayPal","Electronic","Check","Other")</f>
        <v>Other</v>
      </c>
      <c r="F10" t="str" cm="1">
        <f t="array" ref="F10">_xlfn.SWITCH(TRUE,C10=0,"PAID",C10&lt;=10,"OVERDUE",C10&lt;=30,"SIRIOUSLY OVERDUE","CRITICAL")</f>
        <v>SIRIOUSLY OVERDUE</v>
      </c>
    </row>
    <row r="11" spans="1:6" x14ac:dyDescent="0.35">
      <c r="A11" t="s">
        <v>29</v>
      </c>
      <c r="B11" t="s">
        <v>30</v>
      </c>
      <c r="C11">
        <v>50</v>
      </c>
      <c r="D11" t="s">
        <v>8</v>
      </c>
      <c r="E11" t="str" cm="1">
        <f t="array" ref="E11">_xlfn.SWITCH(D11,"Credit Card","Electronic","Bank Transfer","Electronic","Cash","Other","PayPal","Electronic","Check","Other")</f>
        <v>Electronic</v>
      </c>
      <c r="F11" t="str" cm="1">
        <f t="array" ref="F11">_xlfn.SWITCH(TRUE,C11=0,"PAID",C11&lt;=10,"OVERDUE",C11&lt;=30,"SIRIOUSLY OVERDUE","CRITICAL")</f>
        <v>CRITICAL</v>
      </c>
    </row>
    <row r="12" spans="1:6" x14ac:dyDescent="0.35">
      <c r="A12" t="s">
        <v>31</v>
      </c>
      <c r="B12" t="s">
        <v>32</v>
      </c>
      <c r="C12">
        <v>0</v>
      </c>
      <c r="D12" t="s">
        <v>24</v>
      </c>
      <c r="E12" t="str" cm="1">
        <f t="array" ref="E12">_xlfn.SWITCH(D12,"Credit Card","Electronic","Bank Transfer","Electronic","Cash","Other","PayPal","Electronic","Check","Other")</f>
        <v>Other</v>
      </c>
      <c r="F12" t="str" cm="1">
        <f t="array" ref="F12">_xlfn.SWITCH(TRUE,C12=0,"PAID",C12&lt;=10,"OVERDUE",C12&lt;=30,"SIRIOUSLY OVERDUE","CRITICAL")</f>
        <v>PAID</v>
      </c>
    </row>
    <row r="13" spans="1:6" x14ac:dyDescent="0.35">
      <c r="A13" t="s">
        <v>33</v>
      </c>
      <c r="B13" t="s">
        <v>34</v>
      </c>
      <c r="C13">
        <v>35</v>
      </c>
      <c r="D13" t="s">
        <v>11</v>
      </c>
      <c r="E13" t="str" cm="1">
        <f t="array" ref="E13">_xlfn.SWITCH(D13,"Credit Card","Electronic","Bank Transfer","Electronic","Cash","Other","PayPal","Electronic","Check","Other")</f>
        <v>Electronic</v>
      </c>
      <c r="F13" t="str" cm="1">
        <f t="array" ref="F13">_xlfn.SWITCH(TRUE,C13=0,"PAID",C13&lt;=10,"OVERDUE",C13&lt;=30,"SIRIOUSLY OVERDUE","CRITICAL")</f>
        <v>CRITICAL</v>
      </c>
    </row>
    <row r="14" spans="1:6" x14ac:dyDescent="0.35">
      <c r="A14" t="s">
        <v>35</v>
      </c>
      <c r="B14" t="s">
        <v>36</v>
      </c>
      <c r="C14">
        <v>65</v>
      </c>
      <c r="D14" t="s">
        <v>14</v>
      </c>
      <c r="E14" t="str" cm="1">
        <f t="array" ref="E14">_xlfn.SWITCH(D14,"Credit Card","Electronic","Bank Transfer","Electronic","Cash","Other","PayPal","Electronic","Check","Other")</f>
        <v>Other</v>
      </c>
      <c r="F14" t="str" cm="1">
        <f t="array" ref="F14">_xlfn.SWITCH(TRUE,C14=0,"PAID",C14&lt;=10,"OVERDUE",C14&lt;=30,"SIRIOUSLY OVERDUE","CRITICAL")</f>
        <v>CRITICAL</v>
      </c>
    </row>
    <row r="15" spans="1:6" x14ac:dyDescent="0.35">
      <c r="A15" t="s">
        <v>37</v>
      </c>
      <c r="B15" t="s">
        <v>38</v>
      </c>
      <c r="C15">
        <v>12</v>
      </c>
      <c r="D15" t="s">
        <v>17</v>
      </c>
      <c r="E15" t="str" cm="1">
        <f t="array" ref="E15">_xlfn.SWITCH(D15,"Credit Card","Electronic","Bank Transfer","Electronic","Cash","Other","PayPal","Electronic","Check","Other")</f>
        <v>Electronic</v>
      </c>
      <c r="F15" t="str" cm="1">
        <f t="array" ref="F15">_xlfn.SWITCH(TRUE,C15=0,"PAID",C15&lt;=10,"OVERDUE",C15&lt;=30,"SIRIOUSLY OVERDUE","CRITICAL")</f>
        <v>SIRIOUSLY OVERDUE</v>
      </c>
    </row>
    <row r="16" spans="1:6" x14ac:dyDescent="0.35">
      <c r="A16" t="s">
        <v>39</v>
      </c>
      <c r="B16" t="s">
        <v>40</v>
      </c>
      <c r="C16">
        <v>55</v>
      </c>
      <c r="D16" t="s">
        <v>8</v>
      </c>
      <c r="E16" t="str" cm="1">
        <f t="array" ref="E16">_xlfn.SWITCH(D16,"Credit Card","Electronic","Bank Transfer","Electronic","Cash","Other","PayPal","Electronic","Check","Other")</f>
        <v>Electronic</v>
      </c>
      <c r="F16" t="str" cm="1">
        <f t="array" ref="F16">_xlfn.SWITCH(TRUE,C16=0,"PAID",C16&lt;=10,"OVERDUE",C16&lt;=30,"SIRIOUSLY OVERDUE","CRITICAL")</f>
        <v>CRITICAL</v>
      </c>
    </row>
    <row r="17" spans="1:6" x14ac:dyDescent="0.35">
      <c r="A17" t="s">
        <v>41</v>
      </c>
      <c r="B17" t="s">
        <v>42</v>
      </c>
      <c r="C17">
        <v>5</v>
      </c>
      <c r="D17" t="s">
        <v>14</v>
      </c>
      <c r="E17" t="str" cm="1">
        <f t="array" ref="E17">_xlfn.SWITCH(D17,"Credit Card","Electronic","Bank Transfer","Electronic","Cash","Other","PayPal","Electronic","Check","Other")</f>
        <v>Other</v>
      </c>
      <c r="F17" t="str" cm="1">
        <f t="array" ref="F17">_xlfn.SWITCH(TRUE,C17=0,"PAID",C17&lt;=10,"OVERDUE",C17&lt;=30,"SIRIOUSLY OVERDUE","CRITICAL")</f>
        <v>OVERDUE</v>
      </c>
    </row>
    <row r="18" spans="1:6" x14ac:dyDescent="0.35">
      <c r="A18" t="s">
        <v>43</v>
      </c>
      <c r="B18" t="s">
        <v>44</v>
      </c>
      <c r="C18">
        <v>18</v>
      </c>
      <c r="D18" t="s">
        <v>11</v>
      </c>
      <c r="E18" t="str" cm="1">
        <f t="array" ref="E18">_xlfn.SWITCH(D18,"Credit Card","Electronic","Bank Transfer","Electronic","Cash","Other","PayPal","Electronic","Check","Other")</f>
        <v>Electronic</v>
      </c>
      <c r="F18" t="str" cm="1">
        <f t="array" ref="F18">_xlfn.SWITCH(TRUE,C18=0,"PAID",C18&lt;=10,"OVERDUE",C18&lt;=30,"SIRIOUSLY OVERDUE","CRITICAL")</f>
        <v>SIRIOUSLY OVERDUE</v>
      </c>
    </row>
    <row r="19" spans="1:6" x14ac:dyDescent="0.35">
      <c r="A19" t="s">
        <v>45</v>
      </c>
      <c r="B19" t="s">
        <v>46</v>
      </c>
      <c r="C19">
        <v>0</v>
      </c>
      <c r="D19" t="s">
        <v>24</v>
      </c>
      <c r="E19" t="str" cm="1">
        <f t="array" ref="E19">_xlfn.SWITCH(D19,"Credit Card","Electronic","Bank Transfer","Electronic","Cash","Other","PayPal","Electronic","Check","Other")</f>
        <v>Other</v>
      </c>
      <c r="F19" t="str" cm="1">
        <f t="array" ref="F19">_xlfn.SWITCH(TRUE,C19=0,"PAID",C19&lt;=10,"OVERDUE",C19&lt;=30,"SIRIOUSLY OVERDUE","CRITICAL")</f>
        <v>PAID</v>
      </c>
    </row>
    <row r="20" spans="1:6" x14ac:dyDescent="0.35">
      <c r="A20" t="s">
        <v>47</v>
      </c>
      <c r="B20" t="s">
        <v>48</v>
      </c>
      <c r="C20">
        <v>8</v>
      </c>
      <c r="D20" t="s">
        <v>8</v>
      </c>
      <c r="E20" t="str" cm="1">
        <f t="array" ref="E20">_xlfn.SWITCH(D20,"Credit Card","Electronic","Bank Transfer","Electronic","Cash","Other","PayPal","Electronic","Check","Other")</f>
        <v>Electronic</v>
      </c>
      <c r="F20" t="str" cm="1">
        <f t="array" ref="F20">_xlfn.SWITCH(TRUE,C20=0,"PAID",C20&lt;=10,"OVERDUE",C20&lt;=30,"SIRIOUSLY OVERDUE","CRITICAL")</f>
        <v>OVERDUE</v>
      </c>
    </row>
    <row r="21" spans="1:6" x14ac:dyDescent="0.35">
      <c r="A21" t="s">
        <v>49</v>
      </c>
      <c r="B21" t="s">
        <v>50</v>
      </c>
      <c r="C21">
        <v>45</v>
      </c>
      <c r="D21" t="s">
        <v>14</v>
      </c>
      <c r="E21" t="str" cm="1">
        <f t="array" ref="E21">_xlfn.SWITCH(D21,"Credit Card","Electronic","Bank Transfer","Electronic","Cash","Other","PayPal","Electronic","Check","Other")</f>
        <v>Other</v>
      </c>
      <c r="F21" t="str" cm="1">
        <f t="array" ref="F21">_xlfn.SWITCH(TRUE,C21=0,"PAID",C21&lt;=10,"OVERDUE",C21&lt;=30,"SIRIOUSLY OVERDUE","CRITICAL")</f>
        <v>CRITICAL</v>
      </c>
    </row>
    <row r="22" spans="1:6" x14ac:dyDescent="0.35">
      <c r="A22" t="s">
        <v>51</v>
      </c>
      <c r="B22" t="s">
        <v>52</v>
      </c>
      <c r="C22">
        <v>3</v>
      </c>
      <c r="D22" t="s">
        <v>17</v>
      </c>
      <c r="E22" t="str" cm="1">
        <f t="array" ref="E22">_xlfn.SWITCH(D22,"Credit Card","Electronic","Bank Transfer","Electronic","Cash","Other","PayPal","Electronic","Check","Other")</f>
        <v>Electronic</v>
      </c>
      <c r="F22" t="str" cm="1">
        <f t="array" ref="F22">_xlfn.SWITCH(TRUE,C22=0,"PAID",C22&lt;=10,"OVERDUE",C22&lt;=30,"SIRIOUSLY OVERDUE","CRITICAL")</f>
        <v>OVERDUE</v>
      </c>
    </row>
    <row r="23" spans="1:6" x14ac:dyDescent="0.35">
      <c r="A23" t="s">
        <v>53</v>
      </c>
      <c r="B23" t="s">
        <v>54</v>
      </c>
      <c r="C23">
        <v>70</v>
      </c>
      <c r="D23" t="s">
        <v>11</v>
      </c>
      <c r="E23" t="str" cm="1">
        <f t="array" ref="E23">_xlfn.SWITCH(D23,"Credit Card","Electronic","Bank Transfer","Electronic","Cash","Other","PayPal","Electronic","Check","Other")</f>
        <v>Electronic</v>
      </c>
      <c r="F23" t="str" cm="1">
        <f t="array" ref="F23">_xlfn.SWITCH(TRUE,C23=0,"PAID",C23&lt;=10,"OVERDUE",C23&lt;=30,"SIRIOUSLY OVERDUE","CRITICAL")</f>
        <v>CRITICAL</v>
      </c>
    </row>
    <row r="24" spans="1:6" x14ac:dyDescent="0.35">
      <c r="A24" t="s">
        <v>55</v>
      </c>
      <c r="B24" t="s">
        <v>56</v>
      </c>
      <c r="C24">
        <v>28</v>
      </c>
      <c r="D24" t="s">
        <v>24</v>
      </c>
      <c r="E24" t="str" cm="1">
        <f t="array" ref="E24">_xlfn.SWITCH(D24,"Credit Card","Electronic","Bank Transfer","Electronic","Cash","Other","PayPal","Electronic","Check","Other")</f>
        <v>Other</v>
      </c>
      <c r="F24" t="str" cm="1">
        <f t="array" ref="F24">_xlfn.SWITCH(TRUE,C24=0,"PAID",C24&lt;=10,"OVERDUE",C24&lt;=30,"SIRIOUSLY OVERDUE","CRITICAL")</f>
        <v>SIRIOUSLY OVERDUE</v>
      </c>
    </row>
    <row r="25" spans="1:6" x14ac:dyDescent="0.35">
      <c r="A25" t="s">
        <v>57</v>
      </c>
      <c r="B25" t="s">
        <v>58</v>
      </c>
      <c r="C25">
        <v>60</v>
      </c>
      <c r="D25" t="s">
        <v>17</v>
      </c>
      <c r="E25" t="str" cm="1">
        <f t="array" ref="E25">_xlfn.SWITCH(D25,"Credit Card","Electronic","Bank Transfer","Electronic","Cash","Other","PayPal","Electronic","Check","Other")</f>
        <v>Electronic</v>
      </c>
      <c r="F25" t="str" cm="1">
        <f t="array" ref="F25">_xlfn.SWITCH(TRUE,C25=0,"PAID",C25&lt;=10,"OVERDUE",C25&lt;=30,"SIRIOUSLY OVERDUE","CRITICAL")</f>
        <v>CRITICAL</v>
      </c>
    </row>
    <row r="26" spans="1:6" x14ac:dyDescent="0.35">
      <c r="A26" t="s">
        <v>59</v>
      </c>
      <c r="B26" t="s">
        <v>60</v>
      </c>
      <c r="C26">
        <v>23</v>
      </c>
      <c r="D26" t="s">
        <v>8</v>
      </c>
      <c r="E26" t="str" cm="1">
        <f t="array" ref="E26">_xlfn.SWITCH(D26,"Credit Card","Electronic","Bank Transfer","Electronic","Cash","Other","PayPal","Electronic","Check","Other")</f>
        <v>Electronic</v>
      </c>
      <c r="F26" t="str" cm="1">
        <f t="array" ref="F26">_xlfn.SWITCH(TRUE,C26=0,"PAID",C26&lt;=10,"OVERDUE",C26&lt;=30,"SIRIOUSLY OVERDUE","CRITICAL")</f>
        <v>SIRIOUSLY OVERDUE</v>
      </c>
    </row>
    <row r="27" spans="1:6" x14ac:dyDescent="0.35">
      <c r="A27" t="s">
        <v>61</v>
      </c>
      <c r="B27" t="s">
        <v>62</v>
      </c>
      <c r="C27">
        <v>55</v>
      </c>
      <c r="D27" t="s">
        <v>14</v>
      </c>
      <c r="E27" t="str" cm="1">
        <f t="array" ref="E27">_xlfn.SWITCH(D27,"Credit Card","Electronic","Bank Transfer","Electronic","Cash","Other","PayPal","Electronic","Check","Other")</f>
        <v>Other</v>
      </c>
      <c r="F27" t="str" cm="1">
        <f t="array" ref="F27">_xlfn.SWITCH(TRUE,C27=0,"PAID",C27&lt;=10,"OVERDUE",C27&lt;=30,"SIRIOUSLY OVERDUE","CRITICAL")</f>
        <v>CRITICAL</v>
      </c>
    </row>
    <row r="28" spans="1:6" x14ac:dyDescent="0.35">
      <c r="A28" t="s">
        <v>63</v>
      </c>
      <c r="B28" t="s">
        <v>64</v>
      </c>
      <c r="C28">
        <v>15</v>
      </c>
      <c r="D28" t="s">
        <v>11</v>
      </c>
      <c r="E28" t="str" cm="1">
        <f t="array" ref="E28">_xlfn.SWITCH(D28,"Credit Card","Electronic","Bank Transfer","Electronic","Cash","Other","PayPal","Electronic","Check","Other")</f>
        <v>Electronic</v>
      </c>
      <c r="F28" t="str" cm="1">
        <f t="array" ref="F28">_xlfn.SWITCH(TRUE,C28=0,"PAID",C28&lt;=10,"OVERDUE",C28&lt;=30,"SIRIOUSLY OVERDUE","CRITICAL")</f>
        <v>SIRIOUSLY OVERDUE</v>
      </c>
    </row>
    <row r="29" spans="1:6" x14ac:dyDescent="0.35">
      <c r="A29" t="s">
        <v>65</v>
      </c>
      <c r="B29" t="s">
        <v>66</v>
      </c>
      <c r="C29">
        <v>40</v>
      </c>
      <c r="D29" t="s">
        <v>17</v>
      </c>
      <c r="E29" t="str" cm="1">
        <f t="array" ref="E29">_xlfn.SWITCH(D29,"Credit Card","Electronic","Bank Transfer","Electronic","Cash","Other","PayPal","Electronic","Check","Other")</f>
        <v>Electronic</v>
      </c>
      <c r="F29" t="str" cm="1">
        <f t="array" ref="F29">_xlfn.SWITCH(TRUE,C29=0,"PAID",C29&lt;=10,"OVERDUE",C29&lt;=30,"SIRIOUSLY OVERDUE","CRITICAL")</f>
        <v>CRITICAL</v>
      </c>
    </row>
    <row r="30" spans="1:6" x14ac:dyDescent="0.35">
      <c r="A30" t="s">
        <v>67</v>
      </c>
      <c r="B30" t="s">
        <v>68</v>
      </c>
      <c r="C30">
        <v>33</v>
      </c>
      <c r="D30" t="s">
        <v>24</v>
      </c>
      <c r="E30" t="str" cm="1">
        <f t="array" ref="E30">_xlfn.SWITCH(D30,"Credit Card","Electronic","Bank Transfer","Electronic","Cash","Other","PayPal","Electronic","Check","Other")</f>
        <v>Other</v>
      </c>
      <c r="F30" t="str" cm="1">
        <f t="array" ref="F30">_xlfn.SWITCH(TRUE,C30=0,"PAID",C30&lt;=10,"OVERDUE",C30&lt;=30,"SIRIOUSLY OVERDUE","CRITICAL")</f>
        <v>CRITICAL</v>
      </c>
    </row>
    <row r="31" spans="1:6" x14ac:dyDescent="0.35">
      <c r="A31" t="s">
        <v>69</v>
      </c>
      <c r="B31" t="s">
        <v>70</v>
      </c>
      <c r="C31">
        <v>50</v>
      </c>
      <c r="D31" t="s">
        <v>8</v>
      </c>
      <c r="E31" t="str" cm="1">
        <f t="array" ref="E31">_xlfn.SWITCH(D31,"Credit Card","Electronic","Bank Transfer","Electronic","Cash","Other","PayPal","Electronic","Check","Other")</f>
        <v>Electronic</v>
      </c>
      <c r="F31" t="str" cm="1">
        <f t="array" ref="F31">_xlfn.SWITCH(TRUE,C31=0,"PAID",C31&lt;=10,"OVERDUE",C31&lt;=30,"SIRIOUSLY OVERDUE","CRITICAL")</f>
        <v>CRITICAL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Switch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2026-05-16T13:01:29Z</dcterms:created>
  <dcterms:modified xsi:type="dcterms:W3CDTF">2026-05-16T13:03:02Z</dcterms:modified>
</cp:coreProperties>
</file>