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Praful Chaudhari\Downloads\"/>
    </mc:Choice>
  </mc:AlternateContent>
  <xr:revisionPtr revIDLastSave="0" documentId="13_ncr:1_{55A7F5E3-D757-4832-B3B6-583AB61FDEC2}" xr6:coauthVersionLast="47" xr6:coauthVersionMax="47" xr10:uidLastSave="{00000000-0000-0000-0000-000000000000}"/>
  <bookViews>
    <workbookView xWindow="-110" yWindow="-110" windowWidth="19420" windowHeight="10420" tabRatio="421" firstSheet="5" activeTab="6" xr2:uid="{00000000-000D-0000-FFFF-FFFF00000000}"/>
  </bookViews>
  <sheets>
    <sheet name="Employees" sheetId="4" r:id="rId1"/>
    <sheet name="Clothing Inventory" sheetId="17" r:id="rId2"/>
    <sheet name="Department Orders" sheetId="8" r:id="rId3"/>
    <sheet name="Products" sheetId="2" r:id="rId4"/>
    <sheet name="Duplicates" sheetId="18" r:id="rId5"/>
    <sheet name="Orders List" sheetId="19" r:id="rId6"/>
    <sheet name="DGET - Customer" sheetId="20" r:id="rId7"/>
    <sheet name="Customers" sheetId="3" r:id="rId8"/>
    <sheet name="Purchase Request" sheetId="21" r:id="rId9"/>
    <sheet name="Orders" sheetId="6" r:id="rId10"/>
    <sheet name="Pivot_Source" sheetId="10" r:id="rId11"/>
    <sheet name="ServiceRequests" sheetId="11" r:id="rId12"/>
    <sheet name="North" sheetId="22" r:id="rId13"/>
    <sheet name="South" sheetId="23" r:id="rId14"/>
    <sheet name="West" sheetId="24" r:id="rId15"/>
    <sheet name="All Regions" sheetId="25" r:id="rId16"/>
    <sheet name="Marketing" sheetId="26" r:id="rId17"/>
    <sheet name="IT" sheetId="27" r:id="rId18"/>
    <sheet name="HR" sheetId="28" r:id="rId19"/>
    <sheet name="All Departments" sheetId="29" r:id="rId20"/>
    <sheet name="_Lists" sheetId="12" state="hidden" r:id="rId21"/>
  </sheets>
  <externalReferences>
    <externalReference r:id="rId22"/>
  </externalReferences>
  <definedNames>
    <definedName name="_xlnm._FilterDatabase" localSheetId="2" hidden="1">'Department Orders'!$A$1:$F$183</definedName>
    <definedName name="_xlnm._FilterDatabase" localSheetId="4" hidden="1">Duplicates!$A$1:$H$200</definedName>
    <definedName name="_xlnm._FilterDatabase" localSheetId="0" hidden="1">Employees!$A$1:$J$81</definedName>
    <definedName name="AssignedTo">[1]_Lists!$A$22:$A$90</definedName>
    <definedName name="ReqStatus">[1]_Lists!$A$15:$A$19</definedName>
    <definedName name="RequestType">[1]_Lists!$A$2:$A$7</definedName>
    <definedName name="Severity">[1]_Lists!$A$10:$A$12</definedName>
    <definedName name="Slicer_Category">#N/A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0" l="1" a="1"/>
  <c r="C3" i="20" s="1"/>
  <c r="L3" i="19"/>
  <c r="K3" i="19"/>
  <c r="K8" i="19"/>
  <c r="J3" i="19"/>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D123" i="2"/>
  <c r="E123" i="2"/>
  <c r="F123" i="2"/>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2" i="8"/>
  <c r="E184" i="8"/>
  <c r="E171" i="8"/>
  <c r="E94" i="8"/>
  <c r="E185" i="8" s="1"/>
  <c r="H96" i="8"/>
  <c r="H97" i="8"/>
  <c r="H2" i="8"/>
  <c r="H172" i="8"/>
  <c r="H173" i="8"/>
  <c r="H3" i="8"/>
  <c r="H174" i="8"/>
  <c r="H4" i="8"/>
  <c r="H5" i="8"/>
  <c r="H175" i="8"/>
  <c r="H6" i="8"/>
  <c r="H176" i="8"/>
  <c r="H98" i="8"/>
  <c r="H177" i="8"/>
  <c r="H7" i="8"/>
  <c r="H99" i="8"/>
  <c r="H100" i="8"/>
  <c r="H178" i="8"/>
  <c r="H8" i="8"/>
  <c r="H179" i="8"/>
  <c r="H180" i="8"/>
  <c r="H101" i="8"/>
  <c r="H9" i="8"/>
  <c r="H10" i="8"/>
  <c r="H11" i="8"/>
  <c r="H181" i="8"/>
  <c r="H182" i="8"/>
  <c r="H102" i="8"/>
  <c r="H183" i="8"/>
  <c r="H103" i="8"/>
  <c r="H12" i="8"/>
  <c r="H104" i="8"/>
  <c r="H105" i="8"/>
  <c r="H13" i="8"/>
  <c r="H106" i="8"/>
  <c r="H107" i="8"/>
  <c r="H108" i="8"/>
  <c r="H109" i="8"/>
  <c r="H14" i="8"/>
  <c r="H15" i="8"/>
  <c r="H110" i="8"/>
  <c r="H111" i="8"/>
  <c r="H16" i="8"/>
  <c r="H112" i="8"/>
  <c r="H113" i="8"/>
  <c r="H17" i="8"/>
  <c r="H18" i="8"/>
  <c r="H19" i="8"/>
  <c r="H114" i="8"/>
  <c r="H115" i="8"/>
  <c r="H20" i="8"/>
  <c r="H21" i="8"/>
  <c r="H22" i="8"/>
  <c r="H23" i="8"/>
  <c r="H24" i="8"/>
  <c r="H116" i="8"/>
  <c r="H117" i="8"/>
  <c r="H25" i="8"/>
  <c r="H118" i="8"/>
  <c r="H119" i="8"/>
  <c r="H26" i="8"/>
  <c r="H27" i="8"/>
  <c r="H28" i="8"/>
  <c r="H120" i="8"/>
  <c r="H121" i="8"/>
  <c r="H29" i="8"/>
  <c r="H30" i="8"/>
  <c r="H31" i="8"/>
  <c r="H32" i="8"/>
  <c r="H33" i="8"/>
  <c r="H122" i="8"/>
  <c r="H123" i="8"/>
  <c r="H124" i="8"/>
  <c r="H125" i="8"/>
  <c r="H34" i="8"/>
  <c r="H126" i="8"/>
  <c r="H35" i="8"/>
  <c r="H36" i="8"/>
  <c r="H37" i="8"/>
  <c r="H38" i="8"/>
  <c r="H127" i="8"/>
  <c r="H39" i="8"/>
  <c r="H40" i="8"/>
  <c r="H41" i="8"/>
  <c r="H42" i="8"/>
  <c r="H43" i="8"/>
  <c r="H44" i="8"/>
  <c r="H128" i="8"/>
  <c r="H45" i="8"/>
  <c r="H129" i="8"/>
  <c r="H46" i="8"/>
  <c r="H47" i="8"/>
  <c r="H48" i="8"/>
  <c r="H130" i="8"/>
  <c r="H131" i="8"/>
  <c r="H49" i="8"/>
  <c r="H50" i="8"/>
  <c r="H132" i="8"/>
  <c r="H133" i="8"/>
  <c r="H51" i="8"/>
  <c r="H52" i="8"/>
  <c r="H53" i="8"/>
  <c r="H54" i="8"/>
  <c r="H55" i="8"/>
  <c r="H134" i="8"/>
  <c r="H135" i="8"/>
  <c r="H56" i="8"/>
  <c r="H136" i="8"/>
  <c r="H57" i="8"/>
  <c r="H137" i="8"/>
  <c r="H138" i="8"/>
  <c r="H139" i="8"/>
  <c r="H140" i="8"/>
  <c r="H58" i="8"/>
  <c r="H59" i="8"/>
  <c r="H141" i="8"/>
  <c r="H60" i="8"/>
  <c r="H61" i="8"/>
  <c r="H142" i="8"/>
  <c r="H62" i="8"/>
  <c r="H63" i="8"/>
  <c r="H64" i="8"/>
  <c r="H143" i="8"/>
  <c r="H144" i="8"/>
  <c r="H65" i="8"/>
  <c r="H145" i="8"/>
  <c r="H146" i="8"/>
  <c r="H147" i="8"/>
  <c r="H148" i="8"/>
  <c r="H66" i="8"/>
  <c r="H67" i="8"/>
  <c r="H68" i="8"/>
  <c r="H69" i="8"/>
  <c r="H70" i="8"/>
  <c r="H149" i="8"/>
  <c r="H71" i="8"/>
  <c r="H150" i="8"/>
  <c r="H151" i="8"/>
  <c r="H72" i="8"/>
  <c r="H152" i="8"/>
  <c r="H153" i="8"/>
  <c r="H73" i="8"/>
  <c r="H74" i="8"/>
  <c r="H75" i="8"/>
  <c r="H76" i="8"/>
  <c r="H154" i="8"/>
  <c r="H77" i="8"/>
  <c r="H78" i="8"/>
  <c r="H79" i="8"/>
  <c r="H80" i="8"/>
  <c r="H155" i="8"/>
  <c r="H156" i="8"/>
  <c r="H81" i="8"/>
  <c r="H82" i="8"/>
  <c r="H157" i="8"/>
  <c r="H83" i="8"/>
  <c r="H158" i="8"/>
  <c r="H159" i="8"/>
  <c r="H160" i="8"/>
  <c r="H84" i="8"/>
  <c r="H85" i="8"/>
  <c r="H161" i="8"/>
  <c r="H86" i="8"/>
  <c r="H162" i="8"/>
  <c r="H163" i="8"/>
  <c r="H87" i="8"/>
  <c r="H164" i="8"/>
  <c r="H165" i="8"/>
  <c r="H166" i="8"/>
  <c r="H167" i="8"/>
  <c r="H88" i="8"/>
  <c r="H89" i="8"/>
  <c r="H90" i="8"/>
  <c r="H168" i="8"/>
  <c r="H91" i="8"/>
  <c r="H92" i="8"/>
  <c r="H93" i="8"/>
  <c r="H169" i="8"/>
  <c r="H170" i="8"/>
  <c r="H95" i="8"/>
  <c r="G141" i="8"/>
  <c r="G96" i="8"/>
  <c r="G29" i="8"/>
  <c r="G30" i="8"/>
  <c r="G52" i="8"/>
  <c r="G31" i="8"/>
  <c r="G97" i="8"/>
  <c r="G2" i="8"/>
  <c r="G155" i="8"/>
  <c r="G70" i="8"/>
  <c r="G60" i="8"/>
  <c r="G156" i="8"/>
  <c r="G32" i="8"/>
  <c r="G81" i="8"/>
  <c r="G128" i="8"/>
  <c r="G82" i="8"/>
  <c r="G23" i="8"/>
  <c r="G45" i="8"/>
  <c r="G172" i="8"/>
  <c r="G33" i="8"/>
  <c r="G173" i="8"/>
  <c r="G53" i="8"/>
  <c r="G149" i="8"/>
  <c r="G103" i="8"/>
  <c r="G3" i="8"/>
  <c r="G12" i="8"/>
  <c r="G24" i="8"/>
  <c r="G165" i="8"/>
  <c r="G17" i="8"/>
  <c r="G174" i="8"/>
  <c r="G116" i="8"/>
  <c r="G54" i="8"/>
  <c r="G157" i="8"/>
  <c r="G4" i="8"/>
  <c r="G166" i="8"/>
  <c r="G147" i="8"/>
  <c r="G167" i="8"/>
  <c r="G117" i="8"/>
  <c r="G55" i="8"/>
  <c r="G71" i="8"/>
  <c r="G104" i="8"/>
  <c r="G88" i="8"/>
  <c r="G105" i="8"/>
  <c r="G150" i="8"/>
  <c r="G122" i="8"/>
  <c r="G13" i="8"/>
  <c r="G129" i="8"/>
  <c r="G123" i="8"/>
  <c r="G5" i="8"/>
  <c r="G83" i="8"/>
  <c r="G175" i="8"/>
  <c r="G151" i="8"/>
  <c r="G61" i="8"/>
  <c r="G25" i="8"/>
  <c r="G72" i="8"/>
  <c r="G134" i="8"/>
  <c r="G118" i="8"/>
  <c r="G18" i="8"/>
  <c r="G19" i="8"/>
  <c r="G124" i="8"/>
  <c r="G119" i="8"/>
  <c r="G125" i="8"/>
  <c r="G148" i="8"/>
  <c r="G26" i="8"/>
  <c r="G6" i="8"/>
  <c r="G89" i="8"/>
  <c r="G66" i="8"/>
  <c r="G34" i="8"/>
  <c r="G90" i="8"/>
  <c r="G176" i="8"/>
  <c r="G126" i="8"/>
  <c r="G152" i="8"/>
  <c r="G98" i="8"/>
  <c r="G177" i="8"/>
  <c r="G35" i="8"/>
  <c r="G106" i="8"/>
  <c r="G135" i="8"/>
  <c r="G158" i="8"/>
  <c r="G159" i="8"/>
  <c r="G160" i="8"/>
  <c r="G46" i="8"/>
  <c r="G142" i="8"/>
  <c r="G47" i="8"/>
  <c r="G56" i="8"/>
  <c r="G136" i="8"/>
  <c r="G57" i="8"/>
  <c r="G7" i="8"/>
  <c r="G62" i="8"/>
  <c r="G153" i="8"/>
  <c r="G137" i="8"/>
  <c r="G73" i="8"/>
  <c r="G84" i="8"/>
  <c r="G138" i="8"/>
  <c r="G99" i="8"/>
  <c r="G168" i="8"/>
  <c r="G85" i="8"/>
  <c r="G161" i="8"/>
  <c r="G139" i="8"/>
  <c r="G74" i="8"/>
  <c r="G107" i="8"/>
  <c r="G75" i="8"/>
  <c r="G67" i="8"/>
  <c r="G27" i="8"/>
  <c r="G100" i="8"/>
  <c r="G108" i="8"/>
  <c r="G36" i="8"/>
  <c r="G109" i="8"/>
  <c r="G86" i="8"/>
  <c r="G48" i="8"/>
  <c r="G178" i="8"/>
  <c r="G37" i="8"/>
  <c r="G130" i="8"/>
  <c r="G76" i="8"/>
  <c r="G8" i="8"/>
  <c r="G28" i="8"/>
  <c r="G63" i="8"/>
  <c r="G131" i="8"/>
  <c r="G38" i="8"/>
  <c r="G49" i="8"/>
  <c r="G154" i="8"/>
  <c r="G77" i="8"/>
  <c r="G179" i="8"/>
  <c r="G127" i="8"/>
  <c r="G50" i="8"/>
  <c r="G114" i="8"/>
  <c r="G140" i="8"/>
  <c r="G14" i="8"/>
  <c r="G15" i="8"/>
  <c r="G39" i="8"/>
  <c r="G162" i="8"/>
  <c r="G110" i="8"/>
  <c r="G180" i="8"/>
  <c r="G132" i="8"/>
  <c r="G64" i="8"/>
  <c r="G101" i="8"/>
  <c r="G115" i="8"/>
  <c r="G58" i="8"/>
  <c r="G91" i="8"/>
  <c r="G111" i="8"/>
  <c r="G9" i="8"/>
  <c r="G20" i="8"/>
  <c r="G10" i="8"/>
  <c r="G40" i="8"/>
  <c r="G120" i="8"/>
  <c r="G163" i="8"/>
  <c r="G133" i="8"/>
  <c r="G59" i="8"/>
  <c r="G92" i="8"/>
  <c r="G11" i="8"/>
  <c r="G93" i="8"/>
  <c r="G181" i="8"/>
  <c r="G143" i="8"/>
  <c r="G182" i="8"/>
  <c r="G169" i="8"/>
  <c r="G16" i="8"/>
  <c r="G41" i="8"/>
  <c r="G112" i="8"/>
  <c r="G144" i="8"/>
  <c r="G113" i="8"/>
  <c r="G87" i="8"/>
  <c r="G164" i="8"/>
  <c r="G68" i="8"/>
  <c r="G170" i="8"/>
  <c r="G78" i="8"/>
  <c r="G21" i="8"/>
  <c r="G65" i="8"/>
  <c r="G22" i="8"/>
  <c r="G42" i="8"/>
  <c r="G121" i="8"/>
  <c r="G43" i="8"/>
  <c r="G79" i="8"/>
  <c r="G102" i="8"/>
  <c r="G80" i="8"/>
  <c r="G69" i="8"/>
  <c r="G145" i="8"/>
  <c r="G44" i="8"/>
  <c r="G51" i="8"/>
  <c r="G183" i="8"/>
  <c r="G146" i="8"/>
  <c r="G95" i="8"/>
  <c r="J21" i="4"/>
  <c r="J22" i="4"/>
  <c r="J47" i="4"/>
  <c r="J70" i="4"/>
  <c r="J2" i="4"/>
  <c r="J71" i="4"/>
  <c r="J48" i="4"/>
  <c r="J68" i="4"/>
  <c r="J23" i="4"/>
  <c r="J34" i="4"/>
  <c r="J29" i="4"/>
  <c r="J3" i="4"/>
  <c r="J72" i="4"/>
  <c r="J60" i="4"/>
  <c r="J49" i="4"/>
  <c r="J35" i="4"/>
  <c r="J36" i="4"/>
  <c r="J16" i="4"/>
  <c r="J73" i="4"/>
  <c r="J37" i="4"/>
  <c r="J74" i="4"/>
  <c r="J24" i="4"/>
  <c r="J79" i="4"/>
  <c r="J80" i="4"/>
  <c r="J4" i="4"/>
  <c r="J50" i="4"/>
  <c r="J25" i="4"/>
  <c r="J75" i="4"/>
  <c r="J9" i="4"/>
  <c r="J30" i="4"/>
  <c r="J38" i="4"/>
  <c r="J17" i="4"/>
  <c r="J10" i="4"/>
  <c r="J61" i="4"/>
  <c r="J31" i="4"/>
  <c r="J76" i="4"/>
  <c r="J5" i="4"/>
  <c r="J26" i="4"/>
  <c r="J62" i="4"/>
  <c r="J51" i="4"/>
  <c r="J32" i="4"/>
  <c r="J52" i="4"/>
  <c r="J77" i="4"/>
  <c r="J78" i="4"/>
  <c r="J41" i="4"/>
  <c r="J39" i="4"/>
  <c r="J18" i="4"/>
  <c r="J53" i="4"/>
  <c r="J54" i="4"/>
  <c r="J27" i="4"/>
  <c r="J11" i="4"/>
  <c r="J42" i="4"/>
  <c r="J43" i="4"/>
  <c r="J63" i="4"/>
  <c r="J6" i="4"/>
  <c r="J55" i="4"/>
  <c r="J56" i="4"/>
  <c r="J12" i="4"/>
  <c r="J64" i="4"/>
  <c r="J57" i="4"/>
  <c r="J7" i="4"/>
  <c r="J19" i="4"/>
  <c r="J44" i="4"/>
  <c r="J69" i="4"/>
  <c r="J40" i="4"/>
  <c r="J13" i="4"/>
  <c r="J65" i="4"/>
  <c r="J20" i="4"/>
  <c r="J14" i="4"/>
  <c r="J66" i="4"/>
  <c r="J58" i="4"/>
  <c r="J81" i="4"/>
  <c r="J28" i="4"/>
  <c r="J33" i="4"/>
  <c r="J45" i="4"/>
  <c r="J67" i="4"/>
  <c r="J59" i="4"/>
  <c r="J46" i="4"/>
  <c r="J15" i="4"/>
  <c r="J8" i="4"/>
  <c r="G181" i="19"/>
  <c r="G180" i="19"/>
  <c r="G179" i="19"/>
  <c r="G178" i="19"/>
  <c r="G177" i="19"/>
  <c r="G176" i="19"/>
  <c r="G175" i="19"/>
  <c r="G174" i="19"/>
  <c r="G173" i="19"/>
  <c r="G172" i="19"/>
  <c r="G171" i="19"/>
  <c r="G170" i="19"/>
  <c r="G169" i="19"/>
  <c r="G168" i="19"/>
  <c r="G167" i="19"/>
  <c r="G166" i="19"/>
  <c r="G165" i="19"/>
  <c r="G164" i="19"/>
  <c r="G163" i="19"/>
  <c r="G162" i="19"/>
  <c r="G161" i="19"/>
  <c r="G160" i="19"/>
  <c r="G159" i="19"/>
  <c r="G158" i="19"/>
  <c r="G157" i="19"/>
  <c r="G156" i="19"/>
  <c r="G155" i="19"/>
  <c r="G154" i="19"/>
  <c r="G153" i="19"/>
  <c r="G152" i="19"/>
  <c r="G151" i="19"/>
  <c r="G150" i="19"/>
  <c r="G149" i="19"/>
  <c r="G148" i="19"/>
  <c r="G147" i="19"/>
  <c r="G146" i="19"/>
  <c r="G145" i="19"/>
  <c r="G144" i="19"/>
  <c r="G143" i="19"/>
  <c r="G142" i="19"/>
  <c r="G141" i="19"/>
  <c r="G140" i="19"/>
  <c r="G139" i="19"/>
  <c r="G138" i="19"/>
  <c r="G137" i="19"/>
  <c r="G136" i="19"/>
  <c r="G135" i="19"/>
  <c r="G134" i="19"/>
  <c r="G133" i="19"/>
  <c r="G132" i="19"/>
  <c r="G131" i="19"/>
  <c r="G130" i="19"/>
  <c r="G129" i="19"/>
  <c r="G128" i="19"/>
  <c r="G127" i="19"/>
  <c r="G126" i="19"/>
  <c r="G125" i="19"/>
  <c r="G124" i="19"/>
  <c r="G123" i="19"/>
  <c r="G122" i="19"/>
  <c r="G121" i="19"/>
  <c r="G120" i="19"/>
  <c r="G119" i="19"/>
  <c r="G118" i="19"/>
  <c r="G117" i="19"/>
  <c r="G116" i="19"/>
  <c r="G115" i="19"/>
  <c r="G114" i="19"/>
  <c r="G113" i="19"/>
  <c r="G112" i="19"/>
  <c r="G111" i="19"/>
  <c r="G110" i="19"/>
  <c r="G109" i="19"/>
  <c r="G108" i="19"/>
  <c r="G107" i="19"/>
  <c r="G106" i="19"/>
  <c r="G105" i="19"/>
  <c r="G104" i="19"/>
  <c r="G103" i="19"/>
  <c r="G102" i="19"/>
  <c r="G101" i="19"/>
  <c r="G100" i="19"/>
  <c r="G99" i="19"/>
  <c r="G98" i="19"/>
  <c r="G97" i="19"/>
  <c r="G96" i="19"/>
  <c r="G95" i="19"/>
  <c r="G94" i="19"/>
  <c r="G93" i="19"/>
  <c r="G92" i="19"/>
  <c r="G91" i="19"/>
  <c r="G90" i="19"/>
  <c r="G89" i="19"/>
  <c r="G88" i="19"/>
  <c r="G87" i="19"/>
  <c r="G86" i="19"/>
  <c r="G85" i="19"/>
  <c r="G84" i="19"/>
  <c r="G83" i="19"/>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<sst xmlns="http://schemas.openxmlformats.org/spreadsheetml/2006/main" count="45765" uniqueCount="3592">
  <si>
    <t>SKU</t>
  </si>
  <si>
    <t>ProductName</t>
  </si>
  <si>
    <t>Category</t>
  </si>
  <si>
    <t>UnitCost</t>
  </si>
  <si>
    <t>UnitPrice</t>
  </si>
  <si>
    <t>Status</t>
  </si>
  <si>
    <t>SKU-A5506</t>
  </si>
  <si>
    <t>Toner Pro</t>
  </si>
  <si>
    <t>Paper &amp; Printing</t>
  </si>
  <si>
    <t>Active</t>
  </si>
  <si>
    <t>SKU-S7912</t>
  </si>
  <si>
    <t>Copy Paper Standard</t>
  </si>
  <si>
    <t>SKU-Q1434</t>
  </si>
  <si>
    <t>SSD Pro</t>
  </si>
  <si>
    <t>Hardware</t>
  </si>
  <si>
    <t>Discontinued</t>
  </si>
  <si>
    <t>SKU-O5557</t>
  </si>
  <si>
    <t>Laptop Pro</t>
  </si>
  <si>
    <t>SKU-E4527</t>
  </si>
  <si>
    <t>PDF Editor Standard</t>
  </si>
  <si>
    <t>Software</t>
  </si>
  <si>
    <t>SKU-L6635</t>
  </si>
  <si>
    <t>Notebook Plus</t>
  </si>
  <si>
    <t>SKU-M2291</t>
  </si>
  <si>
    <t>SKU-W2139</t>
  </si>
  <si>
    <t>SKU-D7227</t>
  </si>
  <si>
    <t>Printer Basic</t>
  </si>
  <si>
    <t>SKU-L4432</t>
  </si>
  <si>
    <t>Soap Refill Standard</t>
  </si>
  <si>
    <t>Cleaning</t>
  </si>
  <si>
    <t>SKU-F8573</t>
  </si>
  <si>
    <t>Router Plus</t>
  </si>
  <si>
    <t>SKU-Y1916</t>
  </si>
  <si>
    <t>Wipes Standard</t>
  </si>
  <si>
    <t>SKU-C4456</t>
  </si>
  <si>
    <t>VPN License Plus</t>
  </si>
  <si>
    <t>SKU-U8517</t>
  </si>
  <si>
    <t>Tea Pack Plus</t>
  </si>
  <si>
    <t>Breakroom</t>
  </si>
  <si>
    <t>SKU-X8019</t>
  </si>
  <si>
    <t>VPN License Basic</t>
  </si>
  <si>
    <t>SKU-Q9085</t>
  </si>
  <si>
    <t>USB-C Hub Standard</t>
  </si>
  <si>
    <t>Tech Accessories</t>
  </si>
  <si>
    <t>SKU-Z7916</t>
  </si>
  <si>
    <t>HDMI Cable Standard</t>
  </si>
  <si>
    <t>SKU-Q5119</t>
  </si>
  <si>
    <t>Asset Tagging Standard</t>
  </si>
  <si>
    <t>Services</t>
  </si>
  <si>
    <t>SKU-D5808</t>
  </si>
  <si>
    <t>Trash Liners Pro</t>
  </si>
  <si>
    <t>SKU-Q3927</t>
  </si>
  <si>
    <t>VPN License Standard</t>
  </si>
  <si>
    <t>SKU-L3646</t>
  </si>
  <si>
    <t>SKU-A2832</t>
  </si>
  <si>
    <t>Onsite Support Plus</t>
  </si>
  <si>
    <t>SKU-S2290</t>
  </si>
  <si>
    <t>Laptop Basic</t>
  </si>
  <si>
    <t>SKU-V8787</t>
  </si>
  <si>
    <t>HDMI Cable Pro</t>
  </si>
  <si>
    <t>SKU-R4295</t>
  </si>
  <si>
    <t>SKU-D5061</t>
  </si>
  <si>
    <t>Training Session Standard</t>
  </si>
  <si>
    <t>SKU-S4608</t>
  </si>
  <si>
    <t>Laptop Standard</t>
  </si>
  <si>
    <t>SKU-B6413</t>
  </si>
  <si>
    <t>Copy Paper Pro</t>
  </si>
  <si>
    <t>SKU-R3167</t>
  </si>
  <si>
    <t>SSD Basic</t>
  </si>
  <si>
    <t>SKU-G2545</t>
  </si>
  <si>
    <t>Coffee Pods Basic</t>
  </si>
  <si>
    <t>SKU-O1887</t>
  </si>
  <si>
    <t>Coffee Pods Standard</t>
  </si>
  <si>
    <t>SKU-H4139</t>
  </si>
  <si>
    <t>Toner Basic</t>
  </si>
  <si>
    <t>SKU-I8579</t>
  </si>
  <si>
    <t>Docking Station Standard</t>
  </si>
  <si>
    <t>SKU-U9856</t>
  </si>
  <si>
    <t>Monitor Stand Standard</t>
  </si>
  <si>
    <t>Ergonomics</t>
  </si>
  <si>
    <t>SKU-P8886</t>
  </si>
  <si>
    <t>Tea Pack Basic</t>
  </si>
  <si>
    <t>SKU-A7396</t>
  </si>
  <si>
    <t>Snack Box Basic</t>
  </si>
  <si>
    <t>SKU-E4111</t>
  </si>
  <si>
    <t>Onsite Support Pro</t>
  </si>
  <si>
    <t>SKU-B1821</t>
  </si>
  <si>
    <t>Air Freshener Basic</t>
  </si>
  <si>
    <t>SKU-Q2312</t>
  </si>
  <si>
    <t>Keyboard Standard</t>
  </si>
  <si>
    <t>SKU-M2964</t>
  </si>
  <si>
    <t>SKU-N9565</t>
  </si>
  <si>
    <t>Ink Cartridge Plus</t>
  </si>
  <si>
    <t>SKU-I7484</t>
  </si>
  <si>
    <t>Monitor Plus</t>
  </si>
  <si>
    <t>SKU-A8508</t>
  </si>
  <si>
    <t>Notebook Standard</t>
  </si>
  <si>
    <t>SKU-E6718</t>
  </si>
  <si>
    <t>Productivity Suite Pro</t>
  </si>
  <si>
    <t>SKU-O9900</t>
  </si>
  <si>
    <t>Webcam Standard</t>
  </si>
  <si>
    <t>SKU-E5333</t>
  </si>
  <si>
    <t>SKU-J4450</t>
  </si>
  <si>
    <t>PDF Editor Pro</t>
  </si>
  <si>
    <t>SKU-B2512</t>
  </si>
  <si>
    <t>Project Tracker Plus</t>
  </si>
  <si>
    <t>SKU-Y3143</t>
  </si>
  <si>
    <t>Soap Refill Pro</t>
  </si>
  <si>
    <t>SKU-D2232</t>
  </si>
  <si>
    <t>SKU-E1685</t>
  </si>
  <si>
    <t>Snack Box Plus</t>
  </si>
  <si>
    <t>SKU-V5088</t>
  </si>
  <si>
    <t>Laptop Plus</t>
  </si>
  <si>
    <t>SKU-H3662</t>
  </si>
  <si>
    <t>Docking Station Basic</t>
  </si>
  <si>
    <t>SKU-Z7745</t>
  </si>
  <si>
    <t>Wipes Plus</t>
  </si>
  <si>
    <t>SKU-B8711</t>
  </si>
  <si>
    <t>Tea Pack Pro</t>
  </si>
  <si>
    <t>SKU-Z4728</t>
  </si>
  <si>
    <t>Endpoint Security Standard</t>
  </si>
  <si>
    <t>SKU-I2137</t>
  </si>
  <si>
    <t>Soap Refill Plus</t>
  </si>
  <si>
    <t>SKU-A2889</t>
  </si>
  <si>
    <t>SKU-D8119</t>
  </si>
  <si>
    <t>Mouse Plus</t>
  </si>
  <si>
    <t>SKU-S4114</t>
  </si>
  <si>
    <t>Snack Box Standard</t>
  </si>
  <si>
    <t>SKU-L8066</t>
  </si>
  <si>
    <t>SKU-X5920</t>
  </si>
  <si>
    <t>SKU-W5844</t>
  </si>
  <si>
    <t>Paper Towels Pro</t>
  </si>
  <si>
    <t>SKU-V3851</t>
  </si>
  <si>
    <t>Paper Towels Plus</t>
  </si>
  <si>
    <t>SKU-J4443</t>
  </si>
  <si>
    <t>SKU-V4501</t>
  </si>
  <si>
    <t>Asset Tagging Basic</t>
  </si>
  <si>
    <t>SKU-Q6491</t>
  </si>
  <si>
    <t>SKU-E1400</t>
  </si>
  <si>
    <t>SKU-N4185</t>
  </si>
  <si>
    <t>Extended Warranty Basic</t>
  </si>
  <si>
    <t>SKU-U1090</t>
  </si>
  <si>
    <t>USB-C Hub Basic</t>
  </si>
  <si>
    <t>SKU-B5082</t>
  </si>
  <si>
    <t>Installation Basic</t>
  </si>
  <si>
    <t>SKU-Y8251</t>
  </si>
  <si>
    <t>SKU-X8777</t>
  </si>
  <si>
    <t>Headset Plus</t>
  </si>
  <si>
    <t>SKU-U4919</t>
  </si>
  <si>
    <t>Onsite Support Basic</t>
  </si>
  <si>
    <t>SKU-I6502</t>
  </si>
  <si>
    <t>Printer Standard</t>
  </si>
  <si>
    <t>SKU-M3503</t>
  </si>
  <si>
    <t>Monitor Standard</t>
  </si>
  <si>
    <t>SKU-R8633</t>
  </si>
  <si>
    <t>Trash Liners Standard</t>
  </si>
  <si>
    <t>SKU-Y1320</t>
  </si>
  <si>
    <t>Paper Towels Basic</t>
  </si>
  <si>
    <t>SKU-J7389</t>
  </si>
  <si>
    <t>SKU-N8956</t>
  </si>
  <si>
    <t>Productivity Suite Basic</t>
  </si>
  <si>
    <t>SKU-O3091</t>
  </si>
  <si>
    <t>SKU-U8022</t>
  </si>
  <si>
    <t>SKU-M6363</t>
  </si>
  <si>
    <t>Endpoint Security Basic</t>
  </si>
  <si>
    <t>SKU-I7906</t>
  </si>
  <si>
    <t>SKU-L4673</t>
  </si>
  <si>
    <t>SKU-A3496</t>
  </si>
  <si>
    <t>Monitor Pro</t>
  </si>
  <si>
    <t>SKU-O5198</t>
  </si>
  <si>
    <t>Printer Pro</t>
  </si>
  <si>
    <t>SKU-J2771</t>
  </si>
  <si>
    <t>SKU-W4249</t>
  </si>
  <si>
    <t>Coffee Pods Pro</t>
  </si>
  <si>
    <t>SKU-Z1672</t>
  </si>
  <si>
    <t>Ink Cartridge Basic</t>
  </si>
  <si>
    <t>SKU-A7882</t>
  </si>
  <si>
    <t>SKU-W3506</t>
  </si>
  <si>
    <t>Extended Warranty Pro</t>
  </si>
  <si>
    <t>SKU-O8136</t>
  </si>
  <si>
    <t>Asset Tagging Plus</t>
  </si>
  <si>
    <t>SKU-I8385</t>
  </si>
  <si>
    <t>SKU-A9098</t>
  </si>
  <si>
    <t>SKU-Z5232</t>
  </si>
  <si>
    <t>SKU-Q4130</t>
  </si>
  <si>
    <t>Monitor Stand Pro</t>
  </si>
  <si>
    <t>SKU-W8800</t>
  </si>
  <si>
    <t>Router Basic</t>
  </si>
  <si>
    <t>SKU-H7625</t>
  </si>
  <si>
    <t>Endpoint Security Plus</t>
  </si>
  <si>
    <t>SKU-R9698</t>
  </si>
  <si>
    <t>SKU-W8434</t>
  </si>
  <si>
    <t>SKU-X4155</t>
  </si>
  <si>
    <t>Ink Cartridge Standard</t>
  </si>
  <si>
    <t>SKU-G8933</t>
  </si>
  <si>
    <t>Printer Plus</t>
  </si>
  <si>
    <t>SKU-H6912</t>
  </si>
  <si>
    <t>SKU-B1893</t>
  </si>
  <si>
    <t>SKU-A5658</t>
  </si>
  <si>
    <t>Label Pack Basic</t>
  </si>
  <si>
    <t>SKU-B5136</t>
  </si>
  <si>
    <t>Headset Standard</t>
  </si>
  <si>
    <t>SKU-C1878</t>
  </si>
  <si>
    <t>Training Session Pro</t>
  </si>
  <si>
    <t>SKU-H2940</t>
  </si>
  <si>
    <t>Notebook Basic</t>
  </si>
  <si>
    <t>SKU-O8253</t>
  </si>
  <si>
    <t>SKU-Y4404</t>
  </si>
  <si>
    <t>Toner Plus</t>
  </si>
  <si>
    <t>SKU-F2229</t>
  </si>
  <si>
    <t>SKU-J1534</t>
  </si>
  <si>
    <t>Training Session Plus</t>
  </si>
  <si>
    <t>SKU-V4824</t>
  </si>
  <si>
    <t>Ink Cartridge Pro</t>
  </si>
  <si>
    <t>SKU-U3441</t>
  </si>
  <si>
    <t>SKU-Z6039</t>
  </si>
  <si>
    <t>HDMI Cable Plus</t>
  </si>
  <si>
    <t>SKU-W5982</t>
  </si>
  <si>
    <t>Extended Warranty Plus</t>
  </si>
  <si>
    <t>SKU-C1653</t>
  </si>
  <si>
    <t>SKU-C4750</t>
  </si>
  <si>
    <t>Chair Cushion Standard</t>
  </si>
  <si>
    <t>SKU-P9502</t>
  </si>
  <si>
    <t>CustomerID</t>
  </si>
  <si>
    <t>CustomerName</t>
  </si>
  <si>
    <t>Industry</t>
  </si>
  <si>
    <t>City</t>
  </si>
  <si>
    <t>State</t>
  </si>
  <si>
    <t>Region</t>
  </si>
  <si>
    <t>AccountTier</t>
  </si>
  <si>
    <t>CUST-10000</t>
  </si>
  <si>
    <t>Vertex Associates</t>
  </si>
  <si>
    <t>Retail</t>
  </si>
  <si>
    <t>Clinton</t>
  </si>
  <si>
    <t>OR</t>
  </si>
  <si>
    <t>West</t>
  </si>
  <si>
    <t>Standard</t>
  </si>
  <si>
    <t>Yes</t>
  </si>
  <si>
    <t>CUST-10001</t>
  </si>
  <si>
    <t>Blue Ridge Holdings</t>
  </si>
  <si>
    <t>Government</t>
  </si>
  <si>
    <t>Newport</t>
  </si>
  <si>
    <t>MN</t>
  </si>
  <si>
    <t>Central</t>
  </si>
  <si>
    <t>CUST-10002</t>
  </si>
  <si>
    <t>Harbor Enterprises</t>
  </si>
  <si>
    <t>Centerville</t>
  </si>
  <si>
    <t>CA</t>
  </si>
  <si>
    <t>CUST-10003</t>
  </si>
  <si>
    <t>Blue Ridge Group</t>
  </si>
  <si>
    <t>Madison</t>
  </si>
  <si>
    <t>CO</t>
  </si>
  <si>
    <t>CUST-10004</t>
  </si>
  <si>
    <t>Vertex Logistics</t>
  </si>
  <si>
    <t>Finance</t>
  </si>
  <si>
    <t>Salem</t>
  </si>
  <si>
    <t>TX</t>
  </si>
  <si>
    <t>CUST-10005</t>
  </si>
  <si>
    <t>Northstar Associates</t>
  </si>
  <si>
    <t>NV</t>
  </si>
  <si>
    <t>CUST-10006</t>
  </si>
  <si>
    <t>Blue Ridge Services</t>
  </si>
  <si>
    <t>Greenville</t>
  </si>
  <si>
    <t>NJ</t>
  </si>
  <si>
    <t>East</t>
  </si>
  <si>
    <t>No</t>
  </si>
  <si>
    <t>CUST-10007</t>
  </si>
  <si>
    <t>Pioneer Industries</t>
  </si>
  <si>
    <t>Ashland</t>
  </si>
  <si>
    <t>MO</t>
  </si>
  <si>
    <t>CUST-10008</t>
  </si>
  <si>
    <t>AZ</t>
  </si>
  <si>
    <t>CUST-10009</t>
  </si>
  <si>
    <t xml:space="preserve"> Harbor Services  </t>
  </si>
  <si>
    <t>Technology</t>
  </si>
  <si>
    <t>Burlington</t>
  </si>
  <si>
    <t>CUST-10010</t>
  </si>
  <si>
    <t>Silverline Industries</t>
  </si>
  <si>
    <t>CUST-10011</t>
  </si>
  <si>
    <t>Harbor Associates</t>
  </si>
  <si>
    <t>Nonprofit</t>
  </si>
  <si>
    <t>CUST-10012</t>
  </si>
  <si>
    <t>Silverline Holdings</t>
  </si>
  <si>
    <t>CUST-10013</t>
  </si>
  <si>
    <t>Cobalt Consulting</t>
  </si>
  <si>
    <t>MA</t>
  </si>
  <si>
    <t>CUST-10014</t>
  </si>
  <si>
    <t>Redwood Partners</t>
  </si>
  <si>
    <t>Education</t>
  </si>
  <si>
    <t>RIVERTON</t>
  </si>
  <si>
    <t>NY</t>
  </si>
  <si>
    <t>CUST-10015</t>
  </si>
  <si>
    <t>Pioneer Systems</t>
  </si>
  <si>
    <t>Arlington</t>
  </si>
  <si>
    <t>IL</t>
  </si>
  <si>
    <t>CUST-10016</t>
  </si>
  <si>
    <t>Crescent Industries</t>
  </si>
  <si>
    <t>Legal</t>
  </si>
  <si>
    <t>GA</t>
  </si>
  <si>
    <t>CUST-10017</t>
  </si>
  <si>
    <t>Vertex Group</t>
  </si>
  <si>
    <t>Manufacturing</t>
  </si>
  <si>
    <t>Preferred</t>
  </si>
  <si>
    <t>CUST-10018</t>
  </si>
  <si>
    <t>Vertex Industries</t>
  </si>
  <si>
    <t>OK</t>
  </si>
  <si>
    <t>CUST-10019</t>
  </si>
  <si>
    <t>Crescent Holdings</t>
  </si>
  <si>
    <t>Springfield</t>
  </si>
  <si>
    <t>KS</t>
  </si>
  <si>
    <t>CUST-10020</t>
  </si>
  <si>
    <t>Crescent Foundation</t>
  </si>
  <si>
    <t>CUST-10021</t>
  </si>
  <si>
    <t>Pioneer Consulting</t>
  </si>
  <si>
    <t>Enterprise</t>
  </si>
  <si>
    <t>CUST-10022</t>
  </si>
  <si>
    <t>Redwood Solutions</t>
  </si>
  <si>
    <t>CUST-10023</t>
  </si>
  <si>
    <t>Cobalt Enterprises</t>
  </si>
  <si>
    <t>PA</t>
  </si>
  <si>
    <t>CUST-10024</t>
  </si>
  <si>
    <t>Redwood Systems</t>
  </si>
  <si>
    <t>CUST-10025</t>
  </si>
  <si>
    <t>Riverton</t>
  </si>
  <si>
    <t>CUST-10026</t>
  </si>
  <si>
    <t>Georgetown</t>
  </si>
  <si>
    <t>FL</t>
  </si>
  <si>
    <t>CUST-10027</t>
  </si>
  <si>
    <t>Crescent Services</t>
  </si>
  <si>
    <t>CUST-10028</t>
  </si>
  <si>
    <t>Pioneer Associates</t>
  </si>
  <si>
    <t>CUST-10029</t>
  </si>
  <si>
    <t>Riverbend Industries</t>
  </si>
  <si>
    <t>NC</t>
  </si>
  <si>
    <t>CUST-10030</t>
  </si>
  <si>
    <t>Pioneer Group</t>
  </si>
  <si>
    <t>Fairview</t>
  </si>
  <si>
    <t>CUST-10031</t>
  </si>
  <si>
    <t>Canyon Consulting</t>
  </si>
  <si>
    <t>CUST-10032</t>
  </si>
  <si>
    <t>Summit Consulting</t>
  </si>
  <si>
    <t>Healthcare</t>
  </si>
  <si>
    <t>CUST-10033</t>
  </si>
  <si>
    <t>CUST-10034</t>
  </si>
  <si>
    <t>Pioneer Solutions</t>
  </si>
  <si>
    <t>CUST-10035</t>
  </si>
  <si>
    <t>Silverline Services</t>
  </si>
  <si>
    <t>CUST-10036</t>
  </si>
  <si>
    <t>Blue Ridge Associates</t>
  </si>
  <si>
    <t>Construction</t>
  </si>
  <si>
    <t>GREENVILLE</t>
  </si>
  <si>
    <t>CUST-10037</t>
  </si>
  <si>
    <t>Harbor Consulting</t>
  </si>
  <si>
    <t>CUST-10038</t>
  </si>
  <si>
    <t>CUST-10039</t>
  </si>
  <si>
    <t>CUST-10040</t>
  </si>
  <si>
    <t>Vertex Consulting</t>
  </si>
  <si>
    <t>VA</t>
  </si>
  <si>
    <t>CUST-10041</t>
  </si>
  <si>
    <t>CUST-10042</t>
  </si>
  <si>
    <t>Harbor Partners</t>
  </si>
  <si>
    <t>ARLINGTON</t>
  </si>
  <si>
    <t>CUST-10043</t>
  </si>
  <si>
    <t>Riverbend Systems</t>
  </si>
  <si>
    <t>CUST-10044</t>
  </si>
  <si>
    <t>Pioneer Logistics</t>
  </si>
  <si>
    <t>CUST-10045</t>
  </si>
  <si>
    <t>CUST-10046</t>
  </si>
  <si>
    <t>Crescent Consulting</t>
  </si>
  <si>
    <t>CUST-10047</t>
  </si>
  <si>
    <t>CUST-10048</t>
  </si>
  <si>
    <t>Apex Partners</t>
  </si>
  <si>
    <t>CUST-10049</t>
  </si>
  <si>
    <t xml:space="preserve"> Crescent Logistics  </t>
  </si>
  <si>
    <t>CUST-10050</t>
  </si>
  <si>
    <t>Evergreen Associates</t>
  </si>
  <si>
    <t>CUST-10051</t>
  </si>
  <si>
    <t>CUST-10052</t>
  </si>
  <si>
    <t>Summit Solutions</t>
  </si>
  <si>
    <t>CUST-10053</t>
  </si>
  <si>
    <t xml:space="preserve"> Summit Enterprises  </t>
  </si>
  <si>
    <t>NEWPORT</t>
  </si>
  <si>
    <t>CUST-10054</t>
  </si>
  <si>
    <t>Harbor Systems</t>
  </si>
  <si>
    <t>CUST-10055</t>
  </si>
  <si>
    <t>Bright Logistics</t>
  </si>
  <si>
    <t>CUST-10056</t>
  </si>
  <si>
    <t>Evergreen Holdings</t>
  </si>
  <si>
    <t>CUST-10057</t>
  </si>
  <si>
    <t>Silverline Systems</t>
  </si>
  <si>
    <t>CUST-10058</t>
  </si>
  <si>
    <t>Vertex Partners</t>
  </si>
  <si>
    <t>Oakland</t>
  </si>
  <si>
    <t>UT</t>
  </si>
  <si>
    <t>CUST-10059</t>
  </si>
  <si>
    <t>CUST-10060</t>
  </si>
  <si>
    <t>Apex Systems</t>
  </si>
  <si>
    <t>CUST-10061</t>
  </si>
  <si>
    <t>CUST-10062</t>
  </si>
  <si>
    <t>Canyon Logistics</t>
  </si>
  <si>
    <t>CUST-10063</t>
  </si>
  <si>
    <t>CUST-10064</t>
  </si>
  <si>
    <t xml:space="preserve"> Cobalt Systems  </t>
  </si>
  <si>
    <t>CUST-10065</t>
  </si>
  <si>
    <t>Cobalt Partners</t>
  </si>
  <si>
    <t>CUST-10066</t>
  </si>
  <si>
    <t>CUST-10067</t>
  </si>
  <si>
    <t>CUST-10068</t>
  </si>
  <si>
    <t>Vertex Enterprises</t>
  </si>
  <si>
    <t>CUST-10069</t>
  </si>
  <si>
    <t>Silverline Associates</t>
  </si>
  <si>
    <t>CUST-10070</t>
  </si>
  <si>
    <t>Redwood Enterprises</t>
  </si>
  <si>
    <t>WA</t>
  </si>
  <si>
    <t>CUST-10071</t>
  </si>
  <si>
    <t>Redwood Logistics</t>
  </si>
  <si>
    <t>CUST-10072</t>
  </si>
  <si>
    <t>Silverline Foundation</t>
  </si>
  <si>
    <t>CUST-10073</t>
  </si>
  <si>
    <t>CUST-10074</t>
  </si>
  <si>
    <t>Crescent Solutions</t>
  </si>
  <si>
    <t>CUST-10075</t>
  </si>
  <si>
    <t>Pioneer Partners</t>
  </si>
  <si>
    <t>CUST-10076</t>
  </si>
  <si>
    <t>Blue Ridge Systems</t>
  </si>
  <si>
    <t>CUST-10077</t>
  </si>
  <si>
    <t>CUST-10078</t>
  </si>
  <si>
    <t>Redwood Associates</t>
  </si>
  <si>
    <t>CUST-10079</t>
  </si>
  <si>
    <t>Crescent Enterprises</t>
  </si>
  <si>
    <t>CUST-10080</t>
  </si>
  <si>
    <t>Northstar Partners</t>
  </si>
  <si>
    <t>CUST-10081</t>
  </si>
  <si>
    <t>Crescent Systems</t>
  </si>
  <si>
    <t>CUST-10082</t>
  </si>
  <si>
    <t>Riverbend Enterprises</t>
  </si>
  <si>
    <t>CUST-10083</t>
  </si>
  <si>
    <t>CUST-10084</t>
  </si>
  <si>
    <t>CUST-10085</t>
  </si>
  <si>
    <t>Bright Partners</t>
  </si>
  <si>
    <t>CUST-10086</t>
  </si>
  <si>
    <t>Evergreen Enterprises</t>
  </si>
  <si>
    <t>CUST-10087</t>
  </si>
  <si>
    <t>Cobalt Holdings</t>
  </si>
  <si>
    <t>CUST-10088</t>
  </si>
  <si>
    <t>Bright Associates</t>
  </si>
  <si>
    <t>CUST-10089</t>
  </si>
  <si>
    <t>Bright Enterprises</t>
  </si>
  <si>
    <t>CUST-10090</t>
  </si>
  <si>
    <t>CUST-10091</t>
  </si>
  <si>
    <t>Silverline Group</t>
  </si>
  <si>
    <t>CUST-10092</t>
  </si>
  <si>
    <t>CUST-10093</t>
  </si>
  <si>
    <t>CUST-10094</t>
  </si>
  <si>
    <t>Pioneer Services</t>
  </si>
  <si>
    <t>CUST-10095</t>
  </si>
  <si>
    <t xml:space="preserve"> Blue Ridge Services  </t>
  </si>
  <si>
    <t>CUST-10096</t>
  </si>
  <si>
    <t>Northstar Consulting</t>
  </si>
  <si>
    <t>CUST-10097</t>
  </si>
  <si>
    <t>Redwood Foundation</t>
  </si>
  <si>
    <t>Franklin</t>
  </si>
  <si>
    <t>CUST-10098</t>
  </si>
  <si>
    <t>CUST-10099</t>
  </si>
  <si>
    <t xml:space="preserve"> Evergreen Foundation  </t>
  </si>
  <si>
    <t>CUST-10100</t>
  </si>
  <si>
    <t>CUST-10101</t>
  </si>
  <si>
    <t>CUST-10102</t>
  </si>
  <si>
    <t>Riverbend Holdings</t>
  </si>
  <si>
    <t>CUST-10103</t>
  </si>
  <si>
    <t>Riverbend Consulting</t>
  </si>
  <si>
    <t>CUST-10104</t>
  </si>
  <si>
    <t>Crescent Group</t>
  </si>
  <si>
    <t>CUST-10105</t>
  </si>
  <si>
    <t>CUST-10106</t>
  </si>
  <si>
    <t>CUST-10107</t>
  </si>
  <si>
    <t>Harbor Foundation</t>
  </si>
  <si>
    <t>CUST-10108</t>
  </si>
  <si>
    <t>Blue Ridge Partners</t>
  </si>
  <si>
    <t>CUST-10109</t>
  </si>
  <si>
    <t>Harbor Solutions</t>
  </si>
  <si>
    <t>CUST-10110</t>
  </si>
  <si>
    <t>Canyon Holdings</t>
  </si>
  <si>
    <t>CUST-10111</t>
  </si>
  <si>
    <t>Apex Holdings</t>
  </si>
  <si>
    <t>CUST-10112</t>
  </si>
  <si>
    <t>Cobalt Industries</t>
  </si>
  <si>
    <t>CUST-10113</t>
  </si>
  <si>
    <t>Blue Ridge Enterprises</t>
  </si>
  <si>
    <t>CUST-10114</t>
  </si>
  <si>
    <t>OAKLAND</t>
  </si>
  <si>
    <t>CUST-10115</t>
  </si>
  <si>
    <t>Cobalt Associates</t>
  </si>
  <si>
    <t>CUST-10116</t>
  </si>
  <si>
    <t>CUST-10117</t>
  </si>
  <si>
    <t>CUST-10118</t>
  </si>
  <si>
    <t>Apex Logistics</t>
  </si>
  <si>
    <t>CUST-10119</t>
  </si>
  <si>
    <t>CUST-10120</t>
  </si>
  <si>
    <t>Bright Industries</t>
  </si>
  <si>
    <t>CUST-10121</t>
  </si>
  <si>
    <t>CUST-10122</t>
  </si>
  <si>
    <t>CUST-10123</t>
  </si>
  <si>
    <t>Pioneer Holdings</t>
  </si>
  <si>
    <t>CUST-10124</t>
  </si>
  <si>
    <t>Northstar Logistics</t>
  </si>
  <si>
    <t>CUST-10125</t>
  </si>
  <si>
    <t>CUST-10126</t>
  </si>
  <si>
    <t>Riverbend Foundation</t>
  </si>
  <si>
    <t>CUST-10127</t>
  </si>
  <si>
    <t>Vertex Services</t>
  </si>
  <si>
    <t>CUST-10128</t>
  </si>
  <si>
    <t>Canyon Solutions</t>
  </si>
  <si>
    <t>CUST-10129</t>
  </si>
  <si>
    <t>Canyon Partners</t>
  </si>
  <si>
    <t>CUST-10130</t>
  </si>
  <si>
    <t>CUST-10131</t>
  </si>
  <si>
    <t>Apex Group</t>
  </si>
  <si>
    <t>CUST-10132</t>
  </si>
  <si>
    <t>Blue Ridge Solutions</t>
  </si>
  <si>
    <t>CUST-10133</t>
  </si>
  <si>
    <t>Bright Group</t>
  </si>
  <si>
    <t>CUST-10134</t>
  </si>
  <si>
    <t>Harbor Industries</t>
  </si>
  <si>
    <t>CUST-10135</t>
  </si>
  <si>
    <t>CUST-10136</t>
  </si>
  <si>
    <t>Vertex Systems</t>
  </si>
  <si>
    <t>CUST-10137</t>
  </si>
  <si>
    <t>CUST-10138</t>
  </si>
  <si>
    <t>CUST-10139</t>
  </si>
  <si>
    <t>CUST-10140</t>
  </si>
  <si>
    <t>Canyon Enterprises</t>
  </si>
  <si>
    <t>CUST-10141</t>
  </si>
  <si>
    <t>Crescent Associates</t>
  </si>
  <si>
    <t>CUST-10142</t>
  </si>
  <si>
    <t>Riverbend Associates</t>
  </si>
  <si>
    <t>CUST-10143</t>
  </si>
  <si>
    <t>Cobalt Foundation</t>
  </si>
  <si>
    <t>CUST-10144</t>
  </si>
  <si>
    <t>Silverline Solutions</t>
  </si>
  <si>
    <t>CUST-10145</t>
  </si>
  <si>
    <t>CUST-10146</t>
  </si>
  <si>
    <t>Harbor Group</t>
  </si>
  <si>
    <t>CUST-10147</t>
  </si>
  <si>
    <t>Cobalt Solutions</t>
  </si>
  <si>
    <t>CUST-10148</t>
  </si>
  <si>
    <t>Summit Services</t>
  </si>
  <si>
    <t>CUST-10149</t>
  </si>
  <si>
    <t>CUST-10150</t>
  </si>
  <si>
    <t>Canyon Foundation</t>
  </si>
  <si>
    <t>CUST-10151</t>
  </si>
  <si>
    <t>CUST-10152</t>
  </si>
  <si>
    <t>CUST-10153</t>
  </si>
  <si>
    <t>Evergreen Industries</t>
  </si>
  <si>
    <t>CUST-10154</t>
  </si>
  <si>
    <t>CUST-10155</t>
  </si>
  <si>
    <t>CUST-10156</t>
  </si>
  <si>
    <t>CUST-10157</t>
  </si>
  <si>
    <t>Canyon Group</t>
  </si>
  <si>
    <t>CUST-10158</t>
  </si>
  <si>
    <t>CUST-10159</t>
  </si>
  <si>
    <t>CUST-10160</t>
  </si>
  <si>
    <t>Summit Systems</t>
  </si>
  <si>
    <t>CUST-10161</t>
  </si>
  <si>
    <t>CUST-10162</t>
  </si>
  <si>
    <t>CUST-10163</t>
  </si>
  <si>
    <t>Bright Solutions</t>
  </si>
  <si>
    <t>CLINTON</t>
  </si>
  <si>
    <t>CUST-10164</t>
  </si>
  <si>
    <t>CUST-10165</t>
  </si>
  <si>
    <t>CUST-10166</t>
  </si>
  <si>
    <t>SPRINGFIELD</t>
  </si>
  <si>
    <t>CUST-10167</t>
  </si>
  <si>
    <t>CUST-10168</t>
  </si>
  <si>
    <t>CUST-10169</t>
  </si>
  <si>
    <t>CUST-10170</t>
  </si>
  <si>
    <t>CUST-10171</t>
  </si>
  <si>
    <t xml:space="preserve"> Canyon Group  </t>
  </si>
  <si>
    <t>CUST-10172</t>
  </si>
  <si>
    <t>CUST-10173</t>
  </si>
  <si>
    <t>CUST-10174</t>
  </si>
  <si>
    <t xml:space="preserve"> Silverline Foundation  </t>
  </si>
  <si>
    <t>CUST-10175</t>
  </si>
  <si>
    <t>Cobalt Logistics</t>
  </si>
  <si>
    <t>CUST-10176</t>
  </si>
  <si>
    <t>CUST-10177</t>
  </si>
  <si>
    <t>Summit Foundation</t>
  </si>
  <si>
    <t>CUST-10178</t>
  </si>
  <si>
    <t>CUST-10179</t>
  </si>
  <si>
    <t>CUST-10180</t>
  </si>
  <si>
    <t>CUST-10181</t>
  </si>
  <si>
    <t xml:space="preserve"> Vertex Industries  </t>
  </si>
  <si>
    <t>CUST-10182</t>
  </si>
  <si>
    <t>CUST-10183</t>
  </si>
  <si>
    <t>Apex Industries</t>
  </si>
  <si>
    <t>CUST-10184</t>
  </si>
  <si>
    <t>CUST-10185</t>
  </si>
  <si>
    <t>CUST-10186</t>
  </si>
  <si>
    <t xml:space="preserve"> Canyon Logistics  </t>
  </si>
  <si>
    <t>CUST-10187</t>
  </si>
  <si>
    <t>Summit Associates</t>
  </si>
  <si>
    <t>CUST-10188</t>
  </si>
  <si>
    <t>Summit Holdings</t>
  </si>
  <si>
    <t>CUST-10189</t>
  </si>
  <si>
    <t>CUST-10190</t>
  </si>
  <si>
    <t>CUST-10191</t>
  </si>
  <si>
    <t>CUST-10192</t>
  </si>
  <si>
    <t>CUST-10193</t>
  </si>
  <si>
    <t>Northstar Holdings</t>
  </si>
  <si>
    <t>CUST-10194</t>
  </si>
  <si>
    <t>Summit Enterprises</t>
  </si>
  <si>
    <t>CUST-10195</t>
  </si>
  <si>
    <t>CUST-10196</t>
  </si>
  <si>
    <t>CUST-10197</t>
  </si>
  <si>
    <t>CUST-10198</t>
  </si>
  <si>
    <t>Pioneer Foundation</t>
  </si>
  <si>
    <t>CUST-10199</t>
  </si>
  <si>
    <t>EmployeeID</t>
  </si>
  <si>
    <t>FirstName</t>
  </si>
  <si>
    <t>LastName</t>
  </si>
  <si>
    <t>Department</t>
  </si>
  <si>
    <t>JobTitle</t>
  </si>
  <si>
    <t>Location</t>
  </si>
  <si>
    <t>Email</t>
  </si>
  <si>
    <t>HireDate</t>
  </si>
  <si>
    <t>Sawyer</t>
  </si>
  <si>
    <t>Garcia</t>
  </si>
  <si>
    <t>Sales</t>
  </si>
  <si>
    <t>Account Manager</t>
  </si>
  <si>
    <t>HQ - North</t>
  </si>
  <si>
    <t>sawyer.garcia@apexoffice.example</t>
  </si>
  <si>
    <t>Jamie</t>
  </si>
  <si>
    <t>Johnson</t>
  </si>
  <si>
    <t>IT</t>
  </si>
  <si>
    <t>Systems Admin</t>
  </si>
  <si>
    <t>jamie.johnson@apexoffice.example</t>
  </si>
  <si>
    <t>Lee</t>
  </si>
  <si>
    <t>Procurement</t>
  </si>
  <si>
    <t>Procurement Analyst</t>
  </si>
  <si>
    <t>sawyer.lee@apexoffice.example</t>
  </si>
  <si>
    <t>Riley</t>
  </si>
  <si>
    <t>Walker</t>
  </si>
  <si>
    <t>Warehouse - West</t>
  </si>
  <si>
    <t>riley.walker@apexoffice.example</t>
  </si>
  <si>
    <t>Rowan</t>
  </si>
  <si>
    <t>Allen</t>
  </si>
  <si>
    <t>Financial Analyst</t>
  </si>
  <si>
    <t>HQ - Downtown</t>
  </si>
  <si>
    <t>rowan.allen@apexoffice.example</t>
  </si>
  <si>
    <t>Skyler</t>
  </si>
  <si>
    <t>Facilities</t>
  </si>
  <si>
    <t>Office Manager</t>
  </si>
  <si>
    <t>Warehouse - Central</t>
  </si>
  <si>
    <t>skyler.walker@apexoffice.example</t>
  </si>
  <si>
    <t>Lewis</t>
  </si>
  <si>
    <t>Helpdesk Analyst</t>
  </si>
  <si>
    <t>Remote</t>
  </si>
  <si>
    <t>rowan.lewis@apexoffice.example</t>
  </si>
  <si>
    <t>Quinn</t>
  </si>
  <si>
    <t>Anderson</t>
  </si>
  <si>
    <t>quinn.anderson@apexoffice.example</t>
  </si>
  <si>
    <t>Young</t>
  </si>
  <si>
    <t>Facilities Coordinator</t>
  </si>
  <si>
    <t>rowan.young@apexoffice.example</t>
  </si>
  <si>
    <t>Finley</t>
  </si>
  <si>
    <t>Jackson</t>
  </si>
  <si>
    <t>Payroll Coordinator</t>
  </si>
  <si>
    <t>finley.jackson@apexoffice.example</t>
  </si>
  <si>
    <t>Terminated</t>
  </si>
  <si>
    <t>Morgan</t>
  </si>
  <si>
    <t>Brown</t>
  </si>
  <si>
    <t>morgan.brown@apexoffice.example</t>
  </si>
  <si>
    <t>Taylor</t>
  </si>
  <si>
    <t>Clark</t>
  </si>
  <si>
    <t>HR</t>
  </si>
  <si>
    <t>HR Generalist</t>
  </si>
  <si>
    <t>taylor.clark@apexoffice.example</t>
  </si>
  <si>
    <t>Harris</t>
  </si>
  <si>
    <t>IT Coordinator</t>
  </si>
  <si>
    <t>sawyer.harris@apexoffice.example</t>
  </si>
  <si>
    <t>Jordan</t>
  </si>
  <si>
    <t>Marketing</t>
  </si>
  <si>
    <t>Content Specialist</t>
  </si>
  <si>
    <t>jordan.young@apexoffice.example</t>
  </si>
  <si>
    <t>2024-01-16</t>
  </si>
  <si>
    <t>jamie.anderson@apexoffice.example</t>
  </si>
  <si>
    <t>On Leave</t>
  </si>
  <si>
    <t>Peyton</t>
  </si>
  <si>
    <t>peyton.lee@apexoffice.example</t>
  </si>
  <si>
    <t>skyler.lewis@apexoffice.example</t>
  </si>
  <si>
    <t>Smith</t>
  </si>
  <si>
    <t>taylor.smith@apexoffice.example</t>
  </si>
  <si>
    <t>Reese</t>
  </si>
  <si>
    <t>AP Specialist</t>
  </si>
  <si>
    <t>reese.young@apexoffice.example</t>
  </si>
  <si>
    <t>White</t>
  </si>
  <si>
    <t>Operations</t>
  </si>
  <si>
    <t>Logistics Analyst</t>
  </si>
  <si>
    <t>finley.white@apexoffice.example</t>
  </si>
  <si>
    <t>Thomas</t>
  </si>
  <si>
    <t>jamie.thomas@apexoffice.example</t>
  </si>
  <si>
    <t>Patel</t>
  </si>
  <si>
    <t>HR Coordinator</t>
  </si>
  <si>
    <t>jordan.patel@apexoffice.example</t>
  </si>
  <si>
    <t>riley.clark@apexoffice.example</t>
  </si>
  <si>
    <t>Casey</t>
  </si>
  <si>
    <t>casey.anderson@apexoffice.example</t>
  </si>
  <si>
    <t>Drew</t>
  </si>
  <si>
    <t>drew.garcia@apexoffice.example</t>
  </si>
  <si>
    <t>AR Coordinator</t>
  </si>
  <si>
    <t>taylor.johnson@apexoffice.example</t>
  </si>
  <si>
    <t>Robinson</t>
  </si>
  <si>
    <t>quinn.robinson@apexoffice.example</t>
  </si>
  <si>
    <t>Hayden</t>
  </si>
  <si>
    <t>hayden.lee@apexoffice.example</t>
  </si>
  <si>
    <t>morgan.johnson@apexoffice.example</t>
  </si>
  <si>
    <t>casey.lee@apexoffice.example</t>
  </si>
  <si>
    <t>Marketing Coordinator</t>
  </si>
  <si>
    <t>Martinez</t>
  </si>
  <si>
    <t>rowan.martinez@apexoffice.example</t>
  </si>
  <si>
    <t>skyler.jackson@apexoffice.example</t>
  </si>
  <si>
    <t>taylor.brown@apexoffice.example</t>
  </si>
  <si>
    <t>Blake</t>
  </si>
  <si>
    <t>blake.martinez@apexoffice.example</t>
  </si>
  <si>
    <t>reese.lee@apexoffice.example</t>
  </si>
  <si>
    <t>2024-02-16</t>
  </si>
  <si>
    <t>Emerson</t>
  </si>
  <si>
    <t>emerson.smith@apexoffice.example</t>
  </si>
  <si>
    <t>Sales Coordinator</t>
  </si>
  <si>
    <t>jordan.white@apexoffice.example</t>
  </si>
  <si>
    <t>finley.walker@apexoffice.example</t>
  </si>
  <si>
    <t>Cameron</t>
  </si>
  <si>
    <t>cameron.lee@apexoffice.example</t>
  </si>
  <si>
    <t>hayden.brown@apexoffice.example</t>
  </si>
  <si>
    <t>sawyer.allen@apexoffice.example</t>
  </si>
  <si>
    <t>Nguyen</t>
  </si>
  <si>
    <t>casey.nguyen@apexoffice.example</t>
  </si>
  <si>
    <t>peyton.garcia@apexoffice.example</t>
  </si>
  <si>
    <t>Avery</t>
  </si>
  <si>
    <t>avery.thomas@apexoffice.example</t>
  </si>
  <si>
    <t>Dakota</t>
  </si>
  <si>
    <t>dakota.smith@apexoffice.example</t>
  </si>
  <si>
    <t>dakota.garcia@apexoffice.example</t>
  </si>
  <si>
    <t>drew.white@apexoffice.example</t>
  </si>
  <si>
    <t>2024-03-14</t>
  </si>
  <si>
    <t>taylor.young@apexoffice.example</t>
  </si>
  <si>
    <t>Buyer</t>
  </si>
  <si>
    <t>blake.patel@apexoffice.example</t>
  </si>
  <si>
    <t>jamie.young@apexoffice.example</t>
  </si>
  <si>
    <t>Operations Coordinator</t>
  </si>
  <si>
    <t>emerson.martinez@apexoffice.example</t>
  </si>
  <si>
    <t>Ops Manager</t>
  </si>
  <si>
    <t>jordan.lee@apexoffice.example</t>
  </si>
  <si>
    <t>blake.harris@apexoffice.example</t>
  </si>
  <si>
    <t>2024-07-06</t>
  </si>
  <si>
    <t>casey.white@apexoffice.example</t>
  </si>
  <si>
    <t>casey.brown@apexoffice.example</t>
  </si>
  <si>
    <t>reese.thomas@apexoffice.example</t>
  </si>
  <si>
    <t>casey.young@apexoffice.example</t>
  </si>
  <si>
    <t>reese.harris@apexoffice.example</t>
  </si>
  <si>
    <t>Wilson</t>
  </si>
  <si>
    <t>rowan.wilson@apexoffice.example</t>
  </si>
  <si>
    <t>sawyer.patel@apexoffice.example</t>
  </si>
  <si>
    <t>skyler.clark@apexoffice.example</t>
  </si>
  <si>
    <t>casey.johnson@apexoffice.example</t>
  </si>
  <si>
    <t>taylor.nguyen@apexoffice.example</t>
  </si>
  <si>
    <t>reese.johnson@apexoffice.example</t>
  </si>
  <si>
    <t>hayden.white@apexoffice.example</t>
  </si>
  <si>
    <t>cameron.garcia@apexoffice.example</t>
  </si>
  <si>
    <t>finley.lewis@apexoffice.example</t>
  </si>
  <si>
    <t>cameron.robinson@apexoffice.example</t>
  </si>
  <si>
    <t>drew.lewis@apexoffice.example</t>
  </si>
  <si>
    <t>OrderID</t>
  </si>
  <si>
    <t>OrderDate</t>
  </si>
  <si>
    <t>OrderType</t>
  </si>
  <si>
    <t>ProductCategory</t>
  </si>
  <si>
    <t>Priority</t>
  </si>
  <si>
    <t>ShipMethod</t>
  </si>
  <si>
    <t>SLADueDate</t>
  </si>
  <si>
    <t>ShippedDate</t>
  </si>
  <si>
    <t>Units</t>
  </si>
  <si>
    <t>DiscountRate</t>
  </si>
  <si>
    <t>OrderTotal</t>
  </si>
  <si>
    <t>AssignedRep</t>
  </si>
  <si>
    <t>ORD-100000</t>
  </si>
  <si>
    <t>2025-06-26</t>
  </si>
  <si>
    <t>Low</t>
  </si>
  <si>
    <t>New</t>
  </si>
  <si>
    <t>2-Day</t>
  </si>
  <si>
    <t>2025-07-10</t>
  </si>
  <si>
    <t>Casey Brown</t>
  </si>
  <si>
    <t>ORD-100001</t>
  </si>
  <si>
    <t>2026-01-24</t>
  </si>
  <si>
    <t>Approved</t>
  </si>
  <si>
    <t>Taylor Brown</t>
  </si>
  <si>
    <t>ORD-100002</t>
  </si>
  <si>
    <t>2025-08-29</t>
  </si>
  <si>
    <t>Office Supplies</t>
  </si>
  <si>
    <t>Medium</t>
  </si>
  <si>
    <t>Fulfilled</t>
  </si>
  <si>
    <t>Overnight</t>
  </si>
  <si>
    <t>2025-09-05</t>
  </si>
  <si>
    <t>2025-09-01</t>
  </si>
  <si>
    <t>Sawyer Patel</t>
  </si>
  <si>
    <t>ORD-100003</t>
  </si>
  <si>
    <t>2025-07-30</t>
  </si>
  <si>
    <t>2025-08-06</t>
  </si>
  <si>
    <t>ORD-100004</t>
  </si>
  <si>
    <t>2024-01-21</t>
  </si>
  <si>
    <t>2024-01-28</t>
  </si>
  <si>
    <t>Finley White</t>
  </si>
  <si>
    <t>ORD-100005</t>
  </si>
  <si>
    <t>2024-03-01</t>
  </si>
  <si>
    <t>High</t>
  </si>
  <si>
    <t>Avery Thomas</t>
  </si>
  <si>
    <t>ORD-100006</t>
  </si>
  <si>
    <t>2025-12-22</t>
  </si>
  <si>
    <t>Cancelled</t>
  </si>
  <si>
    <t>Pickup</t>
  </si>
  <si>
    <t>Jamie Johnson</t>
  </si>
  <si>
    <t>ORD-100007</t>
  </si>
  <si>
    <t>2025-10-26</t>
  </si>
  <si>
    <t>Delayed</t>
  </si>
  <si>
    <t>2025-11-02</t>
  </si>
  <si>
    <t>2025-11-05</t>
  </si>
  <si>
    <t>Sawyer Allen</t>
  </si>
  <si>
    <t>ORD-100008</t>
  </si>
  <si>
    <t>2024-06-28</t>
  </si>
  <si>
    <t>2024-07-01</t>
  </si>
  <si>
    <t>Sawyer Lee</t>
  </si>
  <si>
    <t>ORD-100009</t>
  </si>
  <si>
    <t>2025-09-08</t>
  </si>
  <si>
    <t>2025-09-11</t>
  </si>
  <si>
    <t>2025-09-12</t>
  </si>
  <si>
    <t>Morgan Brown</t>
  </si>
  <si>
    <t>ORD-100010</t>
  </si>
  <si>
    <t>2024-12-21</t>
  </si>
  <si>
    <t>2024-12-24</t>
  </si>
  <si>
    <t>2024-12-26</t>
  </si>
  <si>
    <t>Sawyer Garcia</t>
  </si>
  <si>
    <t>ORD-100011</t>
  </si>
  <si>
    <t>2024-08-02</t>
  </si>
  <si>
    <t>Ground</t>
  </si>
  <si>
    <t>2024-08-16</t>
  </si>
  <si>
    <t>2024-08-09</t>
  </si>
  <si>
    <t>Emerson Martinez</t>
  </si>
  <si>
    <t>ORD-100012</t>
  </si>
  <si>
    <t>2024-06-19</t>
  </si>
  <si>
    <t>2024-06-26</t>
  </si>
  <si>
    <t>ORD-100013</t>
  </si>
  <si>
    <t>2024-02-04</t>
  </si>
  <si>
    <t>2024-02-07</t>
  </si>
  <si>
    <t>ORD-100014</t>
  </si>
  <si>
    <t>2025-07-14</t>
  </si>
  <si>
    <t>2025-07-28</t>
  </si>
  <si>
    <t>2025-07-24</t>
  </si>
  <si>
    <t>ORD-100015</t>
  </si>
  <si>
    <t>2025-03-20</t>
  </si>
  <si>
    <t>2025-04-03</t>
  </si>
  <si>
    <t>Reese Lee</t>
  </si>
  <si>
    <t>ORD-100016</t>
  </si>
  <si>
    <t>2024-10-31</t>
  </si>
  <si>
    <t>2024-11-07</t>
  </si>
  <si>
    <t>ORD-100017</t>
  </si>
  <si>
    <t>2024-03-30</t>
  </si>
  <si>
    <t>2024-04-02</t>
  </si>
  <si>
    <t>ORD-100018</t>
  </si>
  <si>
    <t>2024-03-24</t>
  </si>
  <si>
    <t>2024-03-31</t>
  </si>
  <si>
    <t>Cameron Garcia</t>
  </si>
  <si>
    <t>ORD-100019</t>
  </si>
  <si>
    <t>2025-01-31</t>
  </si>
  <si>
    <t>2025-02-07</t>
  </si>
  <si>
    <t>ORD-100020</t>
  </si>
  <si>
    <t>2024-10-02</t>
  </si>
  <si>
    <t>2024-10-09</t>
  </si>
  <si>
    <t>Jamie Young</t>
  </si>
  <si>
    <t>ORD-100021</t>
  </si>
  <si>
    <t>2025-08-26</t>
  </si>
  <si>
    <t>2025-09-09</t>
  </si>
  <si>
    <t>ORD-100022</t>
  </si>
  <si>
    <t>2025-05-02</t>
  </si>
  <si>
    <t>2025-05-09</t>
  </si>
  <si>
    <t>2025-05-05</t>
  </si>
  <si>
    <t>ORD-100023</t>
  </si>
  <si>
    <t>2024-06-20</t>
  </si>
  <si>
    <t>2024-06-23</t>
  </si>
  <si>
    <t>2024-06-30</t>
  </si>
  <si>
    <t>Taylor Smith</t>
  </si>
  <si>
    <t>ORD-100024</t>
  </si>
  <si>
    <t>2024-09-21</t>
  </si>
  <si>
    <t>2024-09-28</t>
  </si>
  <si>
    <t>Jordan Lee</t>
  </si>
  <si>
    <t>ORD-100025</t>
  </si>
  <si>
    <t>2025-04-14</t>
  </si>
  <si>
    <t>2025-04-28</t>
  </si>
  <si>
    <t>ORD-100026</t>
  </si>
  <si>
    <t>2025-08-25</t>
  </si>
  <si>
    <t>ORD-100027</t>
  </si>
  <si>
    <t>2025-02-24</t>
  </si>
  <si>
    <t>2025-03-03</t>
  </si>
  <si>
    <t>ORD-100028</t>
  </si>
  <si>
    <t>2025-09-25</t>
  </si>
  <si>
    <t>2025-10-02</t>
  </si>
  <si>
    <t>2025-09-30</t>
  </si>
  <si>
    <t>ORD-100029</t>
  </si>
  <si>
    <t>2025-01-16</t>
  </si>
  <si>
    <t>2025-01-21</t>
  </si>
  <si>
    <t>ORD-100030</t>
  </si>
  <si>
    <t>2026-01-31</t>
  </si>
  <si>
    <t>ORD-100031</t>
  </si>
  <si>
    <t>2025-02-20</t>
  </si>
  <si>
    <t>2025-03-06</t>
  </si>
  <si>
    <t>2025-03-01</t>
  </si>
  <si>
    <t>ORD-100032</t>
  </si>
  <si>
    <t>2025-02-17</t>
  </si>
  <si>
    <t>ORD-100033</t>
  </si>
  <si>
    <t>2024-02-03</t>
  </si>
  <si>
    <t>2024-02-10</t>
  </si>
  <si>
    <t>Jamie Anderson</t>
  </si>
  <si>
    <t>ORD-100034</t>
  </si>
  <si>
    <t>2024-09-04</t>
  </si>
  <si>
    <t>2024-09-18</t>
  </si>
  <si>
    <t>2024-09-09</t>
  </si>
  <si>
    <t>ORD-100035</t>
  </si>
  <si>
    <t>2025-12-06</t>
  </si>
  <si>
    <t>2025-12-09</t>
  </si>
  <si>
    <t>2025-12-10</t>
  </si>
  <si>
    <t>ORD-100036</t>
  </si>
  <si>
    <t>2025-11-24</t>
  </si>
  <si>
    <t>2025-11-27</t>
  </si>
  <si>
    <t>ORD-100037</t>
  </si>
  <si>
    <t>2025-09-07</t>
  </si>
  <si>
    <t>2025-09-21</t>
  </si>
  <si>
    <t>2025-09-13</t>
  </si>
  <si>
    <t>Blake Patel</t>
  </si>
  <si>
    <t>ORD-100038</t>
  </si>
  <si>
    <t>2025-04-15</t>
  </si>
  <si>
    <t>2025-04-22</t>
  </si>
  <si>
    <t>2025-04-21</t>
  </si>
  <si>
    <t>ORD-100039</t>
  </si>
  <si>
    <t>2025-08-04</t>
  </si>
  <si>
    <t>2025-08-03</t>
  </si>
  <si>
    <t>ORD-100040</t>
  </si>
  <si>
    <t>2024-10-10</t>
  </si>
  <si>
    <t>2024-10-17</t>
  </si>
  <si>
    <t>Skyler Clark</t>
  </si>
  <si>
    <t>ORD-100041</t>
  </si>
  <si>
    <t>ORD-100042</t>
  </si>
  <si>
    <t>2025-02-01</t>
  </si>
  <si>
    <t>2025-02-15</t>
  </si>
  <si>
    <t>ORD-100043</t>
  </si>
  <si>
    <t>2025-10-15</t>
  </si>
  <si>
    <t>2025-10-29</t>
  </si>
  <si>
    <t>ORD-100044</t>
  </si>
  <si>
    <t>2024-05-11</t>
  </si>
  <si>
    <t>2024-05-25</t>
  </si>
  <si>
    <t>2024-05-15</t>
  </si>
  <si>
    <t>ORD-100045</t>
  </si>
  <si>
    <t>2024-12-29</t>
  </si>
  <si>
    <t>ORD-100046</t>
  </si>
  <si>
    <t>2025-04-19</t>
  </si>
  <si>
    <t>2025-04-26</t>
  </si>
  <si>
    <t>Skyler Jackson</t>
  </si>
  <si>
    <t>ORD-100047</t>
  </si>
  <si>
    <t>2024-05-02</t>
  </si>
  <si>
    <t>2024-05-16</t>
  </si>
  <si>
    <t>ORD-100048</t>
  </si>
  <si>
    <t>ORD-100049</t>
  </si>
  <si>
    <t>2024-11-16</t>
  </si>
  <si>
    <t>2024-11-23</t>
  </si>
  <si>
    <t>2024-11-19</t>
  </si>
  <si>
    <t>ORD-100050</t>
  </si>
  <si>
    <t>2025-10-05</t>
  </si>
  <si>
    <t>ORD-100051</t>
  </si>
  <si>
    <t>2026-01-18</t>
  </si>
  <si>
    <t>2026-01-25</t>
  </si>
  <si>
    <t>ORD-100052</t>
  </si>
  <si>
    <t>2024-08-19</t>
  </si>
  <si>
    <t>2024-08-26</t>
  </si>
  <si>
    <t>ORD-100053</t>
  </si>
  <si>
    <t>2024-10-24</t>
  </si>
  <si>
    <t>2024-10-30</t>
  </si>
  <si>
    <t>ORD-100054</t>
  </si>
  <si>
    <t>2024-07-11</t>
  </si>
  <si>
    <t>2024-07-18</t>
  </si>
  <si>
    <t>ORD-100055</t>
  </si>
  <si>
    <t>2024-06-22</t>
  </si>
  <si>
    <t>ORD-100056</t>
  </si>
  <si>
    <t>2025-08-31</t>
  </si>
  <si>
    <t>2025-09-03</t>
  </si>
  <si>
    <t>2025-09-02</t>
  </si>
  <si>
    <t>ORD-100057</t>
  </si>
  <si>
    <t>2025-07-21</t>
  </si>
  <si>
    <t>2025-07-16</t>
  </si>
  <si>
    <t>ORD-100058</t>
  </si>
  <si>
    <t>2025-11-09</t>
  </si>
  <si>
    <t>2025-11-12</t>
  </si>
  <si>
    <t>2025-11-11</t>
  </si>
  <si>
    <t>ORD-100059</t>
  </si>
  <si>
    <t>2024-10-16</t>
  </si>
  <si>
    <t>Cameron Robinson</t>
  </si>
  <si>
    <t>ORD-100060</t>
  </si>
  <si>
    <t>2025-02-23</t>
  </si>
  <si>
    <t>2025-03-09</t>
  </si>
  <si>
    <t>ORD-100061</t>
  </si>
  <si>
    <t>2024-01-14</t>
  </si>
  <si>
    <t>2024-01-19</t>
  </si>
  <si>
    <t>ORD-100062</t>
  </si>
  <si>
    <t>2025-10-21</t>
  </si>
  <si>
    <t>2025-10-24</t>
  </si>
  <si>
    <t>2025-10-27</t>
  </si>
  <si>
    <t>ORD-100063</t>
  </si>
  <si>
    <t>2025-03-12</t>
  </si>
  <si>
    <t>2025-03-15</t>
  </si>
  <si>
    <t>ORD-100064</t>
  </si>
  <si>
    <t>2025-09-28</t>
  </si>
  <si>
    <t>Blake Martinez</t>
  </si>
  <si>
    <t>ORD-100065</t>
  </si>
  <si>
    <t>2025-01-29</t>
  </si>
  <si>
    <t>ORD-100066</t>
  </si>
  <si>
    <t>2025-03-02</t>
  </si>
  <si>
    <t>2025-03-05</t>
  </si>
  <si>
    <t>ORD-100067</t>
  </si>
  <si>
    <t>2025-05-12</t>
  </si>
  <si>
    <t>2025-05-18</t>
  </si>
  <si>
    <t>ORD-100068</t>
  </si>
  <si>
    <t>ORD-100069</t>
  </si>
  <si>
    <t>2025-05-08</t>
  </si>
  <si>
    <t>2025-05-11</t>
  </si>
  <si>
    <t>ORD-100070</t>
  </si>
  <si>
    <t>2025-06-01</t>
  </si>
  <si>
    <t>2025-06-15</t>
  </si>
  <si>
    <t>ORD-100071</t>
  </si>
  <si>
    <t>2025-06-03</t>
  </si>
  <si>
    <t>ORD-100072</t>
  </si>
  <si>
    <t>2024-04-01</t>
  </si>
  <si>
    <t>ORD-100073</t>
  </si>
  <si>
    <t>2025-07-31</t>
  </si>
  <si>
    <t>ORD-100074</t>
  </si>
  <si>
    <t>2025-11-01</t>
  </si>
  <si>
    <t>2025-11-15</t>
  </si>
  <si>
    <t>ORD-100075</t>
  </si>
  <si>
    <t>2025-04-29</t>
  </si>
  <si>
    <t>2025-05-04</t>
  </si>
  <si>
    <t>ORD-100076</t>
  </si>
  <si>
    <t>ORD-100077</t>
  </si>
  <si>
    <t>2024-07-19</t>
  </si>
  <si>
    <t>2024-07-26</t>
  </si>
  <si>
    <t>2024-07-20</t>
  </si>
  <si>
    <t>ORD-100078</t>
  </si>
  <si>
    <t>2025-10-10</t>
  </si>
  <si>
    <t>2025-10-17</t>
  </si>
  <si>
    <t>2025-10-19</t>
  </si>
  <si>
    <t>ORD-100079</t>
  </si>
  <si>
    <t>2026-01-23</t>
  </si>
  <si>
    <t>2026-01-30</t>
  </si>
  <si>
    <t>2026-01-26</t>
  </si>
  <si>
    <t>ORD-100080</t>
  </si>
  <si>
    <t>ORD-100081</t>
  </si>
  <si>
    <t>2025-12-24</t>
  </si>
  <si>
    <t>2025-12-20</t>
  </si>
  <si>
    <t>ORD-100082</t>
  </si>
  <si>
    <t>2025-12-17</t>
  </si>
  <si>
    <t>2025-12-31</t>
  </si>
  <si>
    <t>2025-12-27</t>
  </si>
  <si>
    <t>ORD-100083</t>
  </si>
  <si>
    <t>2026-01-01</t>
  </si>
  <si>
    <t>2026-01-04</t>
  </si>
  <si>
    <t>ORD-100084</t>
  </si>
  <si>
    <t>2025-12-28</t>
  </si>
  <si>
    <t>ORD-100085</t>
  </si>
  <si>
    <t>2025-03-08</t>
  </si>
  <si>
    <t>2025-03-11</t>
  </si>
  <si>
    <t>2025-03-13</t>
  </si>
  <si>
    <t>ORD-100086</t>
  </si>
  <si>
    <t>2025-11-30</t>
  </si>
  <si>
    <t>2025-12-14</t>
  </si>
  <si>
    <t>ORD-100087</t>
  </si>
  <si>
    <t>2024-04-14</t>
  </si>
  <si>
    <t>2024-04-21</t>
  </si>
  <si>
    <t>2024-04-19</t>
  </si>
  <si>
    <t>ORD-100088</t>
  </si>
  <si>
    <t>ORD-100089</t>
  </si>
  <si>
    <t>2025-09-27</t>
  </si>
  <si>
    <t>2025-10-04</t>
  </si>
  <si>
    <t>ORD-100090</t>
  </si>
  <si>
    <t>2025-04-04</t>
  </si>
  <si>
    <t>2025-04-09</t>
  </si>
  <si>
    <t>ORD-100091</t>
  </si>
  <si>
    <t>2025-07-23</t>
  </si>
  <si>
    <t>ORD-100092</t>
  </si>
  <si>
    <t>2024-11-26</t>
  </si>
  <si>
    <t>2024-12-02</t>
  </si>
  <si>
    <t>ORD-100093</t>
  </si>
  <si>
    <t>2024-03-15</t>
  </si>
  <si>
    <t>2024-03-22</t>
  </si>
  <si>
    <t>ORD-100094</t>
  </si>
  <si>
    <t>ORD-100095</t>
  </si>
  <si>
    <t>2025-06-27</t>
  </si>
  <si>
    <t>2025-07-04</t>
  </si>
  <si>
    <t>ORD-100096</t>
  </si>
  <si>
    <t>ORD-100097</t>
  </si>
  <si>
    <t>2025-07-07</t>
  </si>
  <si>
    <t>2025-07-12</t>
  </si>
  <si>
    <t>ORD-100098</t>
  </si>
  <si>
    <t>ORD-100099</t>
  </si>
  <si>
    <t>2024-08-03</t>
  </si>
  <si>
    <t>2024-08-10</t>
  </si>
  <si>
    <t>ORD-100100</t>
  </si>
  <si>
    <t>2025-12-03</t>
  </si>
  <si>
    <t>ORD-100101</t>
  </si>
  <si>
    <t>2024-03-13</t>
  </si>
  <si>
    <t>2024-03-20</t>
  </si>
  <si>
    <t>ORD-100102</t>
  </si>
  <si>
    <t>2025-11-20</t>
  </si>
  <si>
    <t>2025-11-26</t>
  </si>
  <si>
    <t>ORD-100103</t>
  </si>
  <si>
    <t>2025-05-29</t>
  </si>
  <si>
    <t>2025-06-05</t>
  </si>
  <si>
    <t>ORD-100104</t>
  </si>
  <si>
    <t>2025-11-07</t>
  </si>
  <si>
    <t>2025-11-10</t>
  </si>
  <si>
    <t>ORD-100105</t>
  </si>
  <si>
    <t>2024-11-01</t>
  </si>
  <si>
    <t>ORD-100106</t>
  </si>
  <si>
    <t>2025-02-14</t>
  </si>
  <si>
    <t>2025-02-16</t>
  </si>
  <si>
    <t>ORD-100107</t>
  </si>
  <si>
    <t>2024-06-01</t>
  </si>
  <si>
    <t>ORD-100108</t>
  </si>
  <si>
    <t>2025-10-22</t>
  </si>
  <si>
    <t>ORD-100109</t>
  </si>
  <si>
    <t>2024-05-14</t>
  </si>
  <si>
    <t>Jordan White</t>
  </si>
  <si>
    <t>ORD-100110</t>
  </si>
  <si>
    <t>2025-09-23</t>
  </si>
  <si>
    <t>2025-09-29</t>
  </si>
  <si>
    <t>ORD-100111</t>
  </si>
  <si>
    <t>2024-09-16</t>
  </si>
  <si>
    <t>ORD-100112</t>
  </si>
  <si>
    <t>2025-04-01</t>
  </si>
  <si>
    <t>2025-04-10</t>
  </si>
  <si>
    <t>ORD-100113</t>
  </si>
  <si>
    <t>2024-07-23</t>
  </si>
  <si>
    <t>ORD-100114</t>
  </si>
  <si>
    <t>2025-02-18</t>
  </si>
  <si>
    <t>2025-02-25</t>
  </si>
  <si>
    <t>ORD-100115</t>
  </si>
  <si>
    <t>2025-01-09</t>
  </si>
  <si>
    <t>ORD-100116</t>
  </si>
  <si>
    <t>2025-06-12</t>
  </si>
  <si>
    <t>2025-06-06</t>
  </si>
  <si>
    <t>ORD-100117</t>
  </si>
  <si>
    <t>2024-06-12</t>
  </si>
  <si>
    <t>2024-06-16</t>
  </si>
  <si>
    <t>ORD-100118</t>
  </si>
  <si>
    <t>2025-05-14</t>
  </si>
  <si>
    <t>2025-05-17</t>
  </si>
  <si>
    <t>ORD-100119</t>
  </si>
  <si>
    <t>2025-04-17</t>
  </si>
  <si>
    <t>ORD-100120</t>
  </si>
  <si>
    <t>2025-07-11</t>
  </si>
  <si>
    <t>2025-07-18</t>
  </si>
  <si>
    <t>ORD-100121</t>
  </si>
  <si>
    <t>2024-08-23</t>
  </si>
  <si>
    <t>ORD-100122</t>
  </si>
  <si>
    <t>2024-06-18</t>
  </si>
  <si>
    <t>ORD-100123</t>
  </si>
  <si>
    <t>2024-05-01</t>
  </si>
  <si>
    <t>2024-05-04</t>
  </si>
  <si>
    <t>ORD-100124</t>
  </si>
  <si>
    <t>2025-10-31</t>
  </si>
  <si>
    <t>ORD-100125</t>
  </si>
  <si>
    <t>2024-02-27</t>
  </si>
  <si>
    <t>ORD-100126</t>
  </si>
  <si>
    <t>2024-10-20</t>
  </si>
  <si>
    <t>ORD-100127</t>
  </si>
  <si>
    <t>2025-08-19</t>
  </si>
  <si>
    <t>2025-08-21</t>
  </si>
  <si>
    <t>ORD-100128</t>
  </si>
  <si>
    <t>2024-08-30</t>
  </si>
  <si>
    <t>2024-08-25</t>
  </si>
  <si>
    <t>ORD-100129</t>
  </si>
  <si>
    <t>2024-07-14</t>
  </si>
  <si>
    <t>2024-07-03</t>
  </si>
  <si>
    <t>ORD-100130</t>
  </si>
  <si>
    <t>ORD-100131</t>
  </si>
  <si>
    <t>2025-03-22</t>
  </si>
  <si>
    <t>ORD-100132</t>
  </si>
  <si>
    <t>2025-05-03</t>
  </si>
  <si>
    <t>2025-05-10</t>
  </si>
  <si>
    <t>ORD-100133</t>
  </si>
  <si>
    <t>2025-08-14</t>
  </si>
  <si>
    <t>2025-08-16</t>
  </si>
  <si>
    <t>ORD-100134</t>
  </si>
  <si>
    <t>2024-06-07</t>
  </si>
  <si>
    <t>ORD-100135</t>
  </si>
  <si>
    <t>2025-12-11</t>
  </si>
  <si>
    <t>2025-12-05</t>
  </si>
  <si>
    <t>ORD-100136</t>
  </si>
  <si>
    <t>2024-09-23</t>
  </si>
  <si>
    <t>ORD-100137</t>
  </si>
  <si>
    <t>2025-04-02</t>
  </si>
  <si>
    <t>2025-04-16</t>
  </si>
  <si>
    <t>ORD-100138</t>
  </si>
  <si>
    <t>2024-04-03</t>
  </si>
  <si>
    <t>ORD-100139</t>
  </si>
  <si>
    <t>2026-01-11</t>
  </si>
  <si>
    <t>ORD-100140</t>
  </si>
  <si>
    <t>2025-05-21</t>
  </si>
  <si>
    <t>ORD-100141</t>
  </si>
  <si>
    <t>2025-06-19</t>
  </si>
  <si>
    <t>ORD-100142</t>
  </si>
  <si>
    <t>2024-12-27</t>
  </si>
  <si>
    <t>2024-12-30</t>
  </si>
  <si>
    <t>2025-01-05</t>
  </si>
  <si>
    <t>ORD-100143</t>
  </si>
  <si>
    <t>ORD-100144</t>
  </si>
  <si>
    <t>2024-09-24</t>
  </si>
  <si>
    <t>2024-09-27</t>
  </si>
  <si>
    <t>ORD-100145</t>
  </si>
  <si>
    <t>ORD-100146</t>
  </si>
  <si>
    <t>2025-08-23</t>
  </si>
  <si>
    <t>2025-08-30</t>
  </si>
  <si>
    <t>2025-08-27</t>
  </si>
  <si>
    <t>ORD-100147</t>
  </si>
  <si>
    <t>ORD-100148</t>
  </si>
  <si>
    <t>ORD-100149</t>
  </si>
  <si>
    <t>2024-07-13</t>
  </si>
  <si>
    <t>ORD-100150</t>
  </si>
  <si>
    <t>2025-10-09</t>
  </si>
  <si>
    <t>ORD-100151</t>
  </si>
  <si>
    <t>2024-02-13</t>
  </si>
  <si>
    <t>2024-02-22</t>
  </si>
  <si>
    <t>ORD-100152</t>
  </si>
  <si>
    <t>2024-10-13</t>
  </si>
  <si>
    <t>ORD-100153</t>
  </si>
  <si>
    <t>2025-01-04</t>
  </si>
  <si>
    <t>2024-12-22</t>
  </si>
  <si>
    <t>ORD-100154</t>
  </si>
  <si>
    <t>2024-01-13</t>
  </si>
  <si>
    <t>2024-01-20</t>
  </si>
  <si>
    <t>2024-01-17</t>
  </si>
  <si>
    <t>ORD-100155</t>
  </si>
  <si>
    <t>ORD-100156</t>
  </si>
  <si>
    <t>ORD-100157</t>
  </si>
  <si>
    <t>2024-08-29</t>
  </si>
  <si>
    <t>2024-09-01</t>
  </si>
  <si>
    <t>ORD-100158</t>
  </si>
  <si>
    <t>2025-03-07</t>
  </si>
  <si>
    <t>ORD-100159</t>
  </si>
  <si>
    <t>2025-07-29</t>
  </si>
  <si>
    <t>2025-08-01</t>
  </si>
  <si>
    <t>ORD-100160</t>
  </si>
  <si>
    <t>2024-04-08</t>
  </si>
  <si>
    <t>2024-04-15</t>
  </si>
  <si>
    <t>ORD-100161</t>
  </si>
  <si>
    <t>2024-05-10</t>
  </si>
  <si>
    <t>ORD-100162</t>
  </si>
  <si>
    <t>2025-12-04</t>
  </si>
  <si>
    <t>ORD-100163</t>
  </si>
  <si>
    <t>2024-05-28</t>
  </si>
  <si>
    <t>2024-06-04</t>
  </si>
  <si>
    <t>2024-05-31</t>
  </si>
  <si>
    <t>ORD-100164</t>
  </si>
  <si>
    <t>2024-12-17</t>
  </si>
  <si>
    <t>ORD-100165</t>
  </si>
  <si>
    <t>2025-08-24</t>
  </si>
  <si>
    <t>ORD-100166</t>
  </si>
  <si>
    <t>ORD-100167</t>
  </si>
  <si>
    <t>2025-02-10</t>
  </si>
  <si>
    <t>ORD-100168</t>
  </si>
  <si>
    <t>2024-09-10</t>
  </si>
  <si>
    <t>2024-09-17</t>
  </si>
  <si>
    <t>ORD-100169</t>
  </si>
  <si>
    <t>2024-11-29</t>
  </si>
  <si>
    <t>2024-12-06</t>
  </si>
  <si>
    <t>2024-12-07</t>
  </si>
  <si>
    <t>ORD-100170</t>
  </si>
  <si>
    <t>2025-10-08</t>
  </si>
  <si>
    <t>ORD-100171</t>
  </si>
  <si>
    <t>2024-08-20</t>
  </si>
  <si>
    <t>2024-08-27</t>
  </si>
  <si>
    <t>ORD-100172</t>
  </si>
  <si>
    <t>2024-12-18</t>
  </si>
  <si>
    <t>2025-01-01</t>
  </si>
  <si>
    <t>2024-12-25</t>
  </si>
  <si>
    <t>ORD-100173</t>
  </si>
  <si>
    <t>2024-10-26</t>
  </si>
  <si>
    <t>2024-11-02</t>
  </si>
  <si>
    <t>ORD-100174</t>
  </si>
  <si>
    <t>ORD-100175</t>
  </si>
  <si>
    <t>2025-12-25</t>
  </si>
  <si>
    <t>ORD-100176</t>
  </si>
  <si>
    <t>2024-10-23</t>
  </si>
  <si>
    <t>ORD-100177</t>
  </si>
  <si>
    <t>2024-02-20</t>
  </si>
  <si>
    <t>ORD-100178</t>
  </si>
  <si>
    <t>ORD-100179</t>
  </si>
  <si>
    <t>ORD-100180</t>
  </si>
  <si>
    <t>ORD-100181</t>
  </si>
  <si>
    <t>2024-09-13</t>
  </si>
  <si>
    <t>ORD-100182</t>
  </si>
  <si>
    <t>2024-12-01</t>
  </si>
  <si>
    <t>ORD-100183</t>
  </si>
  <si>
    <t>2024-07-22</t>
  </si>
  <si>
    <t>ORD-100184</t>
  </si>
  <si>
    <t>2024-06-27</t>
  </si>
  <si>
    <t>ORD-100185</t>
  </si>
  <si>
    <t>2024-06-14</t>
  </si>
  <si>
    <t>2024-06-08</t>
  </si>
  <si>
    <t>ORD-100186</t>
  </si>
  <si>
    <t>2025-01-02</t>
  </si>
  <si>
    <t>ORD-100187</t>
  </si>
  <si>
    <t>2025-03-25</t>
  </si>
  <si>
    <t>ORD-100188</t>
  </si>
  <si>
    <t>2025-03-24</t>
  </si>
  <si>
    <t>2025-03-27</t>
  </si>
  <si>
    <t>ORD-100189</t>
  </si>
  <si>
    <t>2024-10-08</t>
  </si>
  <si>
    <t>2024-10-11</t>
  </si>
  <si>
    <t>ORD-100190</t>
  </si>
  <si>
    <t>ORD-100191</t>
  </si>
  <si>
    <t>2026-01-08</t>
  </si>
  <si>
    <t>2026-01-14</t>
  </si>
  <si>
    <t>ORD-100192</t>
  </si>
  <si>
    <t>ORD-100193</t>
  </si>
  <si>
    <t>2024-07-25</t>
  </si>
  <si>
    <t>2024-08-01</t>
  </si>
  <si>
    <t>2024-08-04</t>
  </si>
  <si>
    <t>ORD-100194</t>
  </si>
  <si>
    <t>2024-09-19</t>
  </si>
  <si>
    <t>2024-09-22</t>
  </si>
  <si>
    <t>ORD-100195</t>
  </si>
  <si>
    <t>2025-04-24</t>
  </si>
  <si>
    <t>ORD-100196</t>
  </si>
  <si>
    <t>2025-10-07</t>
  </si>
  <si>
    <t>ORD-100197</t>
  </si>
  <si>
    <t>2024-04-13</t>
  </si>
  <si>
    <t>2024-04-20</t>
  </si>
  <si>
    <t>ORD-100198</t>
  </si>
  <si>
    <t>2025-03-04</t>
  </si>
  <si>
    <t>ORD-100199</t>
  </si>
  <si>
    <t>2025-07-17</t>
  </si>
  <si>
    <t>ORD-100200</t>
  </si>
  <si>
    <t>2025-01-15</t>
  </si>
  <si>
    <t>2025-01-22</t>
  </si>
  <si>
    <t>2025-01-20</t>
  </si>
  <si>
    <t>ORD-100201</t>
  </si>
  <si>
    <t>2025-01-03</t>
  </si>
  <si>
    <t>2025-01-06</t>
  </si>
  <si>
    <t>ORD-100202</t>
  </si>
  <si>
    <t>2024-11-05</t>
  </si>
  <si>
    <t>2024-11-12</t>
  </si>
  <si>
    <t>ORD-100203</t>
  </si>
  <si>
    <t>2025-08-07</t>
  </si>
  <si>
    <t>ORD-100204</t>
  </si>
  <si>
    <t>ORD-100205</t>
  </si>
  <si>
    <t>2025-05-16</t>
  </si>
  <si>
    <t>ORD-100206</t>
  </si>
  <si>
    <t>2024-02-08</t>
  </si>
  <si>
    <t>ORD-100207</t>
  </si>
  <si>
    <t>ORD-100208</t>
  </si>
  <si>
    <t>2025-08-11</t>
  </si>
  <si>
    <t>ORD-100209</t>
  </si>
  <si>
    <t>2025-05-31</t>
  </si>
  <si>
    <t>2025-06-07</t>
  </si>
  <si>
    <t>ORD-100210</t>
  </si>
  <si>
    <t>ORD-100211</t>
  </si>
  <si>
    <t>2024-07-21</t>
  </si>
  <si>
    <t>2024-07-28</t>
  </si>
  <si>
    <t>ORD-100212</t>
  </si>
  <si>
    <t>2024-09-29</t>
  </si>
  <si>
    <t>2024-10-03</t>
  </si>
  <si>
    <t>ORD-100213</t>
  </si>
  <si>
    <t>2024-11-24</t>
  </si>
  <si>
    <t>ORD-100214</t>
  </si>
  <si>
    <t>2025-03-30</t>
  </si>
  <si>
    <t>2025-03-31</t>
  </si>
  <si>
    <t>ORD-100215</t>
  </si>
  <si>
    <t>2025-10-11</t>
  </si>
  <si>
    <t>ORD-100216</t>
  </si>
  <si>
    <t>ORD-100217</t>
  </si>
  <si>
    <t>ORD-100218</t>
  </si>
  <si>
    <t>2025-11-08</t>
  </si>
  <si>
    <t>2025-11-06</t>
  </si>
  <si>
    <t>ORD-100219</t>
  </si>
  <si>
    <t>2025-10-28</t>
  </si>
  <si>
    <t>ORD-100220</t>
  </si>
  <si>
    <t>2024-07-09</t>
  </si>
  <si>
    <t>2024-07-16</t>
  </si>
  <si>
    <t>ORD-100221</t>
  </si>
  <si>
    <t>2025-02-06</t>
  </si>
  <si>
    <t>2025-02-13</t>
  </si>
  <si>
    <t>ORD-100222</t>
  </si>
  <si>
    <t>2024-09-20</t>
  </si>
  <si>
    <t>ORD-100223</t>
  </si>
  <si>
    <t>ORD-100224</t>
  </si>
  <si>
    <t>ORD-100225</t>
  </si>
  <si>
    <t>2024-05-18</t>
  </si>
  <si>
    <t>ORD-100226</t>
  </si>
  <si>
    <t>2026-01-06</t>
  </si>
  <si>
    <t>ORD-100227</t>
  </si>
  <si>
    <t>2024-11-06</t>
  </si>
  <si>
    <t>2024-11-20</t>
  </si>
  <si>
    <t>ORD-100228</t>
  </si>
  <si>
    <t>2024-07-08</t>
  </si>
  <si>
    <t>2024-07-15</t>
  </si>
  <si>
    <t>ORD-100229</t>
  </si>
  <si>
    <t>ORD-100230</t>
  </si>
  <si>
    <t>2025-04-30</t>
  </si>
  <si>
    <t>2025-05-07</t>
  </si>
  <si>
    <t>ORD-100231</t>
  </si>
  <si>
    <t>ORD-100232</t>
  </si>
  <si>
    <t>2025-04-13</t>
  </si>
  <si>
    <t>2025-04-23</t>
  </si>
  <si>
    <t>ORD-100233</t>
  </si>
  <si>
    <t>2025-09-04</t>
  </si>
  <si>
    <t>ORD-100234</t>
  </si>
  <si>
    <t>2025-06-22</t>
  </si>
  <si>
    <t>ORD-100235</t>
  </si>
  <si>
    <t>2025-02-11</t>
  </si>
  <si>
    <t>ORD-100236</t>
  </si>
  <si>
    <t>ORD-100237</t>
  </si>
  <si>
    <t>2024-11-27</t>
  </si>
  <si>
    <t>2024-12-11</t>
  </si>
  <si>
    <t>ORD-100238</t>
  </si>
  <si>
    <t>2025-12-16</t>
  </si>
  <si>
    <t>ORD-100239</t>
  </si>
  <si>
    <t>2024-03-28</t>
  </si>
  <si>
    <t>2024-04-11</t>
  </si>
  <si>
    <t>2024-04-04</t>
  </si>
  <si>
    <t>ORD-100240</t>
  </si>
  <si>
    <t>2024-02-14</t>
  </si>
  <si>
    <t>2024-02-28</t>
  </si>
  <si>
    <t>ORD-100241</t>
  </si>
  <si>
    <t>2024-03-07</t>
  </si>
  <si>
    <t>ORD-100242</t>
  </si>
  <si>
    <t>2024-07-30</t>
  </si>
  <si>
    <t>ORD-100243</t>
  </si>
  <si>
    <t>2024-08-17</t>
  </si>
  <si>
    <t>ORD-100244</t>
  </si>
  <si>
    <t>2025-09-26</t>
  </si>
  <si>
    <t>ORD-100245</t>
  </si>
  <si>
    <t>2024-02-06</t>
  </si>
  <si>
    <t>ORD-100246</t>
  </si>
  <si>
    <t>2024-10-18</t>
  </si>
  <si>
    <t>2024-10-25</t>
  </si>
  <si>
    <t>ORD-100247</t>
  </si>
  <si>
    <t>2024-02-11</t>
  </si>
  <si>
    <t>ORD-100248</t>
  </si>
  <si>
    <t>2025-04-27</t>
  </si>
  <si>
    <t>ORD-100249</t>
  </si>
  <si>
    <t>2025-09-18</t>
  </si>
  <si>
    <t>ORD-100250</t>
  </si>
  <si>
    <t>ORD-100251</t>
  </si>
  <si>
    <t>2025-05-23</t>
  </si>
  <si>
    <t>2025-05-27</t>
  </si>
  <si>
    <t>ORD-100252</t>
  </si>
  <si>
    <t>2024-01-02</t>
  </si>
  <si>
    <t>2024-01-05</t>
  </si>
  <si>
    <t>2024-01-08</t>
  </si>
  <si>
    <t>ORD-100253</t>
  </si>
  <si>
    <t>2024-12-31</t>
  </si>
  <si>
    <t>ORD-100254</t>
  </si>
  <si>
    <t>2025-06-02</t>
  </si>
  <si>
    <t>2025-06-09</t>
  </si>
  <si>
    <t>ORD-100255</t>
  </si>
  <si>
    <t>2024-12-04</t>
  </si>
  <si>
    <t>2024-12-12</t>
  </si>
  <si>
    <t>ORD-100256</t>
  </si>
  <si>
    <t>2025-07-03</t>
  </si>
  <si>
    <t>ORD-100257</t>
  </si>
  <si>
    <t>ORD-100258</t>
  </si>
  <si>
    <t>2024-02-01</t>
  </si>
  <si>
    <t>ORD-100259</t>
  </si>
  <si>
    <t>2025-12-23</t>
  </si>
  <si>
    <t>2025-12-26</t>
  </si>
  <si>
    <t>ORD-100260</t>
  </si>
  <si>
    <t>2025-06-21</t>
  </si>
  <si>
    <t>2025-06-24</t>
  </si>
  <si>
    <t>ORD-100261</t>
  </si>
  <si>
    <t>2024-01-26</t>
  </si>
  <si>
    <t>2024-02-09</t>
  </si>
  <si>
    <t>ORD-100262</t>
  </si>
  <si>
    <t>2025-06-13</t>
  </si>
  <si>
    <t>ORD-100263</t>
  </si>
  <si>
    <t>2025-12-07</t>
  </si>
  <si>
    <t>ORD-100264</t>
  </si>
  <si>
    <t>2025-10-16</t>
  </si>
  <si>
    <t>ORD-100265</t>
  </si>
  <si>
    <t>2024-10-06</t>
  </si>
  <si>
    <t>2024-10-12</t>
  </si>
  <si>
    <t>ORD-100266</t>
  </si>
  <si>
    <t>2025-07-26</t>
  </si>
  <si>
    <t>ORD-100267</t>
  </si>
  <si>
    <t>2024-12-19</t>
  </si>
  <si>
    <t>2024-12-14</t>
  </si>
  <si>
    <t>ORD-100268</t>
  </si>
  <si>
    <t>2025-03-19</t>
  </si>
  <si>
    <t>2025-03-17</t>
  </si>
  <si>
    <t>ORD-100269</t>
  </si>
  <si>
    <t>ORD-100270</t>
  </si>
  <si>
    <t>2024-04-05</t>
  </si>
  <si>
    <t>2024-04-12</t>
  </si>
  <si>
    <t>ORD-100271</t>
  </si>
  <si>
    <t>ORD-100272</t>
  </si>
  <si>
    <t>2024-01-31</t>
  </si>
  <si>
    <t>ORD-100273</t>
  </si>
  <si>
    <t>2024-05-24</t>
  </si>
  <si>
    <t>ORD-100274</t>
  </si>
  <si>
    <t>ORD-100275</t>
  </si>
  <si>
    <t>2024-12-28</t>
  </si>
  <si>
    <t>ORD-100276</t>
  </si>
  <si>
    <t>ORD-100277</t>
  </si>
  <si>
    <t>ORD-100278</t>
  </si>
  <si>
    <t>ORD-100279</t>
  </si>
  <si>
    <t>2025-04-08</t>
  </si>
  <si>
    <t>ORD-100280</t>
  </si>
  <si>
    <t>ORD-100281</t>
  </si>
  <si>
    <t>ORD-100282</t>
  </si>
  <si>
    <t>ORD-100283</t>
  </si>
  <si>
    <t>2024-08-11</t>
  </si>
  <si>
    <t>2024-08-07</t>
  </si>
  <si>
    <t>ORD-100284</t>
  </si>
  <si>
    <t>2024-05-17</t>
  </si>
  <si>
    <t>2024-05-20</t>
  </si>
  <si>
    <t>ORD-100285</t>
  </si>
  <si>
    <t>ORD-100286</t>
  </si>
  <si>
    <t>2025-04-05</t>
  </si>
  <si>
    <t>2025-04-12</t>
  </si>
  <si>
    <t>ORD-100287</t>
  </si>
  <si>
    <t>2025-02-27</t>
  </si>
  <si>
    <t>ORD-100288</t>
  </si>
  <si>
    <t>2025-12-08</t>
  </si>
  <si>
    <t>ORD-100289</t>
  </si>
  <si>
    <t>2024-03-21</t>
  </si>
  <si>
    <t>ORD-100290</t>
  </si>
  <si>
    <t>ORD-100291</t>
  </si>
  <si>
    <t>2025-08-10</t>
  </si>
  <si>
    <t>ORD-100292</t>
  </si>
  <si>
    <t>ORD-100293</t>
  </si>
  <si>
    <t>2024-11-03</t>
  </si>
  <si>
    <t>ORD-100294</t>
  </si>
  <si>
    <t>2024-10-14</t>
  </si>
  <si>
    <t>ORD-100295</t>
  </si>
  <si>
    <t>2024-07-12</t>
  </si>
  <si>
    <t>ORD-100296</t>
  </si>
  <si>
    <t>2024-06-06</t>
  </si>
  <si>
    <t>2024-06-13</t>
  </si>
  <si>
    <t>ORD-100297</t>
  </si>
  <si>
    <t>2024-02-25</t>
  </si>
  <si>
    <t>ORD-100298</t>
  </si>
  <si>
    <t>2024-09-03</t>
  </si>
  <si>
    <t>ORD-100299</t>
  </si>
  <si>
    <t>2025-01-26</t>
  </si>
  <si>
    <t>ORD-100300</t>
  </si>
  <si>
    <t>2024-12-09</t>
  </si>
  <si>
    <t>2024-12-16</t>
  </si>
  <si>
    <t>ORD-100301</t>
  </si>
  <si>
    <t>ORD-100302</t>
  </si>
  <si>
    <t>2024-03-10</t>
  </si>
  <si>
    <t>2024-03-17</t>
  </si>
  <si>
    <t>ORD-100303</t>
  </si>
  <si>
    <t>ORD-100304</t>
  </si>
  <si>
    <t>ORD-100305</t>
  </si>
  <si>
    <t>ORD-100306</t>
  </si>
  <si>
    <t>ORD-100307</t>
  </si>
  <si>
    <t>ORD-100308</t>
  </si>
  <si>
    <t>ORD-100309</t>
  </si>
  <si>
    <t>2025-08-08</t>
  </si>
  <si>
    <t>2025-08-15</t>
  </si>
  <si>
    <t>ORD-100310</t>
  </si>
  <si>
    <t>ORD-100311</t>
  </si>
  <si>
    <t>2026-01-15</t>
  </si>
  <si>
    <t>2026-01-29</t>
  </si>
  <si>
    <t>ORD-100312</t>
  </si>
  <si>
    <t>2025-01-08</t>
  </si>
  <si>
    <t>ORD-100313</t>
  </si>
  <si>
    <t>2024-03-23</t>
  </si>
  <si>
    <t>ORD-100314</t>
  </si>
  <si>
    <t>2025-12-13</t>
  </si>
  <si>
    <t>ORD-100315</t>
  </si>
  <si>
    <t>ORD-100316</t>
  </si>
  <si>
    <t>ORD-100317</t>
  </si>
  <si>
    <t>2025-11-14</t>
  </si>
  <si>
    <t>2025-11-21</t>
  </si>
  <si>
    <t>2025-11-17</t>
  </si>
  <si>
    <t>ORD-100318</t>
  </si>
  <si>
    <t>2025-05-15</t>
  </si>
  <si>
    <t>2025-05-22</t>
  </si>
  <si>
    <t>ORD-100319</t>
  </si>
  <si>
    <t>ORD-100320</t>
  </si>
  <si>
    <t>2025-05-24</t>
  </si>
  <si>
    <t>ORD-100321</t>
  </si>
  <si>
    <t>2025-12-01</t>
  </si>
  <si>
    <t>2025-12-15</t>
  </si>
  <si>
    <t>ORD-100322</t>
  </si>
  <si>
    <t>ORD-100323</t>
  </si>
  <si>
    <t>2024-02-18</t>
  </si>
  <si>
    <t>2024-02-12</t>
  </si>
  <si>
    <t>ORD-100324</t>
  </si>
  <si>
    <t>2024-01-22</t>
  </si>
  <si>
    <t>ORD-100325</t>
  </si>
  <si>
    <t>2024-08-06</t>
  </si>
  <si>
    <t>ORD-100326</t>
  </si>
  <si>
    <t>ORD-100327</t>
  </si>
  <si>
    <t>2025-06-30</t>
  </si>
  <si>
    <t>ORD-100328</t>
  </si>
  <si>
    <t>ORD-100329</t>
  </si>
  <si>
    <t>ORD-100330</t>
  </si>
  <si>
    <t>2026-01-28</t>
  </si>
  <si>
    <t>ORD-100331</t>
  </si>
  <si>
    <t>ORD-100332</t>
  </si>
  <si>
    <t>2024-04-10</t>
  </si>
  <si>
    <t>ORD-100333</t>
  </si>
  <si>
    <t>2024-03-03</t>
  </si>
  <si>
    <t>ORD-100334</t>
  </si>
  <si>
    <t>2025-10-12</t>
  </si>
  <si>
    <t>ORD-100335</t>
  </si>
  <si>
    <t>2025-04-18</t>
  </si>
  <si>
    <t>ORD-100336</t>
  </si>
  <si>
    <t>2024-03-29</t>
  </si>
  <si>
    <t>ORD-100337</t>
  </si>
  <si>
    <t>ORD-100338</t>
  </si>
  <si>
    <t>2024-02-15</t>
  </si>
  <si>
    <t>2024-02-23</t>
  </si>
  <si>
    <t>ORD-100339</t>
  </si>
  <si>
    <t>ORD-100340</t>
  </si>
  <si>
    <t>2024-10-29</t>
  </si>
  <si>
    <t>ORD-100341</t>
  </si>
  <si>
    <t>2024-01-25</t>
  </si>
  <si>
    <t>ORD-100342</t>
  </si>
  <si>
    <t>2025-12-21</t>
  </si>
  <si>
    <t>ORD-100343</t>
  </si>
  <si>
    <t>ORD-100344</t>
  </si>
  <si>
    <t>2025-06-11</t>
  </si>
  <si>
    <t>2025-06-18</t>
  </si>
  <si>
    <t>ORD-100345</t>
  </si>
  <si>
    <t>ORD-100346</t>
  </si>
  <si>
    <t>ORD-100347</t>
  </si>
  <si>
    <t>2025-03-16</t>
  </si>
  <si>
    <t>2025-03-18</t>
  </si>
  <si>
    <t>ORD-100348</t>
  </si>
  <si>
    <t>2025-11-25</t>
  </si>
  <si>
    <t>ORD-100349</t>
  </si>
  <si>
    <t>2024-03-26</t>
  </si>
  <si>
    <t>ORD-100350</t>
  </si>
  <si>
    <t>2025-05-26</t>
  </si>
  <si>
    <t>ORD-100351</t>
  </si>
  <si>
    <t>ORD-100352</t>
  </si>
  <si>
    <t>ORD-100353</t>
  </si>
  <si>
    <t>2024-05-22</t>
  </si>
  <si>
    <t>ORD-100354</t>
  </si>
  <si>
    <t>ORD-100355</t>
  </si>
  <si>
    <t>2025-11-13</t>
  </si>
  <si>
    <t>2025-11-16</t>
  </si>
  <si>
    <t>ORD-100356</t>
  </si>
  <si>
    <t>2024-07-29</t>
  </si>
  <si>
    <t>ORD-100357</t>
  </si>
  <si>
    <t>ORD-100358</t>
  </si>
  <si>
    <t>2024-01-11</t>
  </si>
  <si>
    <t>ORD-100359</t>
  </si>
  <si>
    <t>ORD-100360</t>
  </si>
  <si>
    <t>2024-08-13</t>
  </si>
  <si>
    <t>ORD-100361</t>
  </si>
  <si>
    <t>2024-01-24</t>
  </si>
  <si>
    <t>ORD-100362</t>
  </si>
  <si>
    <t>2024-11-21</t>
  </si>
  <si>
    <t>2024-12-05</t>
  </si>
  <si>
    <t>ORD-100363</t>
  </si>
  <si>
    <t>2025-01-13</t>
  </si>
  <si>
    <t>ORD-100364</t>
  </si>
  <si>
    <t>ORD-100365</t>
  </si>
  <si>
    <t>ORD-100366</t>
  </si>
  <si>
    <t>ORD-100367</t>
  </si>
  <si>
    <t>2024-10-27</t>
  </si>
  <si>
    <t>ORD-100368</t>
  </si>
  <si>
    <t>2024-02-02</t>
  </si>
  <si>
    <t>ORD-100369</t>
  </si>
  <si>
    <t>ORD-100370</t>
  </si>
  <si>
    <t>2025-08-18</t>
  </si>
  <si>
    <t>2025-08-28</t>
  </si>
  <si>
    <t>ORD-100371</t>
  </si>
  <si>
    <t>2024-01-18</t>
  </si>
  <si>
    <t>ORD-100372</t>
  </si>
  <si>
    <t>ORD-100373</t>
  </si>
  <si>
    <t>ORD-100374</t>
  </si>
  <si>
    <t>2024-10-04</t>
  </si>
  <si>
    <t>ORD-100375</t>
  </si>
  <si>
    <t>ORD-100376</t>
  </si>
  <si>
    <t>2024-04-29</t>
  </si>
  <si>
    <t>2024-05-06</t>
  </si>
  <si>
    <t>ORD-100377</t>
  </si>
  <si>
    <t>ORD-100378</t>
  </si>
  <si>
    <t>2024-11-10</t>
  </si>
  <si>
    <t>ORD-100379</t>
  </si>
  <si>
    <t>ORD-100380</t>
  </si>
  <si>
    <t>2024-03-08</t>
  </si>
  <si>
    <t>2024-03-11</t>
  </si>
  <si>
    <t>ORD-100381</t>
  </si>
  <si>
    <t>ORD-100382</t>
  </si>
  <si>
    <t>ORD-100383</t>
  </si>
  <si>
    <t>2024-10-15</t>
  </si>
  <si>
    <t>ORD-100384</t>
  </si>
  <si>
    <t>ORD-100385</t>
  </si>
  <si>
    <t>2025-02-21</t>
  </si>
  <si>
    <t>ORD-100386</t>
  </si>
  <si>
    <t>ORD-100387</t>
  </si>
  <si>
    <t>ORD-100388</t>
  </si>
  <si>
    <t>ORD-100389</t>
  </si>
  <si>
    <t>2025-12-12</t>
  </si>
  <si>
    <t>ORD-100390</t>
  </si>
  <si>
    <t>ORD-100391</t>
  </si>
  <si>
    <t>ORD-100392</t>
  </si>
  <si>
    <t>ORD-100393</t>
  </si>
  <si>
    <t>ORD-100394</t>
  </si>
  <si>
    <t>2025-06-16</t>
  </si>
  <si>
    <t>ORD-100395</t>
  </si>
  <si>
    <t>ORD-100396</t>
  </si>
  <si>
    <t>ORD-100397</t>
  </si>
  <si>
    <t>ORD-100398</t>
  </si>
  <si>
    <t>ORD-100399</t>
  </si>
  <si>
    <t>ORD-100400</t>
  </si>
  <si>
    <t>ORD-100401</t>
  </si>
  <si>
    <t>ORD-100402</t>
  </si>
  <si>
    <t>ORD-100403</t>
  </si>
  <si>
    <t>2025-02-03</t>
  </si>
  <si>
    <t>2025-02-09</t>
  </si>
  <si>
    <t>ORD-100404</t>
  </si>
  <si>
    <t>ORD-100405</t>
  </si>
  <si>
    <t>2024-09-30</t>
  </si>
  <si>
    <t>ORD-100406</t>
  </si>
  <si>
    <t>ORD-100407</t>
  </si>
  <si>
    <t>ORD-100408</t>
  </si>
  <si>
    <t>ORD-100409</t>
  </si>
  <si>
    <t>ORD-100410</t>
  </si>
  <si>
    <t>ORD-100411</t>
  </si>
  <si>
    <t>2024-03-06</t>
  </si>
  <si>
    <t>ORD-100412</t>
  </si>
  <si>
    <t>2025-02-19</t>
  </si>
  <si>
    <t>ORD-100413</t>
  </si>
  <si>
    <t>ORD-100414</t>
  </si>
  <si>
    <t>2024-06-29</t>
  </si>
  <si>
    <t>2024-07-02</t>
  </si>
  <si>
    <t>2024-07-04</t>
  </si>
  <si>
    <t>ORD-100415</t>
  </si>
  <si>
    <t>2024-03-09</t>
  </si>
  <si>
    <t>ORD-100416</t>
  </si>
  <si>
    <t>2026-01-22</t>
  </si>
  <si>
    <t>ORD-100417</t>
  </si>
  <si>
    <t>2025-09-06</t>
  </si>
  <si>
    <t>2025-09-20</t>
  </si>
  <si>
    <t>ORD-100418</t>
  </si>
  <si>
    <t>ORD-100419</t>
  </si>
  <si>
    <t>ORD-100420</t>
  </si>
  <si>
    <t>2024-11-11</t>
  </si>
  <si>
    <t>ORD-100421</t>
  </si>
  <si>
    <t>ORD-100422</t>
  </si>
  <si>
    <t>ORD-100423</t>
  </si>
  <si>
    <t>2025-10-14</t>
  </si>
  <si>
    <t>ORD-100424</t>
  </si>
  <si>
    <t>ORD-100425</t>
  </si>
  <si>
    <t>ORD-100426</t>
  </si>
  <si>
    <t>ORD-100427</t>
  </si>
  <si>
    <t>ORD-100428</t>
  </si>
  <si>
    <t>2024-03-27</t>
  </si>
  <si>
    <t>ORD-100429</t>
  </si>
  <si>
    <t>ORD-100430</t>
  </si>
  <si>
    <t>2025-09-24</t>
  </si>
  <si>
    <t>ORD-100431</t>
  </si>
  <si>
    <t>2025-06-29</t>
  </si>
  <si>
    <t>ORD-100432</t>
  </si>
  <si>
    <t>2024-10-21</t>
  </si>
  <si>
    <t>2024-10-28</t>
  </si>
  <si>
    <t>ORD-100433</t>
  </si>
  <si>
    <t>ORD-100434</t>
  </si>
  <si>
    <t>2024-09-11</t>
  </si>
  <si>
    <t>2024-09-14</t>
  </si>
  <si>
    <t>ORD-100435</t>
  </si>
  <si>
    <t>ORD-100436</t>
  </si>
  <si>
    <t>2024-08-28</t>
  </si>
  <si>
    <t>2024-09-06</t>
  </si>
  <si>
    <t>ORD-100437</t>
  </si>
  <si>
    <t>2025-10-01</t>
  </si>
  <si>
    <t>ORD-100438</t>
  </si>
  <si>
    <t>ORD-100439</t>
  </si>
  <si>
    <t>2024-05-13</t>
  </si>
  <si>
    <t>ORD-100440</t>
  </si>
  <si>
    <t>2024-09-26</t>
  </si>
  <si>
    <t>ORD-100441</t>
  </si>
  <si>
    <t>2025-11-04</t>
  </si>
  <si>
    <t>ORD-100442</t>
  </si>
  <si>
    <t>ORD-100443</t>
  </si>
  <si>
    <t>2025-05-25</t>
  </si>
  <si>
    <t>ORD-100444</t>
  </si>
  <si>
    <t>2024-07-10</t>
  </si>
  <si>
    <t>ORD-100445</t>
  </si>
  <si>
    <t>ORD-100446</t>
  </si>
  <si>
    <t>2025-11-28</t>
  </si>
  <si>
    <t>ORD-100447</t>
  </si>
  <si>
    <t>ORD-100448</t>
  </si>
  <si>
    <t>ORD-100449</t>
  </si>
  <si>
    <t>ORD-100450</t>
  </si>
  <si>
    <t>2025-02-12</t>
  </si>
  <si>
    <t>ORD-100451</t>
  </si>
  <si>
    <t>ORD-100452</t>
  </si>
  <si>
    <t>2025-06-08</t>
  </si>
  <si>
    <t>2025-06-14</t>
  </si>
  <si>
    <t>ORD-100453</t>
  </si>
  <si>
    <t>ORD-100454</t>
  </si>
  <si>
    <t>2025-10-25</t>
  </si>
  <si>
    <t>ORD-100455</t>
  </si>
  <si>
    <t>ORD-100456</t>
  </si>
  <si>
    <t>2024-03-19</t>
  </si>
  <si>
    <t>ORD-100457</t>
  </si>
  <si>
    <t>ORD-100458</t>
  </si>
  <si>
    <t>2026-01-05</t>
  </si>
  <si>
    <t>ORD-100459</t>
  </si>
  <si>
    <t>ORD-100460</t>
  </si>
  <si>
    <t>ORD-100461</t>
  </si>
  <si>
    <t>2025-01-07</t>
  </si>
  <si>
    <t>ORD-100462</t>
  </si>
  <si>
    <t>ORD-100463</t>
  </si>
  <si>
    <t>ORD-100464</t>
  </si>
  <si>
    <t>ORD-100465</t>
  </si>
  <si>
    <t>ORD-100466</t>
  </si>
  <si>
    <t>2025-05-19</t>
  </si>
  <si>
    <t>2025-05-13</t>
  </si>
  <si>
    <t>ORD-100467</t>
  </si>
  <si>
    <t>2025-07-02</t>
  </si>
  <si>
    <t>ORD-100468</t>
  </si>
  <si>
    <t>ORD-100469</t>
  </si>
  <si>
    <t>ORD-100470</t>
  </si>
  <si>
    <t>ORD-100471</t>
  </si>
  <si>
    <t>ORD-100472</t>
  </si>
  <si>
    <t>ORD-100473</t>
  </si>
  <si>
    <t>ORD-100474</t>
  </si>
  <si>
    <t>2024-02-17</t>
  </si>
  <si>
    <t>2024-03-02</t>
  </si>
  <si>
    <t>ORD-100475</t>
  </si>
  <si>
    <t>ORD-100476</t>
  </si>
  <si>
    <t>ORD-100477</t>
  </si>
  <si>
    <t>ORD-100478</t>
  </si>
  <si>
    <t>2024-12-15</t>
  </si>
  <si>
    <t>ORD-100479</t>
  </si>
  <si>
    <t>ORD-100480</t>
  </si>
  <si>
    <t>2025-11-29</t>
  </si>
  <si>
    <t>ORD-100481</t>
  </si>
  <si>
    <t>ORD-100482</t>
  </si>
  <si>
    <t>ORD-100483</t>
  </si>
  <si>
    <t>2025-07-01</t>
  </si>
  <si>
    <t>ORD-100484</t>
  </si>
  <si>
    <t>ORD-100485</t>
  </si>
  <si>
    <t>ORD-100486</t>
  </si>
  <si>
    <t>ORD-100487</t>
  </si>
  <si>
    <t>ORD-100488</t>
  </si>
  <si>
    <t>ORD-100489</t>
  </si>
  <si>
    <t>ORD-100490</t>
  </si>
  <si>
    <t>ORD-100491</t>
  </si>
  <si>
    <t>ORD-100492</t>
  </si>
  <si>
    <t>ORD-100493</t>
  </si>
  <si>
    <t>ORD-100494</t>
  </si>
  <si>
    <t>2025-05-06</t>
  </si>
  <si>
    <t>ORD-100495</t>
  </si>
  <si>
    <t>ORD-100496</t>
  </si>
  <si>
    <t>2024-01-29</t>
  </si>
  <si>
    <t>ORD-100497</t>
  </si>
  <si>
    <t>2024-01-03</t>
  </si>
  <si>
    <t>2024-01-06</t>
  </si>
  <si>
    <t>2024-01-09</t>
  </si>
  <si>
    <t>ORD-100498</t>
  </si>
  <si>
    <t>2025-02-04</t>
  </si>
  <si>
    <t>ORD-100499</t>
  </si>
  <si>
    <t>ORD-100500</t>
  </si>
  <si>
    <t>ORD-100501</t>
  </si>
  <si>
    <t>ORD-100502</t>
  </si>
  <si>
    <t>2024-05-03</t>
  </si>
  <si>
    <t>ORD-100503</t>
  </si>
  <si>
    <t>ORD-100504</t>
  </si>
  <si>
    <t>ORD-100505</t>
  </si>
  <si>
    <t>ORD-100506</t>
  </si>
  <si>
    <t>ORD-100507</t>
  </si>
  <si>
    <t>2024-07-27</t>
  </si>
  <si>
    <t>ORD-100508</t>
  </si>
  <si>
    <t>ORD-100509</t>
  </si>
  <si>
    <t>2025-11-22</t>
  </si>
  <si>
    <t>ORD-100510</t>
  </si>
  <si>
    <t>2025-10-13</t>
  </si>
  <si>
    <t>ORD-100511</t>
  </si>
  <si>
    <t>2025-07-22</t>
  </si>
  <si>
    <t>2025-08-05</t>
  </si>
  <si>
    <t>ORD-100512</t>
  </si>
  <si>
    <t>ORD-100513</t>
  </si>
  <si>
    <t>ORD-100514</t>
  </si>
  <si>
    <t>ORD-100515</t>
  </si>
  <si>
    <t>2024-10-07</t>
  </si>
  <si>
    <t>ORD-100516</t>
  </si>
  <si>
    <t>2025-09-15</t>
  </si>
  <si>
    <t>2025-09-22</t>
  </si>
  <si>
    <t>ORD-100517</t>
  </si>
  <si>
    <t>ORD-100518</t>
  </si>
  <si>
    <t>ORD-100519</t>
  </si>
  <si>
    <t>ORD-100520</t>
  </si>
  <si>
    <t>ORD-100521</t>
  </si>
  <si>
    <t>ORD-100522</t>
  </si>
  <si>
    <t>2025-05-20</t>
  </si>
  <si>
    <t>ORD-100523</t>
  </si>
  <si>
    <t>ORD-100524</t>
  </si>
  <si>
    <t>ORD-100525</t>
  </si>
  <si>
    <t>2025-11-03</t>
  </si>
  <si>
    <t>ORD-100526</t>
  </si>
  <si>
    <t>ORD-100527</t>
  </si>
  <si>
    <t>2024-12-08</t>
  </si>
  <si>
    <t>ORD-100528</t>
  </si>
  <si>
    <t>ORD-100529</t>
  </si>
  <si>
    <t>2025-10-03</t>
  </si>
  <si>
    <t>ORD-100530</t>
  </si>
  <si>
    <t>ORD-100531</t>
  </si>
  <si>
    <t>2025-01-28</t>
  </si>
  <si>
    <t>ORD-100532</t>
  </si>
  <si>
    <t>ORD-100533</t>
  </si>
  <si>
    <t>ORD-100534</t>
  </si>
  <si>
    <t>ORD-100535</t>
  </si>
  <si>
    <t>2024-05-09</t>
  </si>
  <si>
    <t>ORD-100536</t>
  </si>
  <si>
    <t>ORD-100537</t>
  </si>
  <si>
    <t>2024-05-30</t>
  </si>
  <si>
    <t>ORD-100538</t>
  </si>
  <si>
    <t>ORD-100539</t>
  </si>
  <si>
    <t>ORD-100540</t>
  </si>
  <si>
    <t>ORD-100541</t>
  </si>
  <si>
    <t>ORD-100542</t>
  </si>
  <si>
    <t>ORD-100543</t>
  </si>
  <si>
    <t>ORD-100544</t>
  </si>
  <si>
    <t>ORD-100545</t>
  </si>
  <si>
    <t>ORD-100546</t>
  </si>
  <si>
    <t>2025-01-30</t>
  </si>
  <si>
    <t>2025-01-19</t>
  </si>
  <si>
    <t>ORD-100547</t>
  </si>
  <si>
    <t>ORD-100548</t>
  </si>
  <si>
    <t>ORD-100549</t>
  </si>
  <si>
    <t>ORD-100550</t>
  </si>
  <si>
    <t>ORD-100551</t>
  </si>
  <si>
    <t>2024-10-01</t>
  </si>
  <si>
    <t>ORD-100552</t>
  </si>
  <si>
    <t>ORD-100553</t>
  </si>
  <si>
    <t>ORD-100554</t>
  </si>
  <si>
    <t>ORD-100555</t>
  </si>
  <si>
    <t>ORD-100556</t>
  </si>
  <si>
    <t>ORD-100557</t>
  </si>
  <si>
    <t>ORD-100558</t>
  </si>
  <si>
    <t>2024-12-20</t>
  </si>
  <si>
    <t>ORD-100559</t>
  </si>
  <si>
    <t>2026-01-10</t>
  </si>
  <si>
    <t>2026-01-16</t>
  </si>
  <si>
    <t>ORD-100560</t>
  </si>
  <si>
    <t>ORD-100561</t>
  </si>
  <si>
    <t>ORD-100562</t>
  </si>
  <si>
    <t>ORD-100563</t>
  </si>
  <si>
    <t>ORD-100564</t>
  </si>
  <si>
    <t>ORD-100565</t>
  </si>
  <si>
    <t>ORD-100566</t>
  </si>
  <si>
    <t>ORD-100567</t>
  </si>
  <si>
    <t>2025-02-28</t>
  </si>
  <si>
    <t>ORD-100568</t>
  </si>
  <si>
    <t>2024-11-13</t>
  </si>
  <si>
    <t>ORD-100569</t>
  </si>
  <si>
    <t>ORD-100570</t>
  </si>
  <si>
    <t>ORD-100571</t>
  </si>
  <si>
    <t>ORD-100572</t>
  </si>
  <si>
    <t>ORD-100573</t>
  </si>
  <si>
    <t>ORD-100574</t>
  </si>
  <si>
    <t>ORD-100575</t>
  </si>
  <si>
    <t>ORD-100576</t>
  </si>
  <si>
    <t>2026-01-03</t>
  </si>
  <si>
    <t>ORD-100577</t>
  </si>
  <si>
    <t>2024-05-23</t>
  </si>
  <si>
    <t>ORD-100578</t>
  </si>
  <si>
    <t>ORD-100579</t>
  </si>
  <si>
    <t>ORD-100580</t>
  </si>
  <si>
    <t>ORD-100581</t>
  </si>
  <si>
    <t>ORD-100582</t>
  </si>
  <si>
    <t>ORD-100583</t>
  </si>
  <si>
    <t>2025-07-08</t>
  </si>
  <si>
    <t>ORD-100584</t>
  </si>
  <si>
    <t>2024-11-22</t>
  </si>
  <si>
    <t>ORD-100585</t>
  </si>
  <si>
    <t>2025-03-10</t>
  </si>
  <si>
    <t>ORD-100586</t>
  </si>
  <si>
    <t>2024-11-28</t>
  </si>
  <si>
    <t>ORD-100587</t>
  </si>
  <si>
    <t>ORD-100588</t>
  </si>
  <si>
    <t>ORD-100589</t>
  </si>
  <si>
    <t>2024-05-27</t>
  </si>
  <si>
    <t>ORD-100590</t>
  </si>
  <si>
    <t>ORD-100591</t>
  </si>
  <si>
    <t>ORD-100592</t>
  </si>
  <si>
    <t>2026-01-13</t>
  </si>
  <si>
    <t>ORD-100593</t>
  </si>
  <si>
    <t>ORD-100594</t>
  </si>
  <si>
    <t>ORD-100595</t>
  </si>
  <si>
    <t>ORD-100596</t>
  </si>
  <si>
    <t>ORD-100597</t>
  </si>
  <si>
    <t>ORD-100598</t>
  </si>
  <si>
    <t>ORD-100599</t>
  </si>
  <si>
    <t>ORD-100600</t>
  </si>
  <si>
    <t>ORD-100601</t>
  </si>
  <si>
    <t>2024-06-15</t>
  </si>
  <si>
    <t>ORD-100602</t>
  </si>
  <si>
    <t>2025-10-18</t>
  </si>
  <si>
    <t>ORD-100603</t>
  </si>
  <si>
    <t>ORD-100604</t>
  </si>
  <si>
    <t>2025-08-17</t>
  </si>
  <si>
    <t>ORD-100605</t>
  </si>
  <si>
    <t>ORD-100606</t>
  </si>
  <si>
    <t>2026-01-21</t>
  </si>
  <si>
    <t>ORD-100607</t>
  </si>
  <si>
    <t>ORD-100608</t>
  </si>
  <si>
    <t>ORD-100609</t>
  </si>
  <si>
    <t>2024-04-22</t>
  </si>
  <si>
    <t>2024-04-30</t>
  </si>
  <si>
    <t>ORD-100610</t>
  </si>
  <si>
    <t>2025-10-06</t>
  </si>
  <si>
    <t>ORD-100611</t>
  </si>
  <si>
    <t>ORD-100612</t>
  </si>
  <si>
    <t>ORD-100613</t>
  </si>
  <si>
    <t>ORD-100614</t>
  </si>
  <si>
    <t>ORD-100615</t>
  </si>
  <si>
    <t>2026-01-12</t>
  </si>
  <si>
    <t>ORD-100616</t>
  </si>
  <si>
    <t>ORD-100617</t>
  </si>
  <si>
    <t>2025-01-11</t>
  </si>
  <si>
    <t>ORD-100618</t>
  </si>
  <si>
    <t>ORD-100619</t>
  </si>
  <si>
    <t>ORD-100620</t>
  </si>
  <si>
    <t>ORD-100621</t>
  </si>
  <si>
    <t>ORD-100622</t>
  </si>
  <si>
    <t>ORD-100623</t>
  </si>
  <si>
    <t>ORD-100624</t>
  </si>
  <si>
    <t>ORD-100625</t>
  </si>
  <si>
    <t>ORD-100626</t>
  </si>
  <si>
    <t>ORD-100627</t>
  </si>
  <si>
    <t>ORD-100628</t>
  </si>
  <si>
    <t>ORD-100629</t>
  </si>
  <si>
    <t>ORD-100630</t>
  </si>
  <si>
    <t>2025-05-28</t>
  </si>
  <si>
    <t>ORD-100631</t>
  </si>
  <si>
    <t>ORD-100632</t>
  </si>
  <si>
    <t>ORD-100633</t>
  </si>
  <si>
    <t>ORD-100634</t>
  </si>
  <si>
    <t>2024-01-10</t>
  </si>
  <si>
    <t>ORD-100635</t>
  </si>
  <si>
    <t>ORD-100636</t>
  </si>
  <si>
    <t>ORD-100637</t>
  </si>
  <si>
    <t>ORD-100638</t>
  </si>
  <si>
    <t>ORD-100639</t>
  </si>
  <si>
    <t>ORD-100640</t>
  </si>
  <si>
    <t>ORD-100641</t>
  </si>
  <si>
    <t>2024-01-23</t>
  </si>
  <si>
    <t>ORD-100642</t>
  </si>
  <si>
    <t>ORD-100643</t>
  </si>
  <si>
    <t>ORD-100644</t>
  </si>
  <si>
    <t>ORD-100645</t>
  </si>
  <si>
    <t>ORD-100646</t>
  </si>
  <si>
    <t>ORD-100647</t>
  </si>
  <si>
    <t>2025-07-19</t>
  </si>
  <si>
    <t>ORD-100648</t>
  </si>
  <si>
    <t>ORD-100649</t>
  </si>
  <si>
    <t>ORD-100650</t>
  </si>
  <si>
    <t>ORD-100651</t>
  </si>
  <si>
    <t>2025-09-10</t>
  </si>
  <si>
    <t>ORD-100652</t>
  </si>
  <si>
    <t>ORD-100653</t>
  </si>
  <si>
    <t>ORD-100654</t>
  </si>
  <si>
    <t>2025-12-18</t>
  </si>
  <si>
    <t>ORD-100655</t>
  </si>
  <si>
    <t>ORD-100656</t>
  </si>
  <si>
    <t>ORD-100657</t>
  </si>
  <si>
    <t>ORD-100658</t>
  </si>
  <si>
    <t>ORD-100659</t>
  </si>
  <si>
    <t>ORD-100660</t>
  </si>
  <si>
    <t>ORD-100661</t>
  </si>
  <si>
    <t>ORD-100662</t>
  </si>
  <si>
    <t>ORD-100663</t>
  </si>
  <si>
    <t>ORD-100664</t>
  </si>
  <si>
    <t>ORD-100665</t>
  </si>
  <si>
    <t>ORD-100666</t>
  </si>
  <si>
    <t>ORD-100667</t>
  </si>
  <si>
    <t>2024-01-15</t>
  </si>
  <si>
    <t>ORD-100668</t>
  </si>
  <si>
    <t>ORD-100669</t>
  </si>
  <si>
    <t>ORD-100670</t>
  </si>
  <si>
    <t>ORD-100671</t>
  </si>
  <si>
    <t>2025-02-08</t>
  </si>
  <si>
    <t>ORD-100672</t>
  </si>
  <si>
    <t>2024-05-08</t>
  </si>
  <si>
    <t>ORD-100673</t>
  </si>
  <si>
    <t>ORD-100674</t>
  </si>
  <si>
    <t>ORD-100675</t>
  </si>
  <si>
    <t>ORD-100676</t>
  </si>
  <si>
    <t>ORD-100677</t>
  </si>
  <si>
    <t>2024-08-22</t>
  </si>
  <si>
    <t>2024-09-05</t>
  </si>
  <si>
    <t>ORD-100678</t>
  </si>
  <si>
    <t>ORD-100679</t>
  </si>
  <si>
    <t>ORD-100680</t>
  </si>
  <si>
    <t>ORD-100681</t>
  </si>
  <si>
    <t>ORD-100682</t>
  </si>
  <si>
    <t>ORD-100683</t>
  </si>
  <si>
    <t>2025-06-25</t>
  </si>
  <si>
    <t>ORD-100684</t>
  </si>
  <si>
    <t>ORD-100685</t>
  </si>
  <si>
    <t>2024-04-18</t>
  </si>
  <si>
    <t>ORD-100686</t>
  </si>
  <si>
    <t>2024-02-21</t>
  </si>
  <si>
    <t>ORD-100687</t>
  </si>
  <si>
    <t>ORD-100688</t>
  </si>
  <si>
    <t>ORD-100689</t>
  </si>
  <si>
    <t>ORD-100690</t>
  </si>
  <si>
    <t>2024-07-07</t>
  </si>
  <si>
    <t>ORD-100691</t>
  </si>
  <si>
    <t>ORD-100692</t>
  </si>
  <si>
    <t>ORD-100693</t>
  </si>
  <si>
    <t>ORD-100694</t>
  </si>
  <si>
    <t>ORD-100695</t>
  </si>
  <si>
    <t>ORD-100696</t>
  </si>
  <si>
    <t>ORD-100697</t>
  </si>
  <si>
    <t>ORD-100698</t>
  </si>
  <si>
    <t>2024-07-05</t>
  </si>
  <si>
    <t>ORD-100699</t>
  </si>
  <si>
    <t>ORD-100700</t>
  </si>
  <si>
    <t>ORD-100701</t>
  </si>
  <si>
    <t>ORD-100702</t>
  </si>
  <si>
    <t>2024-05-26</t>
  </si>
  <si>
    <t>2024-05-29</t>
  </si>
  <si>
    <t>ORD-100703</t>
  </si>
  <si>
    <t>ORD-100704</t>
  </si>
  <si>
    <t>ORD-100705</t>
  </si>
  <si>
    <t>ORD-100706</t>
  </si>
  <si>
    <t>ORD-100707</t>
  </si>
  <si>
    <t>ORD-100708</t>
  </si>
  <si>
    <t>ORD-100709</t>
  </si>
  <si>
    <t>ORD-100710</t>
  </si>
  <si>
    <t>2024-11-30</t>
  </si>
  <si>
    <t>ORD-100711</t>
  </si>
  <si>
    <t>ORD-100712</t>
  </si>
  <si>
    <t>ORD-100713</t>
  </si>
  <si>
    <t>ORD-100714</t>
  </si>
  <si>
    <t>ORD-100715</t>
  </si>
  <si>
    <t>ORD-100716</t>
  </si>
  <si>
    <t>ORD-100717</t>
  </si>
  <si>
    <t>ORD-100718</t>
  </si>
  <si>
    <t>ORD-100719</t>
  </si>
  <si>
    <t>ORD-100720</t>
  </si>
  <si>
    <t>ORD-100721</t>
  </si>
  <si>
    <t>ORD-100722</t>
  </si>
  <si>
    <t>ORD-100723</t>
  </si>
  <si>
    <t>ORD-100724</t>
  </si>
  <si>
    <t>2024-04-16</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</si>
  <si>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</si>
  <si>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</si>
  <si>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</si>
  <si>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</si>
  <si>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</si>
  <si>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</si>
  <si>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</si>
  <si>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</si>
  <si>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</si>
  <si>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</si>
  <si>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</si>
  <si>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</si>
  <si>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</si>
  <si>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</si>
  <si>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</si>
  <si>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</si>
  <si>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</si>
  <si>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</si>
  <si>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</si>
  <si>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</si>
  <si>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</si>
  <si>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2025-05-01</t>
  </si>
  <si>
    <t>ORD-100746</t>
  </si>
  <si>
    <t>ORD-100747</t>
  </si>
  <si>
    <t>ORD-100748</t>
  </si>
  <si>
    <t>ORD-100749</t>
  </si>
  <si>
    <t>2025-07-13</t>
  </si>
  <si>
    <t>2025-07-20</t>
  </si>
  <si>
    <t>ORD-100750</t>
  </si>
  <si>
    <t>ORD-100751</t>
  </si>
  <si>
    <t>ORD-100752</t>
  </si>
  <si>
    <t>2025-07-27</t>
  </si>
  <si>
    <t>ORD-100753</t>
  </si>
  <si>
    <t>ORD-100754</t>
  </si>
  <si>
    <t>2025-07-25</t>
  </si>
  <si>
    <t>ORD-100755</t>
  </si>
  <si>
    <t>ORD-100756</t>
  </si>
  <si>
    <t>ORD-100757</t>
  </si>
  <si>
    <t>ORD-100758</t>
  </si>
  <si>
    <t>2025-03-23</t>
  </si>
  <si>
    <t>ORD-100759</t>
  </si>
  <si>
    <t>ORD-100760</t>
  </si>
  <si>
    <t>ORD-100761</t>
  </si>
  <si>
    <t>ORD-100762</t>
  </si>
  <si>
    <t>ORD-100763</t>
  </si>
  <si>
    <t>ORD-100764</t>
  </si>
  <si>
    <t>ORD-100765</t>
  </si>
  <si>
    <t>ORD-100766</t>
  </si>
  <si>
    <t>ORD-100767</t>
  </si>
  <si>
    <t>ORD-100768</t>
  </si>
  <si>
    <t>ORD-100769</t>
  </si>
  <si>
    <t>ORD-100770</t>
  </si>
  <si>
    <t>2024-05-21</t>
  </si>
  <si>
    <t>ORD-100771</t>
  </si>
  <si>
    <t>ORD-100772</t>
  </si>
  <si>
    <t>ORD-100773</t>
  </si>
  <si>
    <t>ORD-100774</t>
  </si>
  <si>
    <t>ORD-100775</t>
  </si>
  <si>
    <t>ORD-100776</t>
  </si>
  <si>
    <t>ORD-100777</t>
  </si>
  <si>
    <t>ORD-100778</t>
  </si>
  <si>
    <t>ORD-100779</t>
  </si>
  <si>
    <t>ORD-100780</t>
  </si>
  <si>
    <t>ORD-100781</t>
  </si>
  <si>
    <t>ORD-100782</t>
  </si>
  <si>
    <t>ORD-100783</t>
  </si>
  <si>
    <t>2024-03-25</t>
  </si>
  <si>
    <t>ORD-100784</t>
  </si>
  <si>
    <t>2024-05-07</t>
  </si>
  <si>
    <t>ORD-100785</t>
  </si>
  <si>
    <t>ORD-100786</t>
  </si>
  <si>
    <t>ORD-100787</t>
  </si>
  <si>
    <t>ORD-100788</t>
  </si>
  <si>
    <t>ORD-100789</t>
  </si>
  <si>
    <t>ORD-100790</t>
  </si>
  <si>
    <t>ORD-100791</t>
  </si>
  <si>
    <t>2024-08-08</t>
  </si>
  <si>
    <t>ORD-100792</t>
  </si>
  <si>
    <t>ORD-100793</t>
  </si>
  <si>
    <t>ORD-100794</t>
  </si>
  <si>
    <t>2024-09-12</t>
  </si>
  <si>
    <t>ORD-100795</t>
  </si>
  <si>
    <t>ORD-100796</t>
  </si>
  <si>
    <t>ORD-100797</t>
  </si>
  <si>
    <t>ORD-100798</t>
  </si>
  <si>
    <t>2024-04-27</t>
  </si>
  <si>
    <t>ORD-100799</t>
  </si>
  <si>
    <t>ORD-100800</t>
  </si>
  <si>
    <t>ORD-100801</t>
  </si>
  <si>
    <t>ORD-100802</t>
  </si>
  <si>
    <t>ORD-100803</t>
  </si>
  <si>
    <t>ORD-100804</t>
  </si>
  <si>
    <t>ORD-100805</t>
  </si>
  <si>
    <t>ORD-100806</t>
  </si>
  <si>
    <t>ORD-100807</t>
  </si>
  <si>
    <t>ORD-100808</t>
  </si>
  <si>
    <t>2024-09-07</t>
  </si>
  <si>
    <t>ORD-100809</t>
  </si>
  <si>
    <t>ORD-100810</t>
  </si>
  <si>
    <t>ORD-100811</t>
  </si>
  <si>
    <t>2025-03-26</t>
  </si>
  <si>
    <t>ORD-100812</t>
  </si>
  <si>
    <t>ORD-100813</t>
  </si>
  <si>
    <t>ORD-100814</t>
  </si>
  <si>
    <t>ORD-100815</t>
  </si>
  <si>
    <t>2024-06-02</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</si>
  <si>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</si>
  <si>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</si>
  <si>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</si>
  <si>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</si>
  <si>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</si>
  <si>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</si>
  <si>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</si>
  <si>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</si>
  <si>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</si>
  <si>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</si>
  <si>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</si>
  <si>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</si>
  <si>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</si>
  <si>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</si>
  <si>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</si>
  <si>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</si>
  <si>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</si>
  <si>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</si>
  <si>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</si>
  <si>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</si>
  <si>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2025-08-12</t>
  </si>
  <si>
    <t>ORD-100836</t>
  </si>
  <si>
    <t>ORD-100837</t>
  </si>
  <si>
    <t>ORD-100838</t>
  </si>
  <si>
    <t>ORD-100839</t>
  </si>
  <si>
    <t>ORD-100840</t>
  </si>
  <si>
    <t>ORD-100841</t>
  </si>
  <si>
    <t>ORD-100842</t>
  </si>
  <si>
    <t>ORD-100843</t>
  </si>
  <si>
    <t>ORD-100844</t>
  </si>
  <si>
    <t>ORD-100845</t>
  </si>
  <si>
    <t>ORD-100846</t>
  </si>
  <si>
    <t>ORD-100847</t>
  </si>
  <si>
    <t>ORD-100848</t>
  </si>
  <si>
    <t>2024-07-24</t>
  </si>
  <si>
    <t>2024-07-31</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</si>
  <si>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</si>
  <si>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</si>
  <si>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</si>
  <si>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</si>
  <si>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</si>
  <si>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</si>
  <si>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</si>
  <si>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</si>
  <si>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</si>
  <si>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</si>
  <si>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</si>
  <si>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</si>
  <si>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</si>
  <si>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</si>
  <si>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</si>
  <si>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</si>
  <si>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2024-04-28</t>
  </si>
  <si>
    <t>ORD-100865</t>
  </si>
  <si>
    <t>2026-01-20</t>
  </si>
  <si>
    <t>ORD-100866</t>
  </si>
  <si>
    <t>ORD-100867</t>
  </si>
  <si>
    <t>ORD-100868</t>
  </si>
  <si>
    <t>ORD-100869</t>
  </si>
  <si>
    <t>ORD-100870</t>
  </si>
  <si>
    <t>ORD-100871</t>
  </si>
  <si>
    <t>ORD-100872</t>
  </si>
  <si>
    <t>ORD-100873</t>
  </si>
  <si>
    <t>ORD-100874</t>
  </si>
  <si>
    <t>ORD-100875</t>
  </si>
  <si>
    <t>ORD-100876</t>
  </si>
  <si>
    <t>ORD-100877</t>
  </si>
  <si>
    <t>ORD-100878</t>
  </si>
  <si>
    <t>ORD-100879</t>
  </si>
  <si>
    <t>ORD-100880</t>
  </si>
  <si>
    <t>2025-04-11</t>
  </si>
  <si>
    <t>ORD-100881</t>
  </si>
  <si>
    <t>ORD-100882</t>
  </si>
  <si>
    <t>ORD-100883</t>
  </si>
  <si>
    <t>ORD-100884</t>
  </si>
  <si>
    <t>ORD-100885</t>
  </si>
  <si>
    <t>ORD-100886</t>
  </si>
  <si>
    <t>ORD-100887</t>
  </si>
  <si>
    <t>ORD-100888</t>
  </si>
  <si>
    <t>ORD-100889</t>
  </si>
  <si>
    <t>ORD-100890</t>
  </si>
  <si>
    <t>ORD-100891</t>
  </si>
  <si>
    <t>ORD-100892</t>
  </si>
  <si>
    <t>ORD-100893</t>
  </si>
  <si>
    <t>2024-08-21</t>
  </si>
  <si>
    <t>ORD-100894</t>
  </si>
  <si>
    <t>2025-08-02</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</si>
  <si>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</si>
  <si>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</si>
  <si>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</si>
  <si>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</si>
  <si>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</si>
  <si>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</si>
  <si>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</si>
  <si>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</si>
  <si>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</si>
  <si>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</si>
  <si>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</si>
  <si>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</si>
  <si>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</si>
  <si>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</si>
  <si>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</si>
  <si>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</si>
  <si>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</si>
  <si>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</si>
  <si>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</si>
  <si>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</si>
  <si>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</si>
  <si>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</si>
  <si>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</si>
  <si>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</si>
  <si>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</si>
  <si>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</si>
  <si>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</si>
  <si>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</si>
  <si>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2025-09-19</t>
  </si>
  <si>
    <t>ORD-100923</t>
  </si>
  <si>
    <t>2024-11-25</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</si>
  <si>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</si>
  <si>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</si>
  <si>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</si>
  <si>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</si>
  <si>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</si>
  <si>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</si>
  <si>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</si>
  <si>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</si>
  <si>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</si>
  <si>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</si>
  <si>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</si>
  <si>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</si>
  <si>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</si>
  <si>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</si>
  <si>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</si>
  <si>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</si>
  <si>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</si>
  <si>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</si>
  <si>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</si>
  <si>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</si>
  <si>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</si>
  <si>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</si>
  <si>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2024-05-12</t>
  </si>
  <si>
    <t>ORD-100946</t>
  </si>
  <si>
    <t>ORD-100947</t>
  </si>
  <si>
    <t>ORD-100948</t>
  </si>
  <si>
    <t>ORD-100949</t>
  </si>
  <si>
    <t>ORD-100950</t>
  </si>
  <si>
    <t>ORD-100951</t>
  </si>
  <si>
    <t>ORD-100952</t>
  </si>
  <si>
    <t>2024-02-24</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</si>
  <si>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</si>
  <si>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</si>
  <si>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</si>
  <si>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</si>
  <si>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</si>
  <si>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</si>
  <si>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</si>
  <si>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</si>
  <si>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</si>
  <si>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</si>
  <si>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</si>
  <si>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</si>
  <si>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</si>
  <si>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</si>
  <si>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</si>
  <si>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</si>
  <si>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</si>
  <si>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</si>
  <si>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</si>
  <si>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</si>
  <si>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</si>
  <si>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</si>
  <si>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</si>
  <si>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</si>
  <si>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</si>
  <si>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</si>
  <si>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2024-04-24</t>
  </si>
  <si>
    <t>ORD-100979</t>
  </si>
  <si>
    <t>ORD-100980</t>
  </si>
  <si>
    <t>ORD-100981</t>
  </si>
  <si>
    <t>ORD-100982</t>
  </si>
  <si>
    <t>ORD-100983</t>
  </si>
  <si>
    <t>ORD-100984</t>
  </si>
  <si>
    <t>ORD-100985</t>
  </si>
  <si>
    <t>2025-04-25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</si>
  <si>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</si>
  <si>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</si>
  <si>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</si>
  <si>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</si>
  <si>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</si>
  <si>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</si>
  <si>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</si>
  <si>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</si>
  <si>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</si>
  <si>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</si>
  <si>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</si>
  <si>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</si>
  <si>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</si>
  <si>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</si>
  <si>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</si>
  <si>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</si>
  <si>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</si>
  <si>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</si>
  <si>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</si>
  <si>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</si>
  <si>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</si>
  <si>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</si>
  <si>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</si>
  <si>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2024-06-11</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</si>
  <si>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</si>
  <si>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</si>
  <si>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</si>
  <si>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</si>
  <si>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</si>
  <si>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</si>
  <si>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</si>
  <si>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</si>
  <si>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</si>
  <si>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</si>
  <si>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</si>
  <si>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</si>
  <si>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</si>
  <si>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</si>
  <si>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</si>
  <si>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</si>
  <si>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</si>
  <si>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</si>
  <si>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</si>
  <si>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2024-06-09</t>
  </si>
  <si>
    <t>2024-06-17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</si>
  <si>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</si>
  <si>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</si>
  <si>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</si>
  <si>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</si>
  <si>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</si>
  <si>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</si>
  <si>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</si>
  <si>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</si>
  <si>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</si>
  <si>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</si>
  <si>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</si>
  <si>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</si>
  <si>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</si>
  <si>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</si>
  <si>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</si>
  <si>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</si>
  <si>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</si>
  <si>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</si>
  <si>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</si>
  <si>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</si>
  <si>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</si>
  <si>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</si>
  <si>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</si>
  <si>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</si>
  <si>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</si>
  <si>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</si>
  <si>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2024-02-19</t>
  </si>
  <si>
    <t>ORD-101054</t>
  </si>
  <si>
    <t>ORD-101055</t>
  </si>
  <si>
    <t>ORD-101056</t>
  </si>
  <si>
    <t>ORD-101057</t>
  </si>
  <si>
    <t>ORD-101058</t>
  </si>
  <si>
    <t>ORD-101059</t>
  </si>
  <si>
    <t>ORD-101060</t>
  </si>
  <si>
    <t>ORD-101061</t>
  </si>
  <si>
    <t>ORD-101062</t>
  </si>
  <si>
    <t>ORD-101063</t>
  </si>
  <si>
    <t>2025-01-18</t>
  </si>
  <si>
    <t>ORD-101064</t>
  </si>
  <si>
    <t>ORD-101065</t>
  </si>
  <si>
    <t>ORD-101066</t>
  </si>
  <si>
    <t>ORD-101067</t>
  </si>
  <si>
    <t>ORD-101068</t>
  </si>
  <si>
    <t>ORD-101069</t>
  </si>
  <si>
    <t>ORD-101070</t>
  </si>
  <si>
    <t>ORD-101071</t>
  </si>
  <si>
    <t>ORD-101072</t>
  </si>
  <si>
    <t>ORD-101073</t>
  </si>
  <si>
    <t>ORD-101074</t>
  </si>
  <si>
    <t>2024-01-01</t>
  </si>
  <si>
    <t>2024-01-04</t>
  </si>
  <si>
    <t>ORD-101075</t>
  </si>
  <si>
    <t>ORD-101076</t>
  </si>
  <si>
    <t>ORD-101077</t>
  </si>
  <si>
    <t>ORD-101078</t>
  </si>
  <si>
    <t>ORD-101079</t>
  </si>
  <si>
    <t>ORD-101080</t>
  </si>
  <si>
    <t>ORD-101081</t>
  </si>
  <si>
    <t>ORD-101082</t>
  </si>
  <si>
    <t>ORD-101083</t>
  </si>
  <si>
    <t>ORD-101084</t>
  </si>
  <si>
    <t>ORD-101085</t>
  </si>
  <si>
    <t>ORD-101086</t>
  </si>
  <si>
    <t>2024-09-08</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</si>
  <si>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</si>
  <si>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</si>
  <si>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</si>
  <si>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</si>
  <si>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</si>
  <si>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</si>
  <si>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</si>
  <si>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</si>
  <si>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</si>
  <si>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</si>
  <si>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</si>
  <si>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</si>
  <si>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</si>
  <si>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</si>
  <si>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</si>
  <si>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</si>
  <si>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</si>
  <si>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</si>
  <si>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</si>
  <si>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</si>
  <si>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</si>
  <si>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</si>
  <si>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</si>
  <si>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</si>
  <si>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</si>
  <si>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</si>
  <si>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</si>
  <si>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</si>
  <si>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</si>
  <si>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</si>
  <si>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</si>
  <si>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</si>
  <si>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</si>
  <si>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</si>
  <si>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</si>
  <si>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</si>
  <si>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</si>
  <si>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</si>
  <si>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</si>
  <si>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</si>
  <si>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</si>
  <si>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</si>
  <si>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</si>
  <si>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</si>
  <si>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</si>
  <si>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</si>
  <si>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</si>
  <si>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</si>
  <si>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</si>
  <si>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</si>
  <si>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</si>
  <si>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</si>
  <si>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</si>
  <si>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</si>
  <si>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</si>
  <si>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</si>
  <si>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</si>
  <si>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</si>
  <si>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</si>
  <si>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</si>
  <si>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</si>
  <si>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</si>
  <si>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</si>
  <si>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</si>
  <si>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</si>
  <si>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</si>
  <si>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</si>
  <si>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</si>
  <si>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</si>
  <si>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</si>
  <si>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</si>
  <si>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</si>
  <si>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</si>
  <si>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</si>
  <si>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</si>
  <si>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</si>
  <si>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</si>
  <si>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</si>
  <si>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</si>
  <si>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</si>
  <si>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</si>
  <si>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</si>
  <si>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</si>
  <si>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</si>
  <si>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</si>
  <si>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2024-01-07</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</si>
  <si>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</si>
  <si>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</si>
  <si>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</si>
  <si>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</si>
  <si>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</si>
  <si>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</si>
  <si>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</si>
  <si>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</si>
  <si>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</si>
  <si>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</si>
  <si>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</si>
  <si>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</si>
  <si>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</si>
  <si>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</si>
  <si>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</si>
  <si>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</si>
  <si>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</si>
  <si>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</si>
  <si>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</si>
  <si>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</si>
  <si>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</si>
  <si>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</si>
  <si>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</si>
  <si>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</si>
  <si>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</si>
  <si>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</si>
  <si>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</si>
  <si>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</si>
  <si>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</si>
  <si>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</si>
  <si>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</si>
  <si>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</si>
  <si>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</si>
  <si>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</si>
  <si>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</si>
  <si>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</si>
  <si>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</si>
  <si>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</si>
  <si>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</si>
  <si>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</si>
  <si>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</si>
  <si>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</si>
  <si>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</si>
  <si>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</si>
  <si>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</si>
  <si>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</si>
  <si>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</si>
  <si>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</si>
  <si>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</si>
  <si>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</si>
  <si>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</si>
  <si>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</si>
  <si>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</si>
  <si>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</si>
  <si>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</si>
  <si>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</si>
  <si>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</si>
  <si>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2026-01-27</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</si>
  <si>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</si>
  <si>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</si>
  <si>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</si>
  <si>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</si>
  <si>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</si>
  <si>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</si>
  <si>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</si>
  <si>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</si>
  <si>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</si>
  <si>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</si>
  <si>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</si>
  <si>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</si>
  <si>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</si>
  <si>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</si>
  <si>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</si>
  <si>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</si>
  <si>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</si>
  <si>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</si>
  <si>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</si>
  <si>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</si>
  <si>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</si>
  <si>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</si>
  <si>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</si>
  <si>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</si>
  <si>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</si>
  <si>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</si>
  <si>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</si>
  <si>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</si>
  <si>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</si>
  <si>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</si>
  <si>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</si>
  <si>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</si>
  <si>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</si>
  <si>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</si>
  <si>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</si>
  <si>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</si>
  <si>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</si>
  <si>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</si>
  <si>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</si>
  <si>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</si>
  <si>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</si>
  <si>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</si>
  <si>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</si>
  <si>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</si>
  <si>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</si>
  <si>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</si>
  <si>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</si>
  <si>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</si>
  <si>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</si>
  <si>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</si>
  <si>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</si>
  <si>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</si>
  <si>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</si>
  <si>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</si>
  <si>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</si>
  <si>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</si>
  <si>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</si>
  <si>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</si>
  <si>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</si>
  <si>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</si>
  <si>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</si>
  <si>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</si>
  <si>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</si>
  <si>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</si>
  <si>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</si>
  <si>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</si>
  <si>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</si>
  <si>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</si>
  <si>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</si>
  <si>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2024-07-17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</si>
  <si>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</si>
  <si>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</si>
  <si>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</si>
  <si>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</si>
  <si>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</si>
  <si>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</si>
  <si>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</si>
  <si>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</si>
  <si>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</si>
  <si>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</si>
  <si>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</si>
  <si>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</si>
  <si>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</si>
  <si>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</si>
  <si>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</si>
  <si>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</si>
  <si>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</si>
  <si>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</si>
  <si>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</si>
  <si>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</si>
  <si>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</si>
  <si>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</si>
  <si>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</si>
  <si>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</si>
  <si>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</si>
  <si>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</si>
  <si>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</si>
  <si>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</si>
  <si>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</si>
  <si>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</si>
  <si>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</si>
  <si>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</si>
  <si>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</si>
  <si>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</si>
  <si>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</si>
  <si>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</si>
  <si>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</si>
  <si>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</si>
  <si>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</si>
  <si>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</si>
  <si>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2024-05-19</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</si>
  <si>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</si>
  <si>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</si>
  <si>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</si>
  <si>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</si>
  <si>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</si>
  <si>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</si>
  <si>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</si>
  <si>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</si>
  <si>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</si>
  <si>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</si>
  <si>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</si>
  <si>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</si>
  <si>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</si>
  <si>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</si>
  <si>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</si>
  <si>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</si>
  <si>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</si>
  <si>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</si>
  <si>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</si>
  <si>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</si>
  <si>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</si>
  <si>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</si>
  <si>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</si>
  <si>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</si>
  <si>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</si>
  <si>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</si>
  <si>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</si>
  <si>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</si>
  <si>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</si>
  <si>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</si>
  <si>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</si>
  <si>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</si>
  <si>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</si>
  <si>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</si>
  <si>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</si>
  <si>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</si>
  <si>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</si>
  <si>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</si>
  <si>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</si>
  <si>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</si>
  <si>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</si>
  <si>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</si>
  <si>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2025-07-15</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</si>
  <si>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</si>
  <si>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</si>
  <si>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</si>
  <si>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</si>
  <si>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</si>
  <si>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</si>
  <si>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</si>
  <si>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</si>
  <si>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</si>
  <si>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</si>
  <si>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</si>
  <si>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</si>
  <si>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</si>
  <si>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</si>
  <si>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</si>
  <si>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</si>
  <si>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</si>
  <si>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</si>
  <si>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</si>
  <si>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</si>
  <si>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</si>
  <si>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</si>
  <si>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</si>
  <si>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</si>
  <si>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</si>
  <si>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</si>
  <si>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</si>
  <si>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</si>
  <si>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</si>
  <si>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</si>
  <si>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</si>
  <si>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</si>
  <si>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</si>
  <si>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</si>
  <si>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</si>
  <si>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</si>
  <si>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</si>
  <si>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</si>
  <si>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</si>
  <si>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</si>
  <si>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</si>
  <si>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</si>
  <si>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</si>
  <si>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</si>
  <si>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</si>
  <si>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</si>
  <si>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</si>
  <si>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</si>
  <si>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</si>
  <si>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</si>
  <si>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</si>
  <si>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</si>
  <si>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</si>
  <si>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</si>
  <si>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</si>
  <si>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</si>
  <si>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</si>
  <si>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</si>
  <si>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</si>
  <si>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</si>
  <si>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</si>
  <si>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</si>
  <si>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</si>
  <si>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</si>
  <si>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</si>
  <si>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</si>
  <si>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</si>
  <si>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</si>
  <si>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</si>
  <si>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</si>
  <si>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</si>
  <si>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</si>
  <si>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</si>
  <si>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</si>
  <si>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</si>
  <si>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</si>
  <si>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</si>
  <si>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</si>
  <si>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</si>
  <si>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</si>
  <si>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</si>
  <si>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</si>
  <si>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</si>
  <si>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</si>
  <si>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</si>
  <si>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</si>
  <si>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</si>
  <si>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</si>
  <si>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</si>
  <si>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</si>
  <si>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</si>
  <si>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</si>
  <si>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</si>
  <si>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</si>
  <si>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</si>
  <si>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</si>
  <si>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</si>
  <si>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</si>
  <si>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</si>
  <si>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</si>
  <si>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</si>
  <si>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</si>
  <si>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</si>
  <si>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</si>
  <si>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</si>
  <si>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</si>
  <si>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</si>
  <si>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</si>
  <si>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</si>
  <si>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</si>
  <si>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</si>
  <si>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</si>
  <si>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</si>
  <si>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</si>
  <si>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</si>
  <si>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</si>
  <si>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</si>
  <si>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</si>
  <si>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</si>
  <si>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</si>
  <si>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ExtendedCost</t>
  </si>
  <si>
    <t>Profit</t>
  </si>
  <si>
    <t>RequestID</t>
  </si>
  <si>
    <t>RequestDate</t>
  </si>
  <si>
    <t>RequestType</t>
  </si>
  <si>
    <t>Severity</t>
  </si>
  <si>
    <t>AssignedTo</t>
  </si>
  <si>
    <t>Channel</t>
  </si>
  <si>
    <t>EstimatedCost</t>
  </si>
  <si>
    <t>ResolutionDate</t>
  </si>
  <si>
    <t>Notes</t>
  </si>
  <si>
    <t>TCK-50000</t>
  </si>
  <si>
    <t>Resolved</t>
  </si>
  <si>
    <t>Walk-in</t>
  </si>
  <si>
    <t>Office supply restock</t>
  </si>
  <si>
    <t>TCK-50001</t>
  </si>
  <si>
    <t>Finance Approval</t>
  </si>
  <si>
    <t>Waiting</t>
  </si>
  <si>
    <t>Finley Jackson</t>
  </si>
  <si>
    <t>Portal</t>
  </si>
  <si>
    <t>Invoice discrepancy reported</t>
  </si>
  <si>
    <t>TCK-50002</t>
  </si>
  <si>
    <t>Expense policy question</t>
  </si>
  <si>
    <t>TCK-50003</t>
  </si>
  <si>
    <t>HR Request</t>
  </si>
  <si>
    <t>Phone</t>
  </si>
  <si>
    <t>Purchase approval needed</t>
  </si>
  <si>
    <t>TCK-50004</t>
  </si>
  <si>
    <t>IT Support</t>
  </si>
  <si>
    <t>TCK-50005</t>
  </si>
  <si>
    <t>In Progress</t>
  </si>
  <si>
    <t>Casey Lee</t>
  </si>
  <si>
    <t>Laptop replacement requested</t>
  </si>
  <si>
    <t>TCK-50006</t>
  </si>
  <si>
    <t>Onboarding</t>
  </si>
  <si>
    <t>Closed</t>
  </si>
  <si>
    <t>TCK-50007</t>
  </si>
  <si>
    <t>Badge access not working</t>
  </si>
  <si>
    <t>TCK-50008</t>
  </si>
  <si>
    <t>Supplies</t>
  </si>
  <si>
    <t>TCK-50009</t>
  </si>
  <si>
    <t>Morgan Johnson</t>
  </si>
  <si>
    <t>VPN connectivity issues</t>
  </si>
  <si>
    <t>TCK-50010</t>
  </si>
  <si>
    <t>TCK-50011</t>
  </si>
  <si>
    <t>Quinn Robinson</t>
  </si>
  <si>
    <t>Conference room equipment problem</t>
  </si>
  <si>
    <t>TCK-50012</t>
  </si>
  <si>
    <t>TCK-50013</t>
  </si>
  <si>
    <t>TCK-50014</t>
  </si>
  <si>
    <t>Rowan Martinez</t>
  </si>
  <si>
    <t>TCK-50015</t>
  </si>
  <si>
    <t>Riley Walker</t>
  </si>
  <si>
    <t>TCK-50016</t>
  </si>
  <si>
    <t>Casey Anderson</t>
  </si>
  <si>
    <t>TCK-50017</t>
  </si>
  <si>
    <t>TCK-50018</t>
  </si>
  <si>
    <t>Peyton Garcia</t>
  </si>
  <si>
    <t>TCK-50019</t>
  </si>
  <si>
    <t>Riley Clark</t>
  </si>
  <si>
    <t>User cannot access shared drive</t>
  </si>
  <si>
    <t>TCK-50020</t>
  </si>
  <si>
    <t>Casey White</t>
  </si>
  <si>
    <t>TCK-50021</t>
  </si>
  <si>
    <t>Hayden Lee</t>
  </si>
  <si>
    <t>TCK-50022</t>
  </si>
  <si>
    <t>Drew Lewis</t>
  </si>
  <si>
    <t>TCK-50023</t>
  </si>
  <si>
    <t>TCK-50024</t>
  </si>
  <si>
    <t>Hayden Brown</t>
  </si>
  <si>
    <t>New hire setup required</t>
  </si>
  <si>
    <t>TCK-50025</t>
  </si>
  <si>
    <t>TCK-50026</t>
  </si>
  <si>
    <t>TCK-50027</t>
  </si>
  <si>
    <t>TCK-50028</t>
  </si>
  <si>
    <t>TCK-50029</t>
  </si>
  <si>
    <t>TCK-50030</t>
  </si>
  <si>
    <t>TCK-50031</t>
  </si>
  <si>
    <t>Skyler Lewis</t>
  </si>
  <si>
    <t>TCK-50032</t>
  </si>
  <si>
    <t>Rowan Lewis</t>
  </si>
  <si>
    <t>TCK-50033</t>
  </si>
  <si>
    <t>Blake Harris</t>
  </si>
  <si>
    <t>TCK-50034</t>
  </si>
  <si>
    <t>Dakota Garcia</t>
  </si>
  <si>
    <t>TCK-50035</t>
  </si>
  <si>
    <t>Skyler Walker</t>
  </si>
  <si>
    <t>TCK-50036</t>
  </si>
  <si>
    <t>Hayden White</t>
  </si>
  <si>
    <t>TCK-50037</t>
  </si>
  <si>
    <t>TCK-50038</t>
  </si>
  <si>
    <t>TCK-50039</t>
  </si>
  <si>
    <t>Rowan Wilson</t>
  </si>
  <si>
    <t>TCK-50040</t>
  </si>
  <si>
    <t>TCK-50041</t>
  </si>
  <si>
    <t>TCK-50042</t>
  </si>
  <si>
    <t>TCK-50043</t>
  </si>
  <si>
    <t>TCK-50044</t>
  </si>
  <si>
    <t>TCK-50045</t>
  </si>
  <si>
    <t>Taylor Johnson</t>
  </si>
  <si>
    <t>TCK-50046</t>
  </si>
  <si>
    <t>TCK-50047</t>
  </si>
  <si>
    <t>TCK-50048</t>
  </si>
  <si>
    <t>Drew White</t>
  </si>
  <si>
    <t>TCK-50049</t>
  </si>
  <si>
    <t>TCK-50050</t>
  </si>
  <si>
    <t>TCK-50051</t>
  </si>
  <si>
    <t>Reese Johnson</t>
  </si>
  <si>
    <t>TCK-50052</t>
  </si>
  <si>
    <t>Reese Young</t>
  </si>
  <si>
    <t>TCK-50053</t>
  </si>
  <si>
    <t>Finley Walker</t>
  </si>
  <si>
    <t>TCK-50054</t>
  </si>
  <si>
    <t>TCK-50055</t>
  </si>
  <si>
    <t>Taylor Nguyen</t>
  </si>
  <si>
    <t>TCK-50056</t>
  </si>
  <si>
    <t>TCK-50057</t>
  </si>
  <si>
    <t>TCK-50058</t>
  </si>
  <si>
    <t>TCK-50059</t>
  </si>
  <si>
    <t>Taylor Young</t>
  </si>
  <si>
    <t>TCK-50060</t>
  </si>
  <si>
    <t>TCK-50061</t>
  </si>
  <si>
    <t>Jordan Young</t>
  </si>
  <si>
    <t>TCK-50062</t>
  </si>
  <si>
    <t>Peyton Lee</t>
  </si>
  <si>
    <t>TCK-50063</t>
  </si>
  <si>
    <t>Sawyer Harris</t>
  </si>
  <si>
    <t>TCK-50064</t>
  </si>
  <si>
    <t>TCK-50065</t>
  </si>
  <si>
    <t>TCK-50066</t>
  </si>
  <si>
    <t>TCK-50067</t>
  </si>
  <si>
    <t>TCK-50068</t>
  </si>
  <si>
    <t>TCK-50069</t>
  </si>
  <si>
    <t>TCK-50070</t>
  </si>
  <si>
    <t>TCK-50071</t>
  </si>
  <si>
    <t>TCK-50072</t>
  </si>
  <si>
    <t>TCK-50073</t>
  </si>
  <si>
    <t>Quinn Anderson</t>
  </si>
  <si>
    <t>TCK-50074</t>
  </si>
  <si>
    <t>TCK-50075</t>
  </si>
  <si>
    <t>TCK-50076</t>
  </si>
  <si>
    <t>TCK-50077</t>
  </si>
  <si>
    <t>Cameron Lee</t>
  </si>
  <si>
    <t>TCK-50078</t>
  </si>
  <si>
    <t>Rowan Allen</t>
  </si>
  <si>
    <t>TCK-50079</t>
  </si>
  <si>
    <t>TCK-50080</t>
  </si>
  <si>
    <t>TCK-50081</t>
  </si>
  <si>
    <t>TCK-50082</t>
  </si>
  <si>
    <t>TCK-50083</t>
  </si>
  <si>
    <t>Finley Lewis</t>
  </si>
  <si>
    <t>TCK-50084</t>
  </si>
  <si>
    <t>TCK-50085</t>
  </si>
  <si>
    <t>TCK-50086</t>
  </si>
  <si>
    <t>TCK-50087</t>
  </si>
  <si>
    <t>TCK-50088</t>
  </si>
  <si>
    <t>TCK-50089</t>
  </si>
  <si>
    <t>TCK-50090</t>
  </si>
  <si>
    <t>TCK-50091</t>
  </si>
  <si>
    <t>TCK-50092</t>
  </si>
  <si>
    <t>Drew Garcia</t>
  </si>
  <si>
    <t>TCK-50093</t>
  </si>
  <si>
    <t>TCK-50094</t>
  </si>
  <si>
    <t>TCK-50095</t>
  </si>
  <si>
    <t>TCK-50096</t>
  </si>
  <si>
    <t>TCK-50097</t>
  </si>
  <si>
    <t>TCK-50098</t>
  </si>
  <si>
    <t>TCK-50099</t>
  </si>
  <si>
    <t>Emerson Smith</t>
  </si>
  <si>
    <t>TCK-50100</t>
  </si>
  <si>
    <t>TCK-50101</t>
  </si>
  <si>
    <t>TCK-50102</t>
  </si>
  <si>
    <t>Jamie Thomas</t>
  </si>
  <si>
    <t>TCK-50103</t>
  </si>
  <si>
    <t>TCK-50104</t>
  </si>
  <si>
    <t>TCK-50105</t>
  </si>
  <si>
    <t>TCK-50106</t>
  </si>
  <si>
    <t>TCK-50107</t>
  </si>
  <si>
    <t>TCK-50108</t>
  </si>
  <si>
    <t>TCK-50109</t>
  </si>
  <si>
    <t>TCK-50110</t>
  </si>
  <si>
    <t>TCK-50111</t>
  </si>
  <si>
    <t>TCK-50112</t>
  </si>
  <si>
    <t>TCK-50113</t>
  </si>
  <si>
    <t>Casey Johnson</t>
  </si>
  <si>
    <t>TCK-50114</t>
  </si>
  <si>
    <t>TCK-50115</t>
  </si>
  <si>
    <t>TCK-50116</t>
  </si>
  <si>
    <t>TCK-50117</t>
  </si>
  <si>
    <t>TCK-50118</t>
  </si>
  <si>
    <t>Taylor Clark</t>
  </si>
  <si>
    <t>TCK-50119</t>
  </si>
  <si>
    <t>TCK-50120</t>
  </si>
  <si>
    <t>TCK-50121</t>
  </si>
  <si>
    <t>TCK-50122</t>
  </si>
  <si>
    <t>TCK-50123</t>
  </si>
  <si>
    <t>TCK-50124</t>
  </si>
  <si>
    <t>TCK-50125</t>
  </si>
  <si>
    <t>TCK-50126</t>
  </si>
  <si>
    <t>TCK-50127</t>
  </si>
  <si>
    <t>TCK-50128</t>
  </si>
  <si>
    <t>TCK-50129</t>
  </si>
  <si>
    <t>TCK-50130</t>
  </si>
  <si>
    <t>TCK-50131</t>
  </si>
  <si>
    <t>TCK-50132</t>
  </si>
  <si>
    <t>TCK-50133</t>
  </si>
  <si>
    <t>TCK-50134</t>
  </si>
  <si>
    <t>TCK-50135</t>
  </si>
  <si>
    <t>TCK-50136</t>
  </si>
  <si>
    <t>TCK-50137</t>
  </si>
  <si>
    <t>TCK-50138</t>
  </si>
  <si>
    <t>TCK-50139</t>
  </si>
  <si>
    <t>TCK-50140</t>
  </si>
  <si>
    <t>TCK-50141</t>
  </si>
  <si>
    <t>Jordan Patel</t>
  </si>
  <si>
    <t>TCK-50142</t>
  </si>
  <si>
    <t>TCK-50143</t>
  </si>
  <si>
    <t>TCK-50144</t>
  </si>
  <si>
    <t>TCK-50145</t>
  </si>
  <si>
    <t>TCK-50146</t>
  </si>
  <si>
    <t>TCK-50147</t>
  </si>
  <si>
    <t>TCK-50148</t>
  </si>
  <si>
    <t>TCK-50149</t>
  </si>
  <si>
    <t>TCK-50150</t>
  </si>
  <si>
    <t>TCK-50151</t>
  </si>
  <si>
    <t>TCK-50152</t>
  </si>
  <si>
    <t>TCK-50153</t>
  </si>
  <si>
    <t>TCK-50154</t>
  </si>
  <si>
    <t>TCK-50155</t>
  </si>
  <si>
    <t>TCK-50156</t>
  </si>
  <si>
    <t>TCK-50157</t>
  </si>
  <si>
    <t>TCK-50158</t>
  </si>
  <si>
    <t>TCK-50159</t>
  </si>
  <si>
    <t>TCK-50160</t>
  </si>
  <si>
    <t>TCK-50161</t>
  </si>
  <si>
    <t>TCK-50162</t>
  </si>
  <si>
    <t>TCK-50163</t>
  </si>
  <si>
    <t>TCK-50164</t>
  </si>
  <si>
    <t>TCK-50165</t>
  </si>
  <si>
    <t>TCK-50166</t>
  </si>
  <si>
    <t>TCK-50167</t>
  </si>
  <si>
    <t>TCK-50168</t>
  </si>
  <si>
    <t>TCK-50169</t>
  </si>
  <si>
    <t>TCK-50170</t>
  </si>
  <si>
    <t>TCK-50171</t>
  </si>
  <si>
    <t>TCK-50172</t>
  </si>
  <si>
    <t>TCK-50173</t>
  </si>
  <si>
    <t>TCK-50174</t>
  </si>
  <si>
    <t>TCK-50175</t>
  </si>
  <si>
    <t>TCK-50176</t>
  </si>
  <si>
    <t>TCK-50177</t>
  </si>
  <si>
    <t>TCK-50178</t>
  </si>
  <si>
    <t>TCK-50179</t>
  </si>
  <si>
    <t>Reese Thomas</t>
  </si>
  <si>
    <t>TCK-50180</t>
  </si>
  <si>
    <t>TCK-50181</t>
  </si>
  <si>
    <t>TCK-50182</t>
  </si>
  <si>
    <t>TCK-50183</t>
  </si>
  <si>
    <t>TCK-50184</t>
  </si>
  <si>
    <t>TCK-50185</t>
  </si>
  <si>
    <t>TCK-50186</t>
  </si>
  <si>
    <t>TCK-50187</t>
  </si>
  <si>
    <t>TCK-50188</t>
  </si>
  <si>
    <t>TCK-50189</t>
  </si>
  <si>
    <t>TCK-50190</t>
  </si>
  <si>
    <t>TCK-50191</t>
  </si>
  <si>
    <t>TCK-50192</t>
  </si>
  <si>
    <t>Casey Nguyen</t>
  </si>
  <si>
    <t>TCK-50193</t>
  </si>
  <si>
    <t>TCK-50194</t>
  </si>
  <si>
    <t>TCK-50195</t>
  </si>
  <si>
    <t>TCK-50196</t>
  </si>
  <si>
    <t>TCK-50197</t>
  </si>
  <si>
    <t>TCK-50198</t>
  </si>
  <si>
    <t>TCK-50199</t>
  </si>
  <si>
    <t>Dakota Smith</t>
  </si>
  <si>
    <t>TCK-50200</t>
  </si>
  <si>
    <t>TCK-50201</t>
  </si>
  <si>
    <t>TCK-50202</t>
  </si>
  <si>
    <t>TCK-50203</t>
  </si>
  <si>
    <t>TCK-50204</t>
  </si>
  <si>
    <t>TCK-50205</t>
  </si>
  <si>
    <t>TCK-50206</t>
  </si>
  <si>
    <t>TCK-50207</t>
  </si>
  <si>
    <t>TCK-50208</t>
  </si>
  <si>
    <t>TCK-50209</t>
  </si>
  <si>
    <t>TCK-50210</t>
  </si>
  <si>
    <t>TCK-50211</t>
  </si>
  <si>
    <t>TCK-50212</t>
  </si>
  <si>
    <t>TCK-50213</t>
  </si>
  <si>
    <t>TCK-50214</t>
  </si>
  <si>
    <t>TCK-50215</t>
  </si>
  <si>
    <t>TCK-50216</t>
  </si>
  <si>
    <t>TCK-50217</t>
  </si>
  <si>
    <t>TCK-50218</t>
  </si>
  <si>
    <t>TCK-50219</t>
  </si>
  <si>
    <t>TCK-50220</t>
  </si>
  <si>
    <t>TCK-50221</t>
  </si>
  <si>
    <t>Casey Young</t>
  </si>
  <si>
    <t>TCK-50222</t>
  </si>
  <si>
    <t>TCK-50223</t>
  </si>
  <si>
    <t>TCK-50224</t>
  </si>
  <si>
    <t>TCK-50225</t>
  </si>
  <si>
    <t>TCK-50226</t>
  </si>
  <si>
    <t>TCK-50227</t>
  </si>
  <si>
    <t>TCK-50228</t>
  </si>
  <si>
    <t>TCK-50229</t>
  </si>
  <si>
    <t>TCK-50230</t>
  </si>
  <si>
    <t>TCK-50231</t>
  </si>
  <si>
    <t>TCK-50232</t>
  </si>
  <si>
    <t>TCK-50233</t>
  </si>
  <si>
    <t>TCK-50234</t>
  </si>
  <si>
    <t>TCK-50235</t>
  </si>
  <si>
    <t>TCK-50236</t>
  </si>
  <si>
    <t>TCK-50237</t>
  </si>
  <si>
    <t>TCK-50238</t>
  </si>
  <si>
    <t>TCK-50239</t>
  </si>
  <si>
    <t>TCK-50240</t>
  </si>
  <si>
    <t>TCK-50241</t>
  </si>
  <si>
    <t>TCK-50242</t>
  </si>
  <si>
    <t>TCK-50243</t>
  </si>
  <si>
    <t>TCK-50244</t>
  </si>
  <si>
    <t>TCK-50245</t>
  </si>
  <si>
    <t>TCK-50246</t>
  </si>
  <si>
    <t>TCK-50247</t>
  </si>
  <si>
    <t>TCK-50248</t>
  </si>
  <si>
    <t>TCK-50249</t>
  </si>
  <si>
    <t>TCK-50250</t>
  </si>
  <si>
    <t>TCK-50251</t>
  </si>
  <si>
    <t>TCK-50252</t>
  </si>
  <si>
    <t>TCK-50253</t>
  </si>
  <si>
    <t>TCK-50254</t>
  </si>
  <si>
    <t>TCK-50255</t>
  </si>
  <si>
    <t>TCK-50256</t>
  </si>
  <si>
    <t>TCK-50257</t>
  </si>
  <si>
    <t>TCK-50258</t>
  </si>
  <si>
    <t>TCK-50259</t>
  </si>
  <si>
    <t>TCK-50260</t>
  </si>
  <si>
    <t>TCK-50261</t>
  </si>
  <si>
    <t>TCK-50262</t>
  </si>
  <si>
    <t>TCK-50263</t>
  </si>
  <si>
    <t>TCK-50264</t>
  </si>
  <si>
    <t>TCK-50265</t>
  </si>
  <si>
    <t>TCK-50266</t>
  </si>
  <si>
    <t>TCK-50267</t>
  </si>
  <si>
    <t>TCK-50268</t>
  </si>
  <si>
    <t>TCK-50269</t>
  </si>
  <si>
    <t>TCK-50270</t>
  </si>
  <si>
    <t>TCK-50271</t>
  </si>
  <si>
    <t>TCK-50272</t>
  </si>
  <si>
    <t>TCK-50273</t>
  </si>
  <si>
    <t>TCK-50274</t>
  </si>
  <si>
    <t>TCK-50275</t>
  </si>
  <si>
    <t>TCK-50276</t>
  </si>
  <si>
    <t>TCK-50277</t>
  </si>
  <si>
    <t>TCK-50278</t>
  </si>
  <si>
    <t>TCK-50279</t>
  </si>
  <si>
    <t>TCK-50280</t>
  </si>
  <si>
    <t>TCK-50281</t>
  </si>
  <si>
    <t>TCK-50282</t>
  </si>
  <si>
    <t>TCK-50283</t>
  </si>
  <si>
    <t>TCK-50284</t>
  </si>
  <si>
    <t>TCK-50285</t>
  </si>
  <si>
    <t>TCK-50286</t>
  </si>
  <si>
    <t>TCK-50287</t>
  </si>
  <si>
    <t>TCK-50288</t>
  </si>
  <si>
    <t>TCK-50289</t>
  </si>
  <si>
    <t>TCK-50290</t>
  </si>
  <si>
    <t>TCK-50291</t>
  </si>
  <si>
    <t>TCK-50292</t>
  </si>
  <si>
    <t>TCK-50293</t>
  </si>
  <si>
    <t>TCK-50294</t>
  </si>
  <si>
    <t>TCK-50295</t>
  </si>
  <si>
    <t>TCK-50296</t>
  </si>
  <si>
    <t>TCK-50297</t>
  </si>
  <si>
    <t>TCK-50298</t>
  </si>
  <si>
    <t>TCK-50299</t>
  </si>
  <si>
    <t>TCK-50300</t>
  </si>
  <si>
    <t>TCK-50301</t>
  </si>
  <si>
    <t>TCK-50302</t>
  </si>
  <si>
    <t>TCK-50303</t>
  </si>
  <si>
    <t>TCK-50304</t>
  </si>
  <si>
    <t>TCK-50305</t>
  </si>
  <si>
    <t>TCK-50306</t>
  </si>
  <si>
    <t>TCK-50307</t>
  </si>
  <si>
    <t>TCK-50308</t>
  </si>
  <si>
    <t>TCK-50309</t>
  </si>
  <si>
    <t>TCK-50310</t>
  </si>
  <si>
    <t>TCK-50311</t>
  </si>
  <si>
    <t>TCK-50312</t>
  </si>
  <si>
    <t>TCK-50313</t>
  </si>
  <si>
    <t>TCK-50314</t>
  </si>
  <si>
    <t>TCK-50315</t>
  </si>
  <si>
    <t>TCK-50316</t>
  </si>
  <si>
    <t>TCK-50317</t>
  </si>
  <si>
    <t>TCK-50318</t>
  </si>
  <si>
    <t>TCK-50319</t>
  </si>
  <si>
    <t>TCK-50320</t>
  </si>
  <si>
    <t>TCK-50321</t>
  </si>
  <si>
    <t>TCK-50322</t>
  </si>
  <si>
    <t>TCK-50323</t>
  </si>
  <si>
    <t>Rowan Young</t>
  </si>
  <si>
    <t>TCK-50324</t>
  </si>
  <si>
    <t>TCK-50325</t>
  </si>
  <si>
    <t>TCK-50326</t>
  </si>
  <si>
    <t>TCK-50327</t>
  </si>
  <si>
    <t>TCK-50328</t>
  </si>
  <si>
    <t>TCK-50329</t>
  </si>
  <si>
    <t>TCK-50330</t>
  </si>
  <si>
    <t>TCK-50331</t>
  </si>
  <si>
    <t>TCK-50332</t>
  </si>
  <si>
    <t>TCK-50333</t>
  </si>
  <si>
    <t>TCK-50334</t>
  </si>
  <si>
    <t>TCK-50335</t>
  </si>
  <si>
    <t>TCK-50336</t>
  </si>
  <si>
    <t>TCK-50337</t>
  </si>
  <si>
    <t>TCK-50338</t>
  </si>
  <si>
    <t>TCK-50339</t>
  </si>
  <si>
    <t>TCK-50340</t>
  </si>
  <si>
    <t>TCK-50341</t>
  </si>
  <si>
    <t>TCK-50342</t>
  </si>
  <si>
    <t>TCK-50343</t>
  </si>
  <si>
    <t>TCK-50344</t>
  </si>
  <si>
    <t>TCK-50345</t>
  </si>
  <si>
    <t>TCK-50346</t>
  </si>
  <si>
    <t>TCK-50347</t>
  </si>
  <si>
    <t>TCK-50348</t>
  </si>
  <si>
    <t>TCK-50349</t>
  </si>
  <si>
    <t>ReqStatus</t>
  </si>
  <si>
    <t>Reese Harris</t>
  </si>
  <si>
    <t xml:space="preserve">Harbor Services  </t>
  </si>
  <si>
    <t>Date</t>
  </si>
  <si>
    <t>Product Line</t>
  </si>
  <si>
    <t>Style</t>
  </si>
  <si>
    <t>Color</t>
  </si>
  <si>
    <t>Size</t>
  </si>
  <si>
    <t>Gender</t>
  </si>
  <si>
    <t>Material</t>
  </si>
  <si>
    <t>Warehouse</t>
  </si>
  <si>
    <t>Units In Stock</t>
  </si>
  <si>
    <t>Reorder Level</t>
  </si>
  <si>
    <t>Unit Cost</t>
  </si>
  <si>
    <t>TSH-1001</t>
  </si>
  <si>
    <t>Essential Tees</t>
  </si>
  <si>
    <t>Crew Neck</t>
  </si>
  <si>
    <t>Black</t>
  </si>
  <si>
    <t>S</t>
  </si>
  <si>
    <t>Unisex</t>
  </si>
  <si>
    <t>Cotton</t>
  </si>
  <si>
    <t>TSH-1002</t>
  </si>
  <si>
    <t>M</t>
  </si>
  <si>
    <t>TSH-1003</t>
  </si>
  <si>
    <t>L</t>
  </si>
  <si>
    <t>TSH-1004</t>
  </si>
  <si>
    <t>XL</t>
  </si>
  <si>
    <t>TSH-1005</t>
  </si>
  <si>
    <t>XS</t>
  </si>
  <si>
    <t>TSH-1006</t>
  </si>
  <si>
    <t>XXL</t>
  </si>
  <si>
    <t>TSH-2001</t>
  </si>
  <si>
    <t>V-Neck</t>
  </si>
  <si>
    <t>TSH-2002</t>
  </si>
  <si>
    <t>TSH-2003</t>
  </si>
  <si>
    <t>TSH-2004</t>
  </si>
  <si>
    <t>TSH-2005</t>
  </si>
  <si>
    <t>TSH-2006</t>
  </si>
  <si>
    <t>HDY-3001</t>
  </si>
  <si>
    <t>Winter Wear</t>
  </si>
  <si>
    <t>Hoodie</t>
  </si>
  <si>
    <t>Charcoal</t>
  </si>
  <si>
    <t>Fleece</t>
  </si>
  <si>
    <t>HDY-3002</t>
  </si>
  <si>
    <t>HDY-3003</t>
  </si>
  <si>
    <t>HDY-3004</t>
  </si>
  <si>
    <t>HDY-3005</t>
  </si>
  <si>
    <t>JKT-4001</t>
  </si>
  <si>
    <t>Outerwear</t>
  </si>
  <si>
    <t>Light Jacket</t>
  </si>
  <si>
    <t>Navy</t>
  </si>
  <si>
    <t>Men</t>
  </si>
  <si>
    <t>Polyester</t>
  </si>
  <si>
    <t>JKT-4002</t>
  </si>
  <si>
    <t>JKT-4003</t>
  </si>
  <si>
    <t>JKT-4004</t>
  </si>
  <si>
    <t>JKT-4005</t>
  </si>
  <si>
    <t>LEG-5001</t>
  </si>
  <si>
    <t>Activewear</t>
  </si>
  <si>
    <t>Leggings</t>
  </si>
  <si>
    <t>Women</t>
  </si>
  <si>
    <t>Spandex</t>
  </si>
  <si>
    <t>LEG-5002</t>
  </si>
  <si>
    <t>LEG-5003</t>
  </si>
  <si>
    <t>LEG-5004</t>
  </si>
  <si>
    <t>LEG-5005</t>
  </si>
  <si>
    <t>LEG-5006</t>
  </si>
  <si>
    <t>OrderYear</t>
  </si>
  <si>
    <t>Total</t>
  </si>
  <si>
    <t>Average</t>
  </si>
  <si>
    <t>Count</t>
  </si>
  <si>
    <t>Request ID</t>
  </si>
  <si>
    <t>Request Date</t>
  </si>
  <si>
    <t>Employee Name</t>
  </si>
  <si>
    <t>Request Type</t>
  </si>
  <si>
    <t>Vendor</t>
  </si>
  <si>
    <t>Payment Method</t>
  </si>
  <si>
    <t>Estimated Cost</t>
  </si>
  <si>
    <t>Quantity</t>
  </si>
  <si>
    <t>Urgency</t>
  </si>
  <si>
    <t>Approval Status</t>
  </si>
  <si>
    <t>PR-1001</t>
  </si>
  <si>
    <t>TechSource Inc</t>
  </si>
  <si>
    <t>Credit Card</t>
  </si>
  <si>
    <t>Pending</t>
  </si>
  <si>
    <t>PR-1002</t>
  </si>
  <si>
    <t>Morgan Reed</t>
  </si>
  <si>
    <t>CloudWare LLC</t>
  </si>
  <si>
    <t>Invoice</t>
  </si>
  <si>
    <t>PR-1003</t>
  </si>
  <si>
    <t>StaplePro</t>
  </si>
  <si>
    <t>FixIT Services</t>
  </si>
  <si>
    <t>PR-1005</t>
  </si>
  <si>
    <t>Riley Adams</t>
  </si>
  <si>
    <t>DesignSoft Co</t>
  </si>
  <si>
    <t>Rejected</t>
  </si>
  <si>
    <t>PR-1006</t>
  </si>
  <si>
    <t>Alex Carter</t>
  </si>
  <si>
    <t>PR-1007</t>
  </si>
  <si>
    <t>Jamie Brooks</t>
  </si>
  <si>
    <t>SecureNet Ltd</t>
  </si>
  <si>
    <t>Drew Wilson</t>
  </si>
  <si>
    <t>AuditPro Group</t>
  </si>
  <si>
    <t>PR-1009</t>
  </si>
  <si>
    <t>Quinn Patel</t>
  </si>
  <si>
    <t>PR-1010</t>
  </si>
  <si>
    <t>Peyton Harris</t>
  </si>
  <si>
    <t>Industrial Supply Co</t>
  </si>
  <si>
    <t>PR-1011</t>
  </si>
  <si>
    <t>Skyler Thompson</t>
  </si>
  <si>
    <t>BrandLift Agency</t>
  </si>
  <si>
    <t>PR-1012</t>
  </si>
  <si>
    <t>Blake Monroe</t>
  </si>
  <si>
    <t>CRM Cloud Inc</t>
  </si>
  <si>
    <t>PR-1013</t>
  </si>
  <si>
    <t>Reese Coleman</t>
  </si>
  <si>
    <t>PR-1014</t>
  </si>
  <si>
    <t>Finley Ortiz</t>
  </si>
  <si>
    <t>OfficeMart</t>
  </si>
  <si>
    <t>PR-1015</t>
  </si>
  <si>
    <t>Hayden Park</t>
  </si>
  <si>
    <t>LogiFix Corp</t>
  </si>
  <si>
    <t>Rowan Kim</t>
  </si>
  <si>
    <t>HR Systems LLC</t>
  </si>
  <si>
    <t>PR-1017</t>
  </si>
  <si>
    <t>Emerson Wright</t>
  </si>
  <si>
    <t>DisplayWorks</t>
  </si>
  <si>
    <t>PR-1018</t>
  </si>
  <si>
    <t>Dakota Flores</t>
  </si>
  <si>
    <t>PR-1019</t>
  </si>
  <si>
    <t>Sawyer Bennett</t>
  </si>
  <si>
    <t>NetSupport Co</t>
  </si>
  <si>
    <t>PR-1020</t>
  </si>
  <si>
    <t>Avery Collins</t>
  </si>
  <si>
    <t>PR-1021</t>
  </si>
  <si>
    <t>Cameron Ross</t>
  </si>
  <si>
    <t>PR-1022</t>
  </si>
  <si>
    <t>Jordan Price</t>
  </si>
  <si>
    <t>MediaBoost Inc</t>
  </si>
  <si>
    <t>PR-1023</t>
  </si>
  <si>
    <t>Morgan Ellis</t>
  </si>
  <si>
    <t>PR-1024</t>
  </si>
  <si>
    <t>Taylor Grant</t>
  </si>
  <si>
    <t>PR-1025</t>
  </si>
  <si>
    <t>Riley Stone</t>
  </si>
  <si>
    <t>Approve</t>
  </si>
  <si>
    <t>Product</t>
  </si>
  <si>
    <t>Q1</t>
  </si>
  <si>
    <t>Laptop</t>
  </si>
  <si>
    <t>Monitor</t>
  </si>
  <si>
    <t>Keyboard</t>
  </si>
  <si>
    <t>Mouse</t>
  </si>
  <si>
    <t>Expense Category</t>
  </si>
  <si>
    <t>Jan</t>
  </si>
  <si>
    <t>Feb</t>
  </si>
  <si>
    <t>Mar</t>
  </si>
  <si>
    <t>Advertising</t>
  </si>
  <si>
    <t>Travel</t>
  </si>
  <si>
    <t>Events</t>
  </si>
  <si>
    <t>Training</t>
  </si>
  <si>
    <t>Recruiting</t>
  </si>
  <si>
    <t>480</t>
  </si>
  <si>
    <t>950</t>
  </si>
  <si>
    <t>1500</t>
  </si>
  <si>
    <t>Hardwore</t>
  </si>
  <si>
    <t>Office Suplies</t>
  </si>
  <si>
    <t>Sofware</t>
  </si>
  <si>
    <t>1/10/2026</t>
  </si>
  <si>
    <t>1/13/2026</t>
  </si>
  <si>
    <t>1.18.2026</t>
  </si>
  <si>
    <t>1/28/2026</t>
  </si>
  <si>
    <t>PR1004</t>
  </si>
  <si>
    <t>PR1008</t>
  </si>
  <si>
    <t>PR1016</t>
  </si>
  <si>
    <t>HireMonth</t>
  </si>
  <si>
    <t>Grand Total</t>
  </si>
  <si>
    <t>OrderMonth</t>
  </si>
  <si>
    <t>2024 Total</t>
  </si>
  <si>
    <t>2025 Total</t>
  </si>
  <si>
    <t>2026 Total</t>
  </si>
  <si>
    <t>SKU-P95011</t>
  </si>
  <si>
    <t>Product Revenue</t>
  </si>
  <si>
    <t>Horizontal = AND</t>
  </si>
  <si>
    <t>Vertical = OR</t>
  </si>
  <si>
    <t>Vertical = OR (Any one condition has to be true)</t>
  </si>
  <si>
    <t>Horizontal = AND (Both conditions has to be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</si>
</sst>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6" x14ac:knownFonts="1">
    <font>
      <sz val="11"/>
      <color theme="1"/>
      <name val="Calibri"/>
      <family val="2"/>
      <scheme val="minor"/>
    </font>
    <font>
      <b/>
      <sz val="11"/>
      <color rgb="FFFFFFFF"/>
      <name val="Calibri"/>
      <family val="2"/>
    </font>
    <font>
      <sz val="11"/>
      <color theme="1"/>
      <name val="Calibri"/>
      <family val="2"/>
      <scheme val="minor"/>
    </font>
    <font>
      <b/>
      <sz val="14"/>
      <color theme="0"/>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1F4E79"/>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249977111117893"/>
        <bgColor indexed="64"/>
      </patternFill>
    </fill>
  </fills>
  <borders count="7">
    <border>
      <left/>
      <right/>
      <top/>
      <bottom/>
      <diagonal/>
    </border>
    <border>
      <left style="thin">
        <color theme="0"/>
      </left>
      <right/>
      <top/>
      <bottom/>
      <diagonal/>
    </border>
    <border>
      <left/>
      <right/>
      <top/>
      <bottom style="medium">
        <color indexed="64"/>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164" fontId="0" fillId="0" borderId="0" xfId="1" applyFont="1"/>
    <xf numFmtId="0" fontId="3" fillId="3" borderId="2" xfId="0" applyFont="1" applyFill="1" applyBorder="1"/>
    <xf numFmtId="14" fontId="0" fillId="0" borderId="0" xfId="0" applyNumberFormat="1"/>
    <xf numFmtId="9" fontId="0" fillId="0" borderId="0" xfId="2" applyFont="1"/>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0" fillId="6" borderId="3" xfId="0" applyFill="1" applyBorder="1"/>
    <xf numFmtId="0" fontId="0" fillId="6" borderId="4" xfId="0" applyFill="1" applyBorder="1"/>
    <xf numFmtId="0" fontId="0" fillId="7" borderId="5" xfId="0" applyFill="1" applyBorder="1"/>
    <xf numFmtId="0" fontId="0" fillId="7" borderId="6" xfId="0" applyFill="1" applyBorder="1"/>
    <xf numFmtId="0" fontId="0" fillId="6" borderId="5" xfId="0" applyFill="1" applyBorder="1"/>
    <xf numFmtId="0" fontId="0" fillId="6" borderId="6" xfId="0" applyFill="1" applyBorder="1"/>
    <xf numFmtId="0" fontId="4" fillId="5" borderId="2" xfId="0" applyFont="1" applyFill="1" applyBorder="1" applyAlignment="1">
      <alignment horizontal="center" vertical="center" wrapText="1"/>
    </xf>
    <xf numFmtId="0" fontId="0" fillId="0" borderId="0" xfId="0" applyAlignment="1">
      <alignment vertical="center" wrapText="1"/>
    </xf>
    <xf numFmtId="164" fontId="0" fillId="0" borderId="0" xfId="1" applyFont="1" applyAlignment="1">
      <alignment vertical="center" wrapText="1"/>
    </xf>
    <xf numFmtId="0" fontId="4" fillId="8" borderId="2" xfId="0" applyFont="1" applyFill="1" applyBorder="1" applyAlignment="1">
      <alignment horizontal="center" vertical="center" wrapText="1"/>
    </xf>
    <xf numFmtId="164" fontId="0" fillId="0" borderId="0" xfId="0" applyNumberFormat="1"/>
    <xf numFmtId="14" fontId="0" fillId="6" borderId="4" xfId="0" applyNumberFormat="1" applyFill="1" applyBorder="1"/>
    <xf numFmtId="14" fontId="0" fillId="7" borderId="6" xfId="0" applyNumberFormat="1" applyFill="1" applyBorder="1"/>
    <xf numFmtId="14" fontId="0" fillId="6" borderId="6" xfId="0" applyNumberFormat="1" applyFill="1" applyBorder="1"/>
    <xf numFmtId="164" fontId="0" fillId="0" borderId="0" xfId="1" quotePrefix="1" applyFont="1"/>
    <xf numFmtId="14" fontId="0" fillId="0" borderId="0" xfId="0" quotePrefix="1" applyNumberFormat="1"/>
    <xf numFmtId="0" fontId="3" fillId="3" borderId="0" xfId="0" applyFont="1" applyFill="1" applyBorder="1"/>
    <xf numFmtId="0" fontId="5" fillId="0" borderId="0" xfId="0" applyFont="1"/>
    <xf numFmtId="0" fontId="1" fillId="2" borderId="0" xfId="0" applyFont="1" applyFill="1" applyAlignment="1">
      <alignment horizontal="center" vertical="center"/>
    </xf>
    <xf numFmtId="0" fontId="0" fillId="0" borderId="0" xfId="0" applyNumberFormat="1" applyFont="1"/>
    <xf numFmtId="164" fontId="0" fillId="0" borderId="0" xfId="0" applyNumberFormat="1" applyFont="1"/>
    <xf numFmtId="0" fontId="0" fillId="0" borderId="2" xfId="0" applyBorder="1"/>
  </cellXfs>
  <cellStyles count="3">
    <cellStyle name="Currency" xfId="1" builtinId="4"/>
    <cellStyle name="Normal" xfId="0" builtinId="0"/>
    <cellStyle name="Percent" xfId="2" builtinId="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9C0006"/>
          <bgColor rgb="FFFFFFFF"/>
        </patternFill>
      </fill>
    </dxf>
    <dxf>
      <numFmt numFmtId="164" formatCode="_(&quot;$&quot;* #,##0.00_);_(&quot;$&quot;* \(#,##0.00\);_(&quot;$&quot;* &quot;-&quot;??_);_(@_)"/>
    </dxf>
    <dxf>
      <font>
        <b val="0"/>
        <i val="0"/>
        <strike val="0"/>
        <condense val="0"/>
        <extend val="0"/>
        <outline val="0"/>
        <shadow val="0"/>
        <u val="none"/>
        <vertAlign val="baseline"/>
        <sz val="11"/>
        <color theme="1"/>
        <name val="Calibri"/>
        <family val="2"/>
        <scheme val="minor"/>
      </font>
      <numFmt numFmtId="164" formatCode="_(&quot;$&quot;* #,##0.00_);_(&quot;$&quot;* \(#,##0.00\);_(&quot;$&quot;* &quot;-&quot;??_);_(@_)"/>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medium">
          <color indexed="64"/>
        </bottom>
      </border>
    </dxf>
    <dxf>
      <numFmt numFmtId="165"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7</xdr:col>
      <xdr:colOff>50222</xdr:colOff>
      <xdr:row>0</xdr:row>
      <xdr:rowOff>184150</xdr:rowOff>
    </xdr:from>
    <xdr:to>
      <xdr:col>9</xdr:col>
      <xdr:colOff>298450</xdr:colOff>
      <xdr:row>129</xdr:row>
      <xdr:rowOff>25400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3B684C9A-E819-C964-0890-FE5800FD61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63922" y="184150"/>
              <a:ext cx="1467428" cy="2425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1</xdr:row>
      <xdr:rowOff>0</xdr:rowOff>
    </xdr:from>
    <xdr:to>
      <xdr:col>11</xdr:col>
      <xdr:colOff>552450</xdr:colOff>
      <xdr:row>120</xdr:row>
      <xdr:rowOff>165100</xdr:rowOff>
    </xdr:to>
    <mc:AlternateContent xmlns:mc="http://schemas.openxmlformats.org/markup-compatibility/2006">
      <mc:Choice xmlns:sle15="http://schemas.microsoft.com/office/drawing/2012/slicer" Requires="sle15">
        <xdr:graphicFrame macro="">
          <xdr:nvGraphicFramePr>
            <xdr:cNvPr id="3" name="Status">
              <a:extLst>
                <a:ext uri="{FF2B5EF4-FFF2-40B4-BE49-F238E27FC236}">
                  <a16:creationId xmlns:a16="http://schemas.microsoft.com/office/drawing/2014/main" id="{2533B3B3-A8AE-6D8F-F215-C2A23C28EA1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842500" y="190500"/>
              <a:ext cx="1162050" cy="901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7de5c48f32aaca3/OfficeNewb/Videos/MicrosoftOffice/ExcelComplete-2026/Exercise%20Files/Excel102ExerciseFiles/Excel-102-ExerciseFile-01-WORKING.xlsx" TargetMode="External"/><Relationship Id="rId1" Type="http://schemas.openxmlformats.org/officeDocument/2006/relationships/externalLinkPath" Target="https://officenewb-my.sharepoint.com/personal/kyle_pew_officenewb_onmicrosoft_com/Documents/MicrosoftExcelComplete-2026/Exercise%20Files/Excel102ExerciseFiles/Excel-102-ExerciseFile-01-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ployees"/>
      <sheetName val="Clothing Inventory"/>
      <sheetName val="Department Orders"/>
      <sheetName val="Products"/>
      <sheetName val="Duplicates"/>
      <sheetName val="Orders List"/>
      <sheetName val="DGET - Customer"/>
      <sheetName val="Customers"/>
      <sheetName val="Purchase Request"/>
      <sheetName val="Orders"/>
      <sheetName val="Sheet1"/>
      <sheetName val="Pivot_Source"/>
      <sheetName val="ServiceRequests"/>
      <sheetName val="North"/>
      <sheetName val="South"/>
      <sheetName val="West"/>
      <sheetName val="All Regions"/>
      <sheetName val="Marketing"/>
      <sheetName val="IT"/>
      <sheetName val="HR"/>
      <sheetName val="All Departments"/>
      <sheetName val="_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IT Support</v>
          </cell>
        </row>
        <row r="3">
          <cell r="A3" t="str">
            <v>Supplies</v>
          </cell>
        </row>
        <row r="4">
          <cell r="A4" t="str">
            <v>HR Request</v>
          </cell>
        </row>
        <row r="5">
          <cell r="A5" t="str">
            <v>Finance Approval</v>
          </cell>
        </row>
        <row r="6">
          <cell r="A6" t="str">
            <v>Facilities</v>
          </cell>
        </row>
        <row r="7">
          <cell r="A7" t="str">
            <v>Onboarding</v>
          </cell>
        </row>
        <row r="10">
          <cell r="A10" t="str">
            <v>Low</v>
          </cell>
        </row>
        <row r="11">
          <cell r="A11" t="str">
            <v>Medium</v>
          </cell>
        </row>
        <row r="12">
          <cell r="A12" t="str">
            <v>High</v>
          </cell>
        </row>
        <row r="15">
          <cell r="A15" t="str">
            <v>New</v>
          </cell>
        </row>
        <row r="16">
          <cell r="A16" t="str">
            <v>In Progress</v>
          </cell>
        </row>
        <row r="17">
          <cell r="A17" t="str">
            <v>Waiting</v>
          </cell>
        </row>
        <row r="18">
          <cell r="A18" t="str">
            <v>Resolved</v>
          </cell>
        </row>
        <row r="19">
          <cell r="A19" t="str">
            <v>Closed</v>
          </cell>
        </row>
        <row r="22">
          <cell r="A22" t="str">
            <v>Avery Thomas</v>
          </cell>
        </row>
        <row r="23">
          <cell r="A23" t="str">
            <v>Blake Harris</v>
          </cell>
        </row>
        <row r="24">
          <cell r="A24" t="str">
            <v>Blake Martinez</v>
          </cell>
        </row>
        <row r="25">
          <cell r="A25" t="str">
            <v>Blake Patel</v>
          </cell>
        </row>
        <row r="26">
          <cell r="A26" t="str">
            <v>Cameron Garcia</v>
          </cell>
        </row>
        <row r="27">
          <cell r="A27" t="str">
            <v>Cameron Lee</v>
          </cell>
        </row>
        <row r="28">
          <cell r="A28" t="str">
            <v>Cameron Robinson</v>
          </cell>
        </row>
        <row r="29">
          <cell r="A29" t="str">
            <v>Casey Anderson</v>
          </cell>
        </row>
        <row r="30">
          <cell r="A30" t="str">
            <v>Casey Brown</v>
          </cell>
        </row>
        <row r="31">
          <cell r="A31" t="str">
            <v>Casey Johnson</v>
          </cell>
        </row>
        <row r="32">
          <cell r="A32" t="str">
            <v>Casey Lee</v>
          </cell>
        </row>
        <row r="33">
          <cell r="A33" t="str">
            <v>Casey Nguyen</v>
          </cell>
        </row>
        <row r="34">
          <cell r="A34" t="str">
            <v>Casey White</v>
          </cell>
        </row>
        <row r="35">
          <cell r="A35" t="str">
            <v>Casey Young</v>
          </cell>
        </row>
        <row r="36">
          <cell r="A36" t="str">
            <v>Dakota Garcia</v>
          </cell>
        </row>
        <row r="37">
          <cell r="A37" t="str">
            <v>Dakota Smith</v>
          </cell>
        </row>
        <row r="38">
          <cell r="A38" t="str">
            <v>Drew Garcia</v>
          </cell>
        </row>
        <row r="39">
          <cell r="A39" t="str">
            <v>Drew Lewis</v>
          </cell>
        </row>
        <row r="40">
          <cell r="A40" t="str">
            <v>Drew White</v>
          </cell>
        </row>
        <row r="41">
          <cell r="A41" t="str">
            <v>Emerson Martinez</v>
          </cell>
        </row>
        <row r="42">
          <cell r="A42" t="str">
            <v>Emerson Smith</v>
          </cell>
        </row>
        <row r="43">
          <cell r="A43" t="str">
            <v>Finley Jackson</v>
          </cell>
        </row>
        <row r="44">
          <cell r="A44" t="str">
            <v>Finley Lewis</v>
          </cell>
        </row>
        <row r="45">
          <cell r="A45" t="str">
            <v>Finley Walker</v>
          </cell>
        </row>
        <row r="46">
          <cell r="A46" t="str">
            <v>Finley White</v>
          </cell>
        </row>
        <row r="47">
          <cell r="A47" t="str">
            <v>Hayden Brown</v>
          </cell>
        </row>
        <row r="48">
          <cell r="A48" t="str">
            <v>Hayden Lee</v>
          </cell>
        </row>
        <row r="49">
          <cell r="A49" t="str">
            <v>Hayden White</v>
          </cell>
        </row>
        <row r="50">
          <cell r="A50" t="str">
            <v>Jamie Anderson</v>
          </cell>
        </row>
        <row r="51">
          <cell r="A51" t="str">
            <v>Jamie Johnson</v>
          </cell>
        </row>
        <row r="52">
          <cell r="A52" t="str">
            <v>Jamie Thomas</v>
          </cell>
        </row>
        <row r="53">
          <cell r="A53" t="str">
            <v>Jamie Young</v>
          </cell>
        </row>
        <row r="54">
          <cell r="A54" t="str">
            <v>Jordan Lee</v>
          </cell>
        </row>
        <row r="55">
          <cell r="A55" t="str">
            <v>Jordan Patel</v>
          </cell>
        </row>
        <row r="56">
          <cell r="A56" t="str">
            <v>Jordan White</v>
          </cell>
        </row>
        <row r="57">
          <cell r="A57" t="str">
            <v>Jordan Young</v>
          </cell>
        </row>
        <row r="58">
          <cell r="A58" t="str">
            <v>Morgan Brown</v>
          </cell>
        </row>
        <row r="59">
          <cell r="A59" t="str">
            <v>Morgan Johnson</v>
          </cell>
        </row>
        <row r="60">
          <cell r="A60" t="str">
            <v>Peyton Garcia</v>
          </cell>
        </row>
        <row r="61">
          <cell r="A61" t="str">
            <v>Peyton Lee</v>
          </cell>
        </row>
        <row r="62">
          <cell r="A62" t="str">
            <v>Quinn Anderson</v>
          </cell>
        </row>
        <row r="63">
          <cell r="A63" t="str">
            <v>Quinn Robinson</v>
          </cell>
        </row>
        <row r="64">
          <cell r="A64" t="str">
            <v>Reese Harris</v>
          </cell>
        </row>
        <row r="65">
          <cell r="A65" t="str">
            <v>Reese Johnson</v>
          </cell>
        </row>
        <row r="66">
          <cell r="A66" t="str">
            <v>Reese Lee</v>
          </cell>
        </row>
        <row r="67">
          <cell r="A67" t="str">
            <v>Reese Thomas</v>
          </cell>
        </row>
        <row r="68">
          <cell r="A68" t="str">
            <v>Reese Young</v>
          </cell>
        </row>
        <row r="69">
          <cell r="A69" t="str">
            <v>Riley Clark</v>
          </cell>
        </row>
        <row r="70">
          <cell r="A70" t="str">
            <v>Riley Walker</v>
          </cell>
        </row>
        <row r="71">
          <cell r="A71" t="str">
            <v>Rowan Allen</v>
          </cell>
        </row>
        <row r="72">
          <cell r="A72" t="str">
            <v>Rowan Lewis</v>
          </cell>
        </row>
        <row r="73">
          <cell r="A73" t="str">
            <v>Rowan Martinez</v>
          </cell>
        </row>
        <row r="74">
          <cell r="A74" t="str">
            <v>Rowan Wilson</v>
          </cell>
        </row>
        <row r="75">
          <cell r="A75" t="str">
            <v>Rowan Young</v>
          </cell>
        </row>
        <row r="76">
          <cell r="A76" t="str">
            <v>Sawyer Allen</v>
          </cell>
        </row>
        <row r="77">
          <cell r="A77" t="str">
            <v>Sawyer Garcia</v>
          </cell>
        </row>
        <row r="78">
          <cell r="A78" t="str">
            <v>Sawyer Harris</v>
          </cell>
        </row>
        <row r="79">
          <cell r="A79" t="str">
            <v>Sawyer Lee</v>
          </cell>
        </row>
        <row r="80">
          <cell r="A80" t="str">
            <v>Sawyer Patel</v>
          </cell>
        </row>
        <row r="81">
          <cell r="A81" t="str">
            <v>Skyler Clark</v>
          </cell>
        </row>
        <row r="82">
          <cell r="A82" t="str">
            <v>Skyler Jackson</v>
          </cell>
        </row>
        <row r="83">
          <cell r="A83" t="str">
            <v>Skyler Lewis</v>
          </cell>
        </row>
        <row r="84">
          <cell r="A84" t="str">
            <v>Skyler Walker</v>
          </cell>
        </row>
        <row r="85">
          <cell r="A85" t="str">
            <v>Taylor Brown</v>
          </cell>
        </row>
        <row r="86">
          <cell r="A86" t="str">
            <v>Taylor Clark</v>
          </cell>
        </row>
        <row r="87">
          <cell r="A87" t="str">
            <v>Taylor Johnson</v>
          </cell>
        </row>
        <row r="88">
          <cell r="A88" t="str">
            <v>Taylor Nguyen</v>
          </cell>
        </row>
        <row r="89">
          <cell r="A89" t="str">
            <v>Taylor Smith</v>
          </cell>
        </row>
        <row r="90">
          <cell r="A90" t="str">
            <v>Taylor Young</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A67520-CA12-4C83-B3A3-F509CD7B4650}" sourceName="Category">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7BF604E-A343-4D60-A640-39DB9A973DBB}" sourceName="Status">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CF2491-8E98-488E-AB12-4C7A28C3D826}" cache="Slicer_Category" caption="Category" rowHeight="216000"/>
  <slicer name="Status" xr10:uid="{B259FF5C-0924-4C60-A3D7-3396CEAFDC3B}"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C90EA2-75B1-4D14-AB71-10CE0CD696D5}" name="ProductList" displayName="ProductList" ref="A1:G123" totalsRowCount="1" headerRowBorderDxfId="11">
  <autoFilter ref="A1:G122" xr:uid="{EBC90EA2-75B1-4D14-AB71-10CE0CD696D5}">
    <filterColumn colId="0" hiddenButton="1"/>
    <filterColumn colId="1" hiddenButton="1"/>
    <filterColumn colId="2" hiddenButton="1">
      <filters>
        <filter val="Tech Accessories"/>
      </filters>
    </filterColumn>
    <filterColumn colId="3" hiddenButton="1"/>
    <filterColumn colId="4" hiddenButton="1"/>
    <filterColumn colId="5" hiddenButton="1">
      <filters>
        <filter val="Discontinued"/>
      </filters>
    </filterColumn>
    <filterColumn colId="6" hiddenButton="1"/>
  </autoFilter>
  <tableColumns count="7">
    <tableColumn id="1" xr3:uid="{E0C173D8-4101-4C89-A5C3-23E93D020ABA}" name="SKU" totalsRowLabel="Total"/>
    <tableColumn id="2" xr3:uid="{68BA4E1F-6F96-4DE9-B77C-B2AAE2D18DAD}" name="ProductName"/>
    <tableColumn id="3" xr3:uid="{40A61AE9-C087-4A05-A8BC-634E922E7197}" name="Category"/>
    <tableColumn id="4" xr3:uid="{7293ED84-07F8-4D3F-9240-A7ABAEA83997}" name="UnitCost" totalsRowFunction="count" dataDxfId="10" totalsRowDxfId="8" dataCellStyle="Currency"/>
    <tableColumn id="5" xr3:uid="{85B2056C-FF3A-45C8-9D3D-9F4FA73B21A9}" name="UnitPrice" totalsRowFunction="average" dataDxfId="9" totalsRowDxfId="7" dataCellStyle="Currency"/>
    <tableColumn id="6" xr3:uid="{87CF5935-704D-4BB3-AB2E-D4C6D599D925}" name="Status" totalsRowFunction="count"/>
    <tableColumn id="7" xr3:uid="{E30F7B7C-2EE7-4E75-813F-15AF05308617}" name="Product Revenue" dataDxfId="6">
      <calculatedColumnFormula>ProductList[[#This Row],[UnitPrice]]-ProductList[[#This Row],[UnitCost]]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PivotSource" displayName="tblPivotSource" ref="A1:V1048576">
  <autoFilter ref="A1:V1048576" xr:uid="{00000000-0009-0000-0100-000008000000}"/>
  <tableColumns count="22">
    <tableColumn id="1" xr3:uid="{00000000-0010-0000-0700-000001000000}" name="OrderID"/>
    <tableColumn id="2" xr3:uid="{00000000-0010-0000-0700-000002000000}" name="OrderDate"/>
    <tableColumn id="3" xr3:uid="{00000000-0010-0000-0700-000003000000}" name="CustomerID"/>
    <tableColumn id="4" xr3:uid="{00000000-0010-0000-0700-000004000000}" name="CustomerName"/>
    <tableColumn id="5" xr3:uid="{00000000-0010-0000-0700-000005000000}" name="Department"/>
    <tableColumn id="6" xr3:uid="{00000000-0010-0000-0700-000006000000}" name="Region"/>
    <tableColumn id="7" xr3:uid="{00000000-0010-0000-0700-000007000000}" name="OrderType"/>
    <tableColumn id="8" xr3:uid="{00000000-0010-0000-0700-000008000000}" name="ProductCategory"/>
    <tableColumn id="9" xr3:uid="{00000000-0010-0000-0700-000009000000}" name="SKU"/>
    <tableColumn id="10" xr3:uid="{00000000-0010-0000-0700-00000A000000}" name="Priority"/>
    <tableColumn id="11" xr3:uid="{00000000-0010-0000-0700-00000B000000}" name="Status"/>
    <tableColumn id="12" xr3:uid="{00000000-0010-0000-0700-00000C000000}" name="ShipMethod"/>
    <tableColumn id="13" xr3:uid="{00000000-0010-0000-0700-00000D000000}" name="SLADueDate" dataDxfId="12"/>
    <tableColumn id="14" xr3:uid="{00000000-0010-0000-0700-00000E000000}" name="ShippedDate"/>
    <tableColumn id="15" xr3:uid="{00000000-0010-0000-0700-00000F000000}" name="Units"/>
    <tableColumn id="16" xr3:uid="{00000000-0010-0000-0700-000010000000}" name="UnitCost"/>
    <tableColumn id="17" xr3:uid="{00000000-0010-0000-0700-000011000000}" name="UnitPrice"/>
    <tableColumn id="18" xr3:uid="{00000000-0010-0000-0700-000012000000}" name="DiscountRate"/>
    <tableColumn id="19" xr3:uid="{00000000-0010-0000-0700-000013000000}" name="OrderTotal"/>
    <tableColumn id="20" xr3:uid="{00000000-0010-0000-0700-000014000000}" name="AssignedRep"/>
    <tableColumn id="21" xr3:uid="{00000000-0010-0000-0700-000015000000}" name="ExtendedCost"/>
    <tableColumn id="22" xr3:uid="{00000000-0010-0000-0700-000016000000}"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1"/>
  <sheetViews>
    <sheetView zoomScaleNormal="100" workbookViewId="0">
      <selection activeCell="E9" sqref="E9"/>
    </sheetView>
  </sheetViews>
  <sheetFormatPr defaultRowHeight="14.5" x14ac:dyDescent="0.35"/>
  <cols>
    <col min="1" max="1" width="13.81640625" bestFit="1" customWidth="1"/>
    <col min="2" max="2" width="11.90625" bestFit="1" customWidth="1"/>
    <col min="3" max="3" width="11.54296875" bestFit="1" customWidth="1"/>
    <col min="4" max="4" width="14.08984375" bestFit="1" customWidth="1"/>
    <col min="5" max="5" width="20.81640625" bestFit="1" customWidth="1"/>
    <col min="6" max="6" width="18.1796875" bestFit="1" customWidth="1"/>
    <col min="7" max="7" width="34.81640625" bestFit="1" customWidth="1"/>
    <col min="8" max="8" width="10.54296875" bestFit="1" customWidth="1"/>
    <col min="9" max="9" width="10.453125" bestFit="1" customWidth="1"/>
    <col min="10" max="10" width="12.6328125" bestFit="1" customWidth="1"/>
  </cols>
  <sheetData>
    <row r="1" spans="1:10" ht="19" thickBot="1" x14ac:dyDescent="0.5">
      <c r="A1" s="4" t="s">
        <v>617</v>
      </c>
      <c r="B1" s="4" t="s">
        <v>618</v>
      </c>
      <c r="C1" s="4" t="s">
        <v>619</v>
      </c>
      <c r="D1" s="4" t="s">
        <v>620</v>
      </c>
      <c r="E1" s="4" t="s">
        <v>621</v>
      </c>
      <c r="F1" s="4" t="s">
        <v>622</v>
      </c>
      <c r="G1" s="4" t="s">
        <v>623</v>
      </c>
      <c r="H1" s="4" t="s">
        <v>624</v>
      </c>
      <c r="I1" s="4" t="s">
        <v>5</v>
      </c>
      <c r="J1" s="25" t="s">
        <v>3580</v>
      </c>
    </row>
    <row r="2" spans="1:10" x14ac:dyDescent="0.35">
      <c r="A2">
        <v>2047</v>
      </c>
      <c r="B2" t="s">
        <v>740</v>
      </c>
      <c r="C2" t="s">
        <v>690</v>
      </c>
      <c r="D2" t="s">
        <v>650</v>
      </c>
      <c r="E2" t="s">
        <v>651</v>
      </c>
      <c r="F2" t="s">
        <v>656</v>
      </c>
      <c r="G2" t="s">
        <v>741</v>
      </c>
      <c r="H2" s="5">
        <v>44576</v>
      </c>
      <c r="I2" t="s">
        <v>9</v>
      </c>
      <c r="J2" t="str">
        <f>TEXT(H2,"MMM")</f>
        <v>Jan</v>
      </c>
    </row>
    <row r="3" spans="1:10" x14ac:dyDescent="0.35">
      <c r="A3">
        <v>2008</v>
      </c>
      <c r="B3" t="s">
        <v>658</v>
      </c>
      <c r="C3" t="s">
        <v>659</v>
      </c>
      <c r="D3" t="s">
        <v>254</v>
      </c>
      <c r="E3" t="s">
        <v>646</v>
      </c>
      <c r="F3" t="s">
        <v>629</v>
      </c>
      <c r="G3" t="s">
        <v>660</v>
      </c>
      <c r="H3" s="5">
        <v>45303</v>
      </c>
      <c r="I3" t="s">
        <v>9</v>
      </c>
      <c r="J3" t="str">
        <f>TEXT(H3,"MMM")</f>
        <v>Jan</v>
      </c>
    </row>
    <row r="4" spans="1:10" x14ac:dyDescent="0.35">
      <c r="A4">
        <v>2019</v>
      </c>
      <c r="B4" t="s">
        <v>692</v>
      </c>
      <c r="C4" t="s">
        <v>661</v>
      </c>
      <c r="D4" t="s">
        <v>254</v>
      </c>
      <c r="E4" t="s">
        <v>693</v>
      </c>
      <c r="F4" t="s">
        <v>652</v>
      </c>
      <c r="G4" t="s">
        <v>694</v>
      </c>
      <c r="H4" s="5">
        <v>44568</v>
      </c>
      <c r="I4" t="s">
        <v>9</v>
      </c>
      <c r="J4" t="str">
        <f>TEXT(H4,"MMM")</f>
        <v>Jan</v>
      </c>
    </row>
    <row r="5" spans="1:10" x14ac:dyDescent="0.35">
      <c r="A5">
        <v>2024</v>
      </c>
      <c r="B5" t="s">
        <v>705</v>
      </c>
      <c r="C5" t="s">
        <v>659</v>
      </c>
      <c r="D5" t="s">
        <v>633</v>
      </c>
      <c r="E5" t="s">
        <v>634</v>
      </c>
      <c r="F5" t="s">
        <v>647</v>
      </c>
      <c r="G5" t="s">
        <v>706</v>
      </c>
      <c r="H5" s="5">
        <v>44577</v>
      </c>
      <c r="I5" t="s">
        <v>9</v>
      </c>
      <c r="J5" t="str">
        <f>TEXT(H5,"MMM")</f>
        <v>Jan</v>
      </c>
    </row>
    <row r="6" spans="1:10" x14ac:dyDescent="0.35">
      <c r="A6">
        <v>2014</v>
      </c>
      <c r="B6" t="s">
        <v>680</v>
      </c>
      <c r="C6" t="s">
        <v>661</v>
      </c>
      <c r="D6" t="s">
        <v>681</v>
      </c>
      <c r="E6" t="s">
        <v>682</v>
      </c>
      <c r="F6" t="s">
        <v>656</v>
      </c>
      <c r="G6" t="s">
        <v>683</v>
      </c>
      <c r="H6" s="5">
        <v>45307</v>
      </c>
      <c r="I6" t="s">
        <v>9</v>
      </c>
      <c r="J6" t="str">
        <f>TEXT(H6,"MMM")</f>
        <v>Jan</v>
      </c>
    </row>
    <row r="7" spans="1:10" x14ac:dyDescent="0.35">
      <c r="A7">
        <v>2067</v>
      </c>
      <c r="B7" t="s">
        <v>625</v>
      </c>
      <c r="C7" t="s">
        <v>701</v>
      </c>
      <c r="D7" t="s">
        <v>696</v>
      </c>
      <c r="E7" t="s">
        <v>697</v>
      </c>
      <c r="F7" t="s">
        <v>629</v>
      </c>
      <c r="G7" t="s">
        <v>762</v>
      </c>
      <c r="H7" s="5">
        <v>43474</v>
      </c>
      <c r="I7" t="s">
        <v>9</v>
      </c>
      <c r="J7" t="str">
        <f>TEXT(H7,"MMM")</f>
        <v>Jan</v>
      </c>
    </row>
    <row r="8" spans="1:10" x14ac:dyDescent="0.35">
      <c r="A8">
        <v>2036</v>
      </c>
      <c r="B8" t="s">
        <v>669</v>
      </c>
      <c r="C8" t="s">
        <v>670</v>
      </c>
      <c r="D8" t="s">
        <v>650</v>
      </c>
      <c r="E8" t="s">
        <v>662</v>
      </c>
      <c r="F8" t="s">
        <v>656</v>
      </c>
      <c r="G8" t="s">
        <v>671</v>
      </c>
      <c r="H8" s="5">
        <v>43150</v>
      </c>
      <c r="I8" t="s">
        <v>668</v>
      </c>
      <c r="J8" t="str">
        <f>TEXT(H8,"MMM")</f>
        <v>Feb</v>
      </c>
    </row>
    <row r="9" spans="1:10" x14ac:dyDescent="0.35">
      <c r="A9">
        <v>2030</v>
      </c>
      <c r="B9" t="s">
        <v>705</v>
      </c>
      <c r="C9" t="s">
        <v>636</v>
      </c>
      <c r="D9" t="s">
        <v>674</v>
      </c>
      <c r="E9" t="s">
        <v>702</v>
      </c>
      <c r="F9" t="s">
        <v>656</v>
      </c>
      <c r="G9" t="s">
        <v>716</v>
      </c>
      <c r="H9" s="5">
        <v>43135</v>
      </c>
      <c r="I9" t="s">
        <v>9</v>
      </c>
      <c r="J9" t="str">
        <f>TEXT(H9,"MMM")</f>
        <v>Feb</v>
      </c>
    </row>
    <row r="10" spans="1:10" x14ac:dyDescent="0.35">
      <c r="A10">
        <v>2054</v>
      </c>
      <c r="B10" t="s">
        <v>631</v>
      </c>
      <c r="C10" t="s">
        <v>699</v>
      </c>
      <c r="D10" t="s">
        <v>674</v>
      </c>
      <c r="E10" t="s">
        <v>702</v>
      </c>
      <c r="F10" t="s">
        <v>652</v>
      </c>
      <c r="G10" t="s">
        <v>700</v>
      </c>
      <c r="H10" s="5">
        <v>43133</v>
      </c>
      <c r="I10" t="s">
        <v>9</v>
      </c>
      <c r="J10" t="str">
        <f>TEXT(H10,"MMM")</f>
        <v>Feb</v>
      </c>
    </row>
    <row r="11" spans="1:10" x14ac:dyDescent="0.35">
      <c r="A11">
        <v>2048</v>
      </c>
      <c r="B11" t="s">
        <v>740</v>
      </c>
      <c r="C11" t="s">
        <v>626</v>
      </c>
      <c r="D11" t="s">
        <v>681</v>
      </c>
      <c r="E11" t="s">
        <v>717</v>
      </c>
      <c r="F11" t="s">
        <v>642</v>
      </c>
      <c r="G11" t="s">
        <v>742</v>
      </c>
      <c r="H11" s="5">
        <v>43522</v>
      </c>
      <c r="I11" t="s">
        <v>686</v>
      </c>
      <c r="J11" t="str">
        <f>TEXT(H11,"MMM")</f>
        <v>Feb</v>
      </c>
    </row>
    <row r="12" spans="1:10" x14ac:dyDescent="0.35">
      <c r="A12">
        <v>2069</v>
      </c>
      <c r="B12" t="s">
        <v>649</v>
      </c>
      <c r="C12" t="s">
        <v>673</v>
      </c>
      <c r="D12" t="s">
        <v>696</v>
      </c>
      <c r="E12" t="s">
        <v>749</v>
      </c>
      <c r="F12" t="s">
        <v>652</v>
      </c>
      <c r="G12" t="s">
        <v>763</v>
      </c>
      <c r="H12" s="5">
        <v>43518</v>
      </c>
      <c r="I12" t="s">
        <v>9</v>
      </c>
      <c r="J12" t="str">
        <f>TEXT(H12,"MMM")</f>
        <v>Feb</v>
      </c>
    </row>
    <row r="13" spans="1:10" x14ac:dyDescent="0.35">
      <c r="A13">
        <v>2037</v>
      </c>
      <c r="B13" t="s">
        <v>692</v>
      </c>
      <c r="C13" t="s">
        <v>636</v>
      </c>
      <c r="D13" t="s">
        <v>637</v>
      </c>
      <c r="E13" t="s">
        <v>638</v>
      </c>
      <c r="F13" t="s">
        <v>642</v>
      </c>
      <c r="G13" t="s">
        <v>724</v>
      </c>
      <c r="H13" s="5">
        <v>45338</v>
      </c>
      <c r="I13" t="s">
        <v>9</v>
      </c>
      <c r="J13" t="str">
        <f>TEXT(H13,"MMM")</f>
        <v>Feb</v>
      </c>
    </row>
    <row r="14" spans="1:10" x14ac:dyDescent="0.35">
      <c r="A14">
        <v>2018</v>
      </c>
      <c r="B14" t="s">
        <v>672</v>
      </c>
      <c r="C14" t="s">
        <v>690</v>
      </c>
      <c r="D14" t="s">
        <v>637</v>
      </c>
      <c r="E14" t="s">
        <v>638</v>
      </c>
      <c r="F14" t="s">
        <v>642</v>
      </c>
      <c r="G14" t="s">
        <v>691</v>
      </c>
      <c r="H14" s="5">
        <v>44963</v>
      </c>
      <c r="I14" t="s">
        <v>668</v>
      </c>
      <c r="J14" t="str">
        <f>TEXT(H14,"MMM")</f>
        <v>Feb</v>
      </c>
    </row>
    <row r="15" spans="1:10" x14ac:dyDescent="0.35">
      <c r="A15">
        <v>2055</v>
      </c>
      <c r="B15" t="s">
        <v>631</v>
      </c>
      <c r="C15" t="s">
        <v>661</v>
      </c>
      <c r="D15" t="s">
        <v>627</v>
      </c>
      <c r="E15" t="s">
        <v>628</v>
      </c>
      <c r="F15" t="s">
        <v>652</v>
      </c>
      <c r="G15" t="s">
        <v>748</v>
      </c>
      <c r="H15" s="5">
        <v>44609</v>
      </c>
      <c r="I15" t="s">
        <v>9</v>
      </c>
      <c r="J15" t="str">
        <f>TEXT(H15,"MMM")</f>
        <v>Feb</v>
      </c>
    </row>
    <row r="16" spans="1:10" x14ac:dyDescent="0.35">
      <c r="A16">
        <v>2057</v>
      </c>
      <c r="B16" t="s">
        <v>664</v>
      </c>
      <c r="C16" t="s">
        <v>665</v>
      </c>
      <c r="D16" t="s">
        <v>254</v>
      </c>
      <c r="E16" t="s">
        <v>646</v>
      </c>
      <c r="F16" t="s">
        <v>647</v>
      </c>
      <c r="G16" t="s">
        <v>667</v>
      </c>
      <c r="H16" s="5">
        <v>44642</v>
      </c>
      <c r="I16" t="s">
        <v>9</v>
      </c>
      <c r="J16" t="str">
        <f>TEXT(H16,"MMM")</f>
        <v>Mar</v>
      </c>
    </row>
    <row r="17" spans="1:10" x14ac:dyDescent="0.35">
      <c r="A17">
        <v>2022</v>
      </c>
      <c r="B17" t="s">
        <v>680</v>
      </c>
      <c r="C17" t="s">
        <v>701</v>
      </c>
      <c r="D17" t="s">
        <v>674</v>
      </c>
      <c r="E17" t="s">
        <v>702</v>
      </c>
      <c r="F17" t="s">
        <v>652</v>
      </c>
      <c r="G17" t="s">
        <v>703</v>
      </c>
      <c r="H17" s="5">
        <v>43167</v>
      </c>
      <c r="I17" t="s">
        <v>9</v>
      </c>
      <c r="J17" t="str">
        <f>TEXT(H17,"MMM")</f>
        <v>Mar</v>
      </c>
    </row>
    <row r="18" spans="1:10" x14ac:dyDescent="0.35">
      <c r="A18">
        <v>2050</v>
      </c>
      <c r="B18" t="s">
        <v>707</v>
      </c>
      <c r="C18" t="s">
        <v>695</v>
      </c>
      <c r="D18" t="s">
        <v>633</v>
      </c>
      <c r="E18" t="s">
        <v>655</v>
      </c>
      <c r="F18" t="s">
        <v>647</v>
      </c>
      <c r="G18" t="s">
        <v>743</v>
      </c>
      <c r="H18" s="5">
        <v>45365</v>
      </c>
      <c r="I18" t="s">
        <v>9</v>
      </c>
      <c r="J18" t="str">
        <f>TEXT(H18,"MMM")</f>
        <v>Mar</v>
      </c>
    </row>
    <row r="19" spans="1:10" x14ac:dyDescent="0.35">
      <c r="A19">
        <v>2078</v>
      </c>
      <c r="B19" t="s">
        <v>731</v>
      </c>
      <c r="C19" t="s">
        <v>711</v>
      </c>
      <c r="D19" t="s">
        <v>696</v>
      </c>
      <c r="E19" t="s">
        <v>751</v>
      </c>
      <c r="F19" t="s">
        <v>656</v>
      </c>
      <c r="G19" t="s">
        <v>770</v>
      </c>
      <c r="H19" s="5">
        <v>43180</v>
      </c>
      <c r="I19" t="s">
        <v>668</v>
      </c>
      <c r="J19" t="str">
        <f>TEXT(H19,"MMM")</f>
        <v>Mar</v>
      </c>
    </row>
    <row r="20" spans="1:10" x14ac:dyDescent="0.35">
      <c r="A20">
        <v>2053</v>
      </c>
      <c r="B20" t="s">
        <v>722</v>
      </c>
      <c r="C20" t="s">
        <v>701</v>
      </c>
      <c r="D20" t="s">
        <v>637</v>
      </c>
      <c r="E20" t="s">
        <v>746</v>
      </c>
      <c r="F20" t="s">
        <v>652</v>
      </c>
      <c r="G20" t="s">
        <v>747</v>
      </c>
      <c r="H20" s="5">
        <v>44257</v>
      </c>
      <c r="I20" t="s">
        <v>9</v>
      </c>
      <c r="J20" t="str">
        <f>TEXT(H20,"MMM")</f>
        <v>Mar</v>
      </c>
    </row>
    <row r="21" spans="1:10" x14ac:dyDescent="0.35">
      <c r="A21">
        <v>2023</v>
      </c>
      <c r="B21" t="s">
        <v>640</v>
      </c>
      <c r="C21" t="s">
        <v>673</v>
      </c>
      <c r="D21" t="s">
        <v>650</v>
      </c>
      <c r="E21" t="s">
        <v>662</v>
      </c>
      <c r="F21" t="s">
        <v>652</v>
      </c>
      <c r="G21" t="s">
        <v>704</v>
      </c>
      <c r="H21" s="5">
        <v>43929</v>
      </c>
      <c r="I21" t="s">
        <v>668</v>
      </c>
      <c r="J21" t="str">
        <f>TEXT(H21,"MMM")</f>
        <v>Apr</v>
      </c>
    </row>
    <row r="22" spans="1:10" x14ac:dyDescent="0.35">
      <c r="A22">
        <v>2028</v>
      </c>
      <c r="B22" t="s">
        <v>713</v>
      </c>
      <c r="C22" t="s">
        <v>636</v>
      </c>
      <c r="D22" t="s">
        <v>650</v>
      </c>
      <c r="E22" t="s">
        <v>662</v>
      </c>
      <c r="F22" t="s">
        <v>629</v>
      </c>
      <c r="G22" t="s">
        <v>714</v>
      </c>
      <c r="H22" s="5">
        <v>44670</v>
      </c>
      <c r="I22" t="s">
        <v>9</v>
      </c>
      <c r="J22" t="str">
        <f>TEXT(H22,"MMM")</f>
        <v>Apr</v>
      </c>
    </row>
    <row r="23" spans="1:10" x14ac:dyDescent="0.35">
      <c r="A23">
        <v>2009</v>
      </c>
      <c r="B23" t="s">
        <v>644</v>
      </c>
      <c r="C23" t="s">
        <v>661</v>
      </c>
      <c r="D23" t="s">
        <v>650</v>
      </c>
      <c r="E23" t="s">
        <v>662</v>
      </c>
      <c r="F23" t="s">
        <v>656</v>
      </c>
      <c r="G23" t="s">
        <v>663</v>
      </c>
      <c r="H23" s="5">
        <v>43568</v>
      </c>
      <c r="I23" t="s">
        <v>9</v>
      </c>
      <c r="J23" t="str">
        <f>TEXT(H23,"MMM")</f>
        <v>Apr</v>
      </c>
    </row>
    <row r="24" spans="1:10" x14ac:dyDescent="0.35">
      <c r="A24">
        <v>2077</v>
      </c>
      <c r="B24" t="s">
        <v>664</v>
      </c>
      <c r="C24" t="s">
        <v>654</v>
      </c>
      <c r="D24" t="s">
        <v>254</v>
      </c>
      <c r="E24" t="s">
        <v>693</v>
      </c>
      <c r="F24" t="s">
        <v>642</v>
      </c>
      <c r="G24" t="s">
        <v>769</v>
      </c>
      <c r="H24" s="5">
        <v>44669</v>
      </c>
      <c r="I24" t="s">
        <v>9</v>
      </c>
      <c r="J24" t="str">
        <f>TEXT(H24,"MMM")</f>
        <v>Apr</v>
      </c>
    </row>
    <row r="25" spans="1:10" x14ac:dyDescent="0.35">
      <c r="A25">
        <v>2065</v>
      </c>
      <c r="B25" t="s">
        <v>692</v>
      </c>
      <c r="C25" t="s">
        <v>677</v>
      </c>
      <c r="D25" t="s">
        <v>674</v>
      </c>
      <c r="E25" t="s">
        <v>702</v>
      </c>
      <c r="F25" t="s">
        <v>642</v>
      </c>
      <c r="G25" t="s">
        <v>759</v>
      </c>
      <c r="H25" s="5">
        <v>43951</v>
      </c>
      <c r="I25" t="s">
        <v>9</v>
      </c>
      <c r="J25" t="str">
        <f>TEXT(H25,"MMM")</f>
        <v>Apr</v>
      </c>
    </row>
    <row r="26" spans="1:10" x14ac:dyDescent="0.35">
      <c r="A26">
        <v>2013</v>
      </c>
      <c r="B26" t="s">
        <v>625</v>
      </c>
      <c r="C26" t="s">
        <v>677</v>
      </c>
      <c r="D26" t="s">
        <v>633</v>
      </c>
      <c r="E26" t="s">
        <v>678</v>
      </c>
      <c r="F26" t="s">
        <v>629</v>
      </c>
      <c r="G26" t="s">
        <v>679</v>
      </c>
      <c r="H26" s="5">
        <v>43947</v>
      </c>
      <c r="I26" t="s">
        <v>9</v>
      </c>
      <c r="J26" t="str">
        <f>TEXT(H26,"MMM")</f>
        <v>Apr</v>
      </c>
    </row>
    <row r="27" spans="1:10" x14ac:dyDescent="0.35">
      <c r="A27">
        <v>2045</v>
      </c>
      <c r="B27" t="s">
        <v>687</v>
      </c>
      <c r="C27" t="s">
        <v>626</v>
      </c>
      <c r="D27" t="s">
        <v>681</v>
      </c>
      <c r="E27" t="s">
        <v>717</v>
      </c>
      <c r="F27" t="s">
        <v>642</v>
      </c>
      <c r="G27" t="s">
        <v>737</v>
      </c>
      <c r="H27" s="5">
        <v>43584</v>
      </c>
      <c r="I27" t="s">
        <v>9</v>
      </c>
      <c r="J27" t="str">
        <f>TEXT(H27,"MMM")</f>
        <v>Apr</v>
      </c>
    </row>
    <row r="28" spans="1:10" x14ac:dyDescent="0.35">
      <c r="A28">
        <v>2034</v>
      </c>
      <c r="B28" t="s">
        <v>672</v>
      </c>
      <c r="C28" t="s">
        <v>670</v>
      </c>
      <c r="D28" t="s">
        <v>627</v>
      </c>
      <c r="E28" t="s">
        <v>628</v>
      </c>
      <c r="F28" t="s">
        <v>642</v>
      </c>
      <c r="G28" t="s">
        <v>721</v>
      </c>
      <c r="H28" s="5">
        <v>43942</v>
      </c>
      <c r="I28" t="s">
        <v>9</v>
      </c>
      <c r="J28" t="str">
        <f>TEXT(H28,"MMM")</f>
        <v>Apr</v>
      </c>
    </row>
    <row r="29" spans="1:10" x14ac:dyDescent="0.35">
      <c r="A29">
        <v>2043</v>
      </c>
      <c r="B29" t="s">
        <v>625</v>
      </c>
      <c r="C29" t="s">
        <v>645</v>
      </c>
      <c r="D29" t="s">
        <v>254</v>
      </c>
      <c r="E29" t="s">
        <v>646</v>
      </c>
      <c r="F29" t="s">
        <v>629</v>
      </c>
      <c r="G29" t="s">
        <v>734</v>
      </c>
      <c r="H29" s="5">
        <v>43590</v>
      </c>
      <c r="I29" t="s">
        <v>9</v>
      </c>
      <c r="J29" t="str">
        <f>TEXT(H29,"MMM")</f>
        <v>May</v>
      </c>
    </row>
    <row r="30" spans="1:10" x14ac:dyDescent="0.35">
      <c r="A30">
        <v>2032</v>
      </c>
      <c r="B30" t="s">
        <v>644</v>
      </c>
      <c r="C30" t="s">
        <v>718</v>
      </c>
      <c r="D30" t="s">
        <v>674</v>
      </c>
      <c r="E30" t="s">
        <v>675</v>
      </c>
      <c r="F30" t="s">
        <v>629</v>
      </c>
      <c r="G30" t="s">
        <v>719</v>
      </c>
      <c r="H30" s="5">
        <v>43605</v>
      </c>
      <c r="I30" t="s">
        <v>9</v>
      </c>
      <c r="J30" t="str">
        <f>TEXT(H30,"MMM")</f>
        <v>May</v>
      </c>
    </row>
    <row r="31" spans="1:10" x14ac:dyDescent="0.35">
      <c r="A31">
        <v>2066</v>
      </c>
      <c r="B31" t="s">
        <v>644</v>
      </c>
      <c r="C31" t="s">
        <v>760</v>
      </c>
      <c r="D31" t="s">
        <v>674</v>
      </c>
      <c r="E31" t="s">
        <v>675</v>
      </c>
      <c r="F31" t="s">
        <v>629</v>
      </c>
      <c r="G31" t="s">
        <v>761</v>
      </c>
      <c r="H31" s="5">
        <v>44347</v>
      </c>
      <c r="I31" t="s">
        <v>9</v>
      </c>
      <c r="J31" t="str">
        <f>TEXT(H31,"MMM")</f>
        <v>May</v>
      </c>
    </row>
    <row r="32" spans="1:10" x14ac:dyDescent="0.35">
      <c r="A32">
        <v>2007</v>
      </c>
      <c r="B32" t="s">
        <v>644</v>
      </c>
      <c r="C32" t="s">
        <v>654</v>
      </c>
      <c r="D32" t="s">
        <v>633</v>
      </c>
      <c r="E32" t="s">
        <v>655</v>
      </c>
      <c r="F32" t="s">
        <v>656</v>
      </c>
      <c r="G32" t="s">
        <v>657</v>
      </c>
      <c r="H32" s="5">
        <v>43227</v>
      </c>
      <c r="I32" t="s">
        <v>9</v>
      </c>
      <c r="J32" t="str">
        <f>TEXT(H32,"MMM")</f>
        <v>May</v>
      </c>
    </row>
    <row r="33" spans="1:10" x14ac:dyDescent="0.35">
      <c r="A33">
        <v>2062</v>
      </c>
      <c r="B33" t="s">
        <v>705</v>
      </c>
      <c r="C33" t="s">
        <v>670</v>
      </c>
      <c r="D33" t="s">
        <v>627</v>
      </c>
      <c r="E33" t="s">
        <v>728</v>
      </c>
      <c r="F33" t="s">
        <v>642</v>
      </c>
      <c r="G33" t="s">
        <v>756</v>
      </c>
      <c r="H33" s="5">
        <v>44710</v>
      </c>
      <c r="I33" t="s">
        <v>9</v>
      </c>
      <c r="J33" t="str">
        <f>TEXT(H33,"MMM")</f>
        <v>May</v>
      </c>
    </row>
    <row r="34" spans="1:10" x14ac:dyDescent="0.35">
      <c r="A34">
        <v>2005</v>
      </c>
      <c r="B34" t="s">
        <v>644</v>
      </c>
      <c r="C34" t="s">
        <v>645</v>
      </c>
      <c r="D34" t="s">
        <v>254</v>
      </c>
      <c r="E34" t="s">
        <v>646</v>
      </c>
      <c r="F34" t="s">
        <v>647</v>
      </c>
      <c r="G34" t="s">
        <v>648</v>
      </c>
      <c r="H34" s="5">
        <v>45085</v>
      </c>
      <c r="I34" t="s">
        <v>9</v>
      </c>
      <c r="J34" t="str">
        <f>TEXT(H34,"MMM")</f>
        <v>Jun</v>
      </c>
    </row>
    <row r="35" spans="1:10" x14ac:dyDescent="0.35">
      <c r="A35">
        <v>2080</v>
      </c>
      <c r="B35" t="s">
        <v>687</v>
      </c>
      <c r="C35" t="s">
        <v>626</v>
      </c>
      <c r="D35" t="s">
        <v>254</v>
      </c>
      <c r="E35" t="s">
        <v>646</v>
      </c>
      <c r="F35" t="s">
        <v>656</v>
      </c>
      <c r="G35" t="s">
        <v>737</v>
      </c>
      <c r="H35" s="5">
        <v>43998</v>
      </c>
      <c r="I35" t="s">
        <v>9</v>
      </c>
      <c r="J35" t="str">
        <f>TEXT(H35,"MMM")</f>
        <v>Jun</v>
      </c>
    </row>
    <row r="36" spans="1:10" x14ac:dyDescent="0.35">
      <c r="A36">
        <v>2010</v>
      </c>
      <c r="B36" t="s">
        <v>664</v>
      </c>
      <c r="C36" t="s">
        <v>665</v>
      </c>
      <c r="D36" t="s">
        <v>254</v>
      </c>
      <c r="E36" t="s">
        <v>666</v>
      </c>
      <c r="F36" t="s">
        <v>656</v>
      </c>
      <c r="G36" t="s">
        <v>667</v>
      </c>
      <c r="H36" s="5">
        <v>43996</v>
      </c>
      <c r="I36" t="s">
        <v>668</v>
      </c>
      <c r="J36" t="str">
        <f>TEXT(H36,"MMM")</f>
        <v>Jun</v>
      </c>
    </row>
    <row r="37" spans="1:10" x14ac:dyDescent="0.35">
      <c r="A37">
        <v>2070</v>
      </c>
      <c r="B37" t="s">
        <v>705</v>
      </c>
      <c r="C37" t="s">
        <v>632</v>
      </c>
      <c r="D37" t="s">
        <v>254</v>
      </c>
      <c r="E37" t="s">
        <v>693</v>
      </c>
      <c r="F37" t="s">
        <v>629</v>
      </c>
      <c r="G37" t="s">
        <v>764</v>
      </c>
      <c r="H37" s="5">
        <v>43636</v>
      </c>
      <c r="I37" t="s">
        <v>9</v>
      </c>
      <c r="J37" t="str">
        <f>TEXT(H37,"MMM")</f>
        <v>Jun</v>
      </c>
    </row>
    <row r="38" spans="1:10" x14ac:dyDescent="0.35">
      <c r="A38">
        <v>2072</v>
      </c>
      <c r="B38" t="s">
        <v>672</v>
      </c>
      <c r="C38" t="s">
        <v>735</v>
      </c>
      <c r="D38" t="s">
        <v>674</v>
      </c>
      <c r="E38" t="s">
        <v>675</v>
      </c>
      <c r="F38" t="s">
        <v>652</v>
      </c>
      <c r="G38" t="s">
        <v>765</v>
      </c>
      <c r="H38" s="5">
        <v>43628</v>
      </c>
      <c r="I38" t="s">
        <v>9</v>
      </c>
      <c r="J38" t="str">
        <f>TEXT(H38,"MMM")</f>
        <v>Jun</v>
      </c>
    </row>
    <row r="39" spans="1:10" x14ac:dyDescent="0.35">
      <c r="A39">
        <v>2040</v>
      </c>
      <c r="B39" t="s">
        <v>664</v>
      </c>
      <c r="C39" t="s">
        <v>641</v>
      </c>
      <c r="D39" t="s">
        <v>633</v>
      </c>
      <c r="E39" t="s">
        <v>634</v>
      </c>
      <c r="F39" t="s">
        <v>647</v>
      </c>
      <c r="G39" t="s">
        <v>730</v>
      </c>
      <c r="H39" s="5">
        <v>44370</v>
      </c>
      <c r="I39" t="s">
        <v>9</v>
      </c>
      <c r="J39" t="str">
        <f>TEXT(H39,"MMM")</f>
        <v>Jun</v>
      </c>
    </row>
    <row r="40" spans="1:10" x14ac:dyDescent="0.35">
      <c r="A40">
        <v>2003</v>
      </c>
      <c r="B40" t="s">
        <v>625</v>
      </c>
      <c r="C40" t="s">
        <v>636</v>
      </c>
      <c r="D40" t="s">
        <v>637</v>
      </c>
      <c r="E40" t="s">
        <v>638</v>
      </c>
      <c r="F40" t="s">
        <v>629</v>
      </c>
      <c r="G40" t="s">
        <v>639</v>
      </c>
      <c r="H40" s="5">
        <v>45094</v>
      </c>
      <c r="I40" t="s">
        <v>9</v>
      </c>
      <c r="J40" t="str">
        <f>TEXT(H40,"MMM")</f>
        <v>Jun</v>
      </c>
    </row>
    <row r="41" spans="1:10" x14ac:dyDescent="0.35">
      <c r="A41">
        <v>2004</v>
      </c>
      <c r="B41" t="s">
        <v>640</v>
      </c>
      <c r="C41" t="s">
        <v>641</v>
      </c>
      <c r="D41" t="s">
        <v>633</v>
      </c>
      <c r="E41" t="s">
        <v>634</v>
      </c>
      <c r="F41" t="s">
        <v>642</v>
      </c>
      <c r="G41" t="s">
        <v>643</v>
      </c>
      <c r="H41" s="5">
        <v>43675</v>
      </c>
      <c r="I41" t="s">
        <v>9</v>
      </c>
      <c r="J41" t="str">
        <f>TEXT(H41,"MMM")</f>
        <v>Jul</v>
      </c>
    </row>
    <row r="42" spans="1:10" x14ac:dyDescent="0.35">
      <c r="A42">
        <v>2060</v>
      </c>
      <c r="B42" t="s">
        <v>722</v>
      </c>
      <c r="C42" t="s">
        <v>677</v>
      </c>
      <c r="D42" t="s">
        <v>681</v>
      </c>
      <c r="E42" t="s">
        <v>682</v>
      </c>
      <c r="F42" t="s">
        <v>647</v>
      </c>
      <c r="G42" t="s">
        <v>753</v>
      </c>
      <c r="H42" s="5">
        <v>45479</v>
      </c>
      <c r="I42" t="s">
        <v>9</v>
      </c>
      <c r="J42" t="str">
        <f>TEXT(H42,"MMM")</f>
        <v>Jul</v>
      </c>
    </row>
    <row r="43" spans="1:10" x14ac:dyDescent="0.35">
      <c r="A43">
        <v>2029</v>
      </c>
      <c r="B43" t="s">
        <v>669</v>
      </c>
      <c r="C43" t="s">
        <v>632</v>
      </c>
      <c r="D43" t="s">
        <v>681</v>
      </c>
      <c r="E43" t="s">
        <v>682</v>
      </c>
      <c r="F43" t="s">
        <v>642</v>
      </c>
      <c r="G43" t="s">
        <v>715</v>
      </c>
      <c r="H43" s="5">
        <v>43662</v>
      </c>
      <c r="I43" t="s">
        <v>9</v>
      </c>
      <c r="J43" t="str">
        <f>TEXT(H43,"MMM")</f>
        <v>Jul</v>
      </c>
    </row>
    <row r="44" spans="1:10" x14ac:dyDescent="0.35">
      <c r="A44">
        <v>2020</v>
      </c>
      <c r="B44" t="s">
        <v>664</v>
      </c>
      <c r="C44" t="s">
        <v>695</v>
      </c>
      <c r="D44" t="s">
        <v>696</v>
      </c>
      <c r="E44" t="s">
        <v>697</v>
      </c>
      <c r="F44" t="s">
        <v>629</v>
      </c>
      <c r="G44" t="s">
        <v>698</v>
      </c>
      <c r="H44" s="5">
        <v>45127</v>
      </c>
      <c r="I44" t="s">
        <v>9</v>
      </c>
      <c r="J44" t="str">
        <f>TEXT(H44,"MMM")</f>
        <v>Jul</v>
      </c>
    </row>
    <row r="45" spans="1:10" x14ac:dyDescent="0.35">
      <c r="A45">
        <v>2001</v>
      </c>
      <c r="B45" t="s">
        <v>625</v>
      </c>
      <c r="C45" t="s">
        <v>626</v>
      </c>
      <c r="D45" t="s">
        <v>627</v>
      </c>
      <c r="E45" t="s">
        <v>628</v>
      </c>
      <c r="F45" t="s">
        <v>629</v>
      </c>
      <c r="G45" t="s">
        <v>630</v>
      </c>
      <c r="H45" s="5">
        <v>44383</v>
      </c>
      <c r="I45" t="s">
        <v>9</v>
      </c>
      <c r="J45" t="str">
        <f>TEXT(H45,"MMM")</f>
        <v>Jul</v>
      </c>
    </row>
    <row r="46" spans="1:10" x14ac:dyDescent="0.35">
      <c r="A46">
        <v>2039</v>
      </c>
      <c r="B46" t="s">
        <v>680</v>
      </c>
      <c r="C46" t="s">
        <v>695</v>
      </c>
      <c r="D46" t="s">
        <v>627</v>
      </c>
      <c r="E46" t="s">
        <v>728</v>
      </c>
      <c r="F46" t="s">
        <v>652</v>
      </c>
      <c r="G46" t="s">
        <v>729</v>
      </c>
      <c r="H46" s="5">
        <v>44748</v>
      </c>
      <c r="I46" t="s">
        <v>9</v>
      </c>
      <c r="J46" t="str">
        <f>TEXT(H46,"MMM")</f>
        <v>Jul</v>
      </c>
    </row>
    <row r="47" spans="1:10" x14ac:dyDescent="0.35">
      <c r="A47">
        <v>2079</v>
      </c>
      <c r="B47" t="s">
        <v>707</v>
      </c>
      <c r="C47" t="s">
        <v>654</v>
      </c>
      <c r="D47" t="s">
        <v>650</v>
      </c>
      <c r="E47" t="s">
        <v>651</v>
      </c>
      <c r="F47" t="s">
        <v>656</v>
      </c>
      <c r="G47" t="s">
        <v>771</v>
      </c>
      <c r="H47" s="5">
        <v>45158</v>
      </c>
      <c r="I47" t="s">
        <v>9</v>
      </c>
      <c r="J47" t="str">
        <f>TEXT(H47,"MMM")</f>
        <v>Aug</v>
      </c>
    </row>
    <row r="48" spans="1:10" x14ac:dyDescent="0.35">
      <c r="A48">
        <v>2006</v>
      </c>
      <c r="B48" t="s">
        <v>649</v>
      </c>
      <c r="C48" t="s">
        <v>641</v>
      </c>
      <c r="D48" t="s">
        <v>650</v>
      </c>
      <c r="E48" t="s">
        <v>651</v>
      </c>
      <c r="F48" t="s">
        <v>652</v>
      </c>
      <c r="G48" t="s">
        <v>653</v>
      </c>
      <c r="H48" s="5">
        <v>44803</v>
      </c>
      <c r="I48" t="s">
        <v>9</v>
      </c>
      <c r="J48" t="str">
        <f>TEXT(H48,"MMM")</f>
        <v>Aug</v>
      </c>
    </row>
    <row r="49" spans="1:10" x14ac:dyDescent="0.35">
      <c r="A49">
        <v>2025</v>
      </c>
      <c r="B49" t="s">
        <v>707</v>
      </c>
      <c r="C49" t="s">
        <v>626</v>
      </c>
      <c r="D49" t="s">
        <v>254</v>
      </c>
      <c r="E49" t="s">
        <v>666</v>
      </c>
      <c r="F49" t="s">
        <v>642</v>
      </c>
      <c r="G49" t="s">
        <v>708</v>
      </c>
      <c r="H49" s="5">
        <v>44060</v>
      </c>
      <c r="I49" t="s">
        <v>9</v>
      </c>
      <c r="J49" t="str">
        <f>TEXT(H49,"MMM")</f>
        <v>Aug</v>
      </c>
    </row>
    <row r="50" spans="1:10" x14ac:dyDescent="0.35">
      <c r="A50">
        <v>2012</v>
      </c>
      <c r="B50" t="s">
        <v>672</v>
      </c>
      <c r="C50" t="s">
        <v>673</v>
      </c>
      <c r="D50" t="s">
        <v>674</v>
      </c>
      <c r="E50" t="s">
        <v>675</v>
      </c>
      <c r="F50" t="s">
        <v>629</v>
      </c>
      <c r="G50" t="s">
        <v>676</v>
      </c>
      <c r="H50" s="5">
        <v>45509</v>
      </c>
      <c r="I50" t="s">
        <v>9</v>
      </c>
      <c r="J50" t="str">
        <f>TEXT(H50,"MMM")</f>
        <v>Aug</v>
      </c>
    </row>
    <row r="51" spans="1:10" x14ac:dyDescent="0.35">
      <c r="A51">
        <v>2016</v>
      </c>
      <c r="B51" t="s">
        <v>687</v>
      </c>
      <c r="C51" t="s">
        <v>636</v>
      </c>
      <c r="D51" t="s">
        <v>633</v>
      </c>
      <c r="E51" t="s">
        <v>655</v>
      </c>
      <c r="F51" t="s">
        <v>629</v>
      </c>
      <c r="G51" t="s">
        <v>688</v>
      </c>
      <c r="H51" s="5">
        <v>44420</v>
      </c>
      <c r="I51" t="s">
        <v>9</v>
      </c>
      <c r="J51" t="str">
        <f>TEXT(H51,"MMM")</f>
        <v>Aug</v>
      </c>
    </row>
    <row r="52" spans="1:10" x14ac:dyDescent="0.35">
      <c r="A52">
        <v>2017</v>
      </c>
      <c r="B52" t="s">
        <v>649</v>
      </c>
      <c r="C52" t="s">
        <v>654</v>
      </c>
      <c r="D52" t="s">
        <v>633</v>
      </c>
      <c r="E52" t="s">
        <v>678</v>
      </c>
      <c r="F52" t="s">
        <v>642</v>
      </c>
      <c r="G52" t="s">
        <v>689</v>
      </c>
      <c r="H52" s="5">
        <v>44797</v>
      </c>
      <c r="I52" t="s">
        <v>9</v>
      </c>
      <c r="J52" t="str">
        <f>TEXT(H52,"MMM")</f>
        <v>Aug</v>
      </c>
    </row>
    <row r="53" spans="1:10" x14ac:dyDescent="0.35">
      <c r="A53">
        <v>2051</v>
      </c>
      <c r="B53" t="s">
        <v>713</v>
      </c>
      <c r="C53" t="s">
        <v>670</v>
      </c>
      <c r="D53" t="s">
        <v>681</v>
      </c>
      <c r="E53" t="s">
        <v>717</v>
      </c>
      <c r="F53" t="s">
        <v>652</v>
      </c>
      <c r="G53" t="s">
        <v>733</v>
      </c>
      <c r="H53" s="5">
        <v>44411</v>
      </c>
      <c r="I53" t="s">
        <v>9</v>
      </c>
      <c r="J53" t="str">
        <f>TEXT(H53,"MMM")</f>
        <v>Aug</v>
      </c>
    </row>
    <row r="54" spans="1:10" x14ac:dyDescent="0.35">
      <c r="A54">
        <v>2031</v>
      </c>
      <c r="B54" t="s">
        <v>640</v>
      </c>
      <c r="C54" t="s">
        <v>673</v>
      </c>
      <c r="D54" t="s">
        <v>681</v>
      </c>
      <c r="E54" t="s">
        <v>717</v>
      </c>
      <c r="F54" t="s">
        <v>629</v>
      </c>
      <c r="G54" t="s">
        <v>704</v>
      </c>
      <c r="H54" s="5">
        <v>44787</v>
      </c>
      <c r="I54" t="s">
        <v>9</v>
      </c>
      <c r="J54" t="str">
        <f>TEXT(H54,"MMM")</f>
        <v>Aug</v>
      </c>
    </row>
    <row r="55" spans="1:10" x14ac:dyDescent="0.35">
      <c r="A55">
        <v>2052</v>
      </c>
      <c r="B55" t="s">
        <v>672</v>
      </c>
      <c r="C55" t="s">
        <v>661</v>
      </c>
      <c r="D55" t="s">
        <v>681</v>
      </c>
      <c r="E55" t="s">
        <v>717</v>
      </c>
      <c r="F55" t="s">
        <v>656</v>
      </c>
      <c r="G55" t="s">
        <v>745</v>
      </c>
      <c r="H55" s="5">
        <v>43316</v>
      </c>
      <c r="I55" t="s">
        <v>9</v>
      </c>
      <c r="J55" t="str">
        <f>TEXT(H55,"MMM")</f>
        <v>Aug</v>
      </c>
    </row>
    <row r="56" spans="1:10" x14ac:dyDescent="0.35">
      <c r="A56">
        <v>2076</v>
      </c>
      <c r="B56" t="s">
        <v>625</v>
      </c>
      <c r="C56" t="s">
        <v>645</v>
      </c>
      <c r="D56" t="s">
        <v>696</v>
      </c>
      <c r="E56" t="s">
        <v>751</v>
      </c>
      <c r="F56" t="s">
        <v>642</v>
      </c>
      <c r="G56" t="s">
        <v>734</v>
      </c>
      <c r="H56" s="5">
        <v>45144</v>
      </c>
      <c r="I56" t="s">
        <v>9</v>
      </c>
      <c r="J56" t="str">
        <f>TEXT(H56,"MMM")</f>
        <v>Aug</v>
      </c>
    </row>
    <row r="57" spans="1:10" x14ac:dyDescent="0.35">
      <c r="A57">
        <v>2056</v>
      </c>
      <c r="B57" t="s">
        <v>726</v>
      </c>
      <c r="C57" t="s">
        <v>718</v>
      </c>
      <c r="D57" t="s">
        <v>696</v>
      </c>
      <c r="E57" t="s">
        <v>749</v>
      </c>
      <c r="F57" t="s">
        <v>647</v>
      </c>
      <c r="G57" t="s">
        <v>750</v>
      </c>
      <c r="H57" s="5">
        <v>44780</v>
      </c>
      <c r="I57" t="s">
        <v>9</v>
      </c>
      <c r="J57" t="str">
        <f>TEXT(H57,"MMM")</f>
        <v>Aug</v>
      </c>
    </row>
    <row r="58" spans="1:10" x14ac:dyDescent="0.35">
      <c r="A58">
        <v>2015</v>
      </c>
      <c r="B58" t="s">
        <v>631</v>
      </c>
      <c r="C58" t="s">
        <v>659</v>
      </c>
      <c r="D58" t="s">
        <v>627</v>
      </c>
      <c r="E58" t="s">
        <v>628</v>
      </c>
      <c r="F58" t="s">
        <v>629</v>
      </c>
      <c r="G58" t="s">
        <v>685</v>
      </c>
      <c r="H58" s="5">
        <v>44786</v>
      </c>
      <c r="I58" t="s">
        <v>686</v>
      </c>
      <c r="J58" t="str">
        <f>TEXT(H58,"MMM")</f>
        <v>Aug</v>
      </c>
    </row>
    <row r="59" spans="1:10" x14ac:dyDescent="0.35">
      <c r="A59">
        <v>2059</v>
      </c>
      <c r="B59" t="s">
        <v>680</v>
      </c>
      <c r="C59" t="s">
        <v>636</v>
      </c>
      <c r="D59" t="s">
        <v>627</v>
      </c>
      <c r="E59" t="s">
        <v>628</v>
      </c>
      <c r="F59" t="s">
        <v>647</v>
      </c>
      <c r="G59" t="s">
        <v>752</v>
      </c>
      <c r="H59" s="5">
        <v>44049</v>
      </c>
      <c r="I59" t="s">
        <v>686</v>
      </c>
      <c r="J59" t="str">
        <f>TEXT(H59,"MMM")</f>
        <v>Aug</v>
      </c>
    </row>
    <row r="60" spans="1:10" x14ac:dyDescent="0.35">
      <c r="A60">
        <v>2049</v>
      </c>
      <c r="B60" t="s">
        <v>669</v>
      </c>
      <c r="C60" t="s">
        <v>670</v>
      </c>
      <c r="D60" t="s">
        <v>254</v>
      </c>
      <c r="E60" t="s">
        <v>693</v>
      </c>
      <c r="F60" t="s">
        <v>647</v>
      </c>
      <c r="G60" t="s">
        <v>671</v>
      </c>
      <c r="H60" s="5">
        <v>44102</v>
      </c>
      <c r="I60" t="s">
        <v>9</v>
      </c>
      <c r="J60" t="str">
        <f>TEXT(H60,"MMM")</f>
        <v>Sep</v>
      </c>
    </row>
    <row r="61" spans="1:10" x14ac:dyDescent="0.35">
      <c r="A61">
        <v>2061</v>
      </c>
      <c r="B61" t="s">
        <v>705</v>
      </c>
      <c r="C61" t="s">
        <v>695</v>
      </c>
      <c r="D61" t="s">
        <v>674</v>
      </c>
      <c r="E61" t="s">
        <v>702</v>
      </c>
      <c r="F61" t="s">
        <v>656</v>
      </c>
      <c r="G61" t="s">
        <v>755</v>
      </c>
      <c r="H61" s="5">
        <v>43356</v>
      </c>
      <c r="I61" t="s">
        <v>9</v>
      </c>
      <c r="J61" t="str">
        <f>TEXT(H61,"MMM")</f>
        <v>Sep</v>
      </c>
    </row>
    <row r="62" spans="1:10" x14ac:dyDescent="0.35">
      <c r="A62">
        <v>2002</v>
      </c>
      <c r="B62" t="s">
        <v>631</v>
      </c>
      <c r="C62" t="s">
        <v>632</v>
      </c>
      <c r="D62" t="s">
        <v>633</v>
      </c>
      <c r="E62" t="s">
        <v>634</v>
      </c>
      <c r="F62" t="s">
        <v>629</v>
      </c>
      <c r="G62" t="s">
        <v>635</v>
      </c>
      <c r="H62" s="5">
        <v>45193</v>
      </c>
      <c r="I62" t="s">
        <v>9</v>
      </c>
      <c r="J62" t="str">
        <f>TEXT(H62,"MMM")</f>
        <v>Sep</v>
      </c>
    </row>
    <row r="63" spans="1:10" x14ac:dyDescent="0.35">
      <c r="A63">
        <v>2041</v>
      </c>
      <c r="B63" t="s">
        <v>731</v>
      </c>
      <c r="C63" t="s">
        <v>636</v>
      </c>
      <c r="D63" t="s">
        <v>681</v>
      </c>
      <c r="E63" t="s">
        <v>682</v>
      </c>
      <c r="F63" t="s">
        <v>656</v>
      </c>
      <c r="G63" t="s">
        <v>732</v>
      </c>
      <c r="H63" s="5">
        <v>43371</v>
      </c>
      <c r="I63" t="s">
        <v>9</v>
      </c>
      <c r="J63" t="str">
        <f>TEXT(H63,"MMM")</f>
        <v>Sep</v>
      </c>
    </row>
    <row r="64" spans="1:10" x14ac:dyDescent="0.35">
      <c r="A64">
        <v>2058</v>
      </c>
      <c r="B64" t="s">
        <v>631</v>
      </c>
      <c r="C64" t="s">
        <v>632</v>
      </c>
      <c r="D64" t="s">
        <v>696</v>
      </c>
      <c r="E64" t="s">
        <v>751</v>
      </c>
      <c r="F64" t="s">
        <v>629</v>
      </c>
      <c r="G64" t="s">
        <v>635</v>
      </c>
      <c r="H64" s="5">
        <v>44820</v>
      </c>
      <c r="I64" t="s">
        <v>9</v>
      </c>
      <c r="J64" t="str">
        <f>TEXT(H64,"MMM")</f>
        <v>Sep</v>
      </c>
    </row>
    <row r="65" spans="1:10" x14ac:dyDescent="0.35">
      <c r="A65">
        <v>2035</v>
      </c>
      <c r="B65" t="s">
        <v>722</v>
      </c>
      <c r="C65" t="s">
        <v>718</v>
      </c>
      <c r="D65" t="s">
        <v>637</v>
      </c>
      <c r="E65" t="s">
        <v>638</v>
      </c>
      <c r="F65" t="s">
        <v>647</v>
      </c>
      <c r="G65" t="s">
        <v>723</v>
      </c>
      <c r="H65" s="5">
        <v>44081</v>
      </c>
      <c r="I65" t="s">
        <v>9</v>
      </c>
      <c r="J65" t="str">
        <f>TEXT(H65,"MMM")</f>
        <v>Sep</v>
      </c>
    </row>
    <row r="66" spans="1:10" x14ac:dyDescent="0.35">
      <c r="A66">
        <v>2046</v>
      </c>
      <c r="B66" t="s">
        <v>738</v>
      </c>
      <c r="C66" t="s">
        <v>699</v>
      </c>
      <c r="D66" t="s">
        <v>637</v>
      </c>
      <c r="E66" t="s">
        <v>638</v>
      </c>
      <c r="F66" t="s">
        <v>656</v>
      </c>
      <c r="G66" t="s">
        <v>739</v>
      </c>
      <c r="H66" s="5">
        <v>43362</v>
      </c>
      <c r="I66" t="s">
        <v>9</v>
      </c>
      <c r="J66" t="str">
        <f>TEXT(H66,"MMM")</f>
        <v>Sep</v>
      </c>
    </row>
    <row r="67" spans="1:10" x14ac:dyDescent="0.35">
      <c r="A67">
        <v>2075</v>
      </c>
      <c r="B67" t="s">
        <v>731</v>
      </c>
      <c r="C67" t="s">
        <v>626</v>
      </c>
      <c r="D67" t="s">
        <v>627</v>
      </c>
      <c r="E67" t="s">
        <v>728</v>
      </c>
      <c r="F67" t="s">
        <v>652</v>
      </c>
      <c r="G67" t="s">
        <v>768</v>
      </c>
      <c r="H67" s="5">
        <v>43709</v>
      </c>
      <c r="I67" t="s">
        <v>9</v>
      </c>
      <c r="J67" t="str">
        <f>TEXT(H67,"MMM")</f>
        <v>Sep</v>
      </c>
    </row>
    <row r="68" spans="1:10" x14ac:dyDescent="0.35">
      <c r="A68">
        <v>2074</v>
      </c>
      <c r="B68" t="s">
        <v>713</v>
      </c>
      <c r="C68" t="s">
        <v>695</v>
      </c>
      <c r="D68" t="s">
        <v>650</v>
      </c>
      <c r="E68" t="s">
        <v>662</v>
      </c>
      <c r="F68" t="s">
        <v>652</v>
      </c>
      <c r="G68" t="s">
        <v>767</v>
      </c>
      <c r="H68" s="5">
        <v>44848</v>
      </c>
      <c r="I68" t="s">
        <v>9</v>
      </c>
      <c r="J68" t="str">
        <f>TEXT(H68,"MMM")</f>
        <v>Oct</v>
      </c>
    </row>
    <row r="69" spans="1:10" x14ac:dyDescent="0.35">
      <c r="A69">
        <v>2033</v>
      </c>
      <c r="B69" t="s">
        <v>649</v>
      </c>
      <c r="C69" t="s">
        <v>665</v>
      </c>
      <c r="D69" t="s">
        <v>637</v>
      </c>
      <c r="E69" t="s">
        <v>638</v>
      </c>
      <c r="F69" t="s">
        <v>629</v>
      </c>
      <c r="G69" t="s">
        <v>720</v>
      </c>
      <c r="H69" s="5">
        <v>44115</v>
      </c>
      <c r="I69" t="s">
        <v>9</v>
      </c>
      <c r="J69" t="str">
        <f>TEXT(H69,"MMM")</f>
        <v>Oct</v>
      </c>
    </row>
    <row r="70" spans="1:10" x14ac:dyDescent="0.35">
      <c r="A70">
        <v>2027</v>
      </c>
      <c r="B70" t="s">
        <v>658</v>
      </c>
      <c r="C70" t="s">
        <v>711</v>
      </c>
      <c r="D70" t="s">
        <v>650</v>
      </c>
      <c r="E70" t="s">
        <v>662</v>
      </c>
      <c r="F70" t="s">
        <v>647</v>
      </c>
      <c r="G70" t="s">
        <v>712</v>
      </c>
      <c r="H70" s="5">
        <v>44508</v>
      </c>
      <c r="I70" t="s">
        <v>9</v>
      </c>
      <c r="J70" t="str">
        <f>TEXT(H70,"MMM")</f>
        <v>Nov</v>
      </c>
    </row>
    <row r="71" spans="1:10" x14ac:dyDescent="0.35">
      <c r="A71">
        <v>2063</v>
      </c>
      <c r="B71" t="s">
        <v>692</v>
      </c>
      <c r="C71" t="s">
        <v>699</v>
      </c>
      <c r="D71" t="s">
        <v>650</v>
      </c>
      <c r="E71" t="s">
        <v>651</v>
      </c>
      <c r="F71" t="s">
        <v>629</v>
      </c>
      <c r="G71" t="s">
        <v>757</v>
      </c>
      <c r="H71" s="5">
        <v>43406</v>
      </c>
      <c r="I71" t="s">
        <v>686</v>
      </c>
      <c r="J71" t="str">
        <f>TEXT(H71,"MMM")</f>
        <v>Nov</v>
      </c>
    </row>
    <row r="72" spans="1:10" x14ac:dyDescent="0.35">
      <c r="A72">
        <v>2042</v>
      </c>
      <c r="B72" t="s">
        <v>713</v>
      </c>
      <c r="C72" t="s">
        <v>670</v>
      </c>
      <c r="D72" t="s">
        <v>254</v>
      </c>
      <c r="E72" t="s">
        <v>709</v>
      </c>
      <c r="F72" t="s">
        <v>647</v>
      </c>
      <c r="G72" t="s">
        <v>733</v>
      </c>
      <c r="H72" s="5">
        <v>44880</v>
      </c>
      <c r="I72" t="s">
        <v>9</v>
      </c>
      <c r="J72" t="str">
        <f>TEXT(H72,"MMM")</f>
        <v>Nov</v>
      </c>
    </row>
    <row r="73" spans="1:10" x14ac:dyDescent="0.35">
      <c r="A73">
        <v>2026</v>
      </c>
      <c r="B73" t="s">
        <v>672</v>
      </c>
      <c r="C73" t="s">
        <v>632</v>
      </c>
      <c r="D73" t="s">
        <v>254</v>
      </c>
      <c r="E73" t="s">
        <v>709</v>
      </c>
      <c r="F73" t="s">
        <v>652</v>
      </c>
      <c r="G73" t="s">
        <v>710</v>
      </c>
      <c r="H73" s="5">
        <v>43420</v>
      </c>
      <c r="I73" t="s">
        <v>9</v>
      </c>
      <c r="J73" t="str">
        <f>TEXT(H73,"MMM")</f>
        <v>Nov</v>
      </c>
    </row>
    <row r="74" spans="1:10" x14ac:dyDescent="0.35">
      <c r="A74">
        <v>2073</v>
      </c>
      <c r="B74" t="s">
        <v>692</v>
      </c>
      <c r="C74" t="s">
        <v>632</v>
      </c>
      <c r="D74" t="s">
        <v>254</v>
      </c>
      <c r="E74" t="s">
        <v>666</v>
      </c>
      <c r="F74" t="s">
        <v>647</v>
      </c>
      <c r="G74" t="s">
        <v>766</v>
      </c>
      <c r="H74" s="5">
        <v>43789</v>
      </c>
      <c r="I74" t="s">
        <v>686</v>
      </c>
      <c r="J74" t="str">
        <f>TEXT(H74,"MMM")</f>
        <v>Nov</v>
      </c>
    </row>
    <row r="75" spans="1:10" x14ac:dyDescent="0.35">
      <c r="A75">
        <v>2071</v>
      </c>
      <c r="B75" t="s">
        <v>649</v>
      </c>
      <c r="C75" t="s">
        <v>665</v>
      </c>
      <c r="D75" t="s">
        <v>674</v>
      </c>
      <c r="E75" t="s">
        <v>702</v>
      </c>
      <c r="F75" t="s">
        <v>656</v>
      </c>
      <c r="G75" t="s">
        <v>720</v>
      </c>
      <c r="H75" s="5">
        <v>44161</v>
      </c>
      <c r="I75" t="s">
        <v>686</v>
      </c>
      <c r="J75" t="str">
        <f>TEXT(H75,"MMM")</f>
        <v>Nov</v>
      </c>
    </row>
    <row r="76" spans="1:10" x14ac:dyDescent="0.35">
      <c r="A76">
        <v>2064</v>
      </c>
      <c r="B76" t="s">
        <v>705</v>
      </c>
      <c r="C76" t="s">
        <v>661</v>
      </c>
      <c r="D76" t="s">
        <v>674</v>
      </c>
      <c r="E76" t="s">
        <v>675</v>
      </c>
      <c r="F76" t="s">
        <v>647</v>
      </c>
      <c r="G76" t="s">
        <v>758</v>
      </c>
      <c r="H76" s="5">
        <v>43774</v>
      </c>
      <c r="I76" t="s">
        <v>9</v>
      </c>
      <c r="J76" t="str">
        <f>TEXT(H76,"MMM")</f>
        <v>Nov</v>
      </c>
    </row>
    <row r="77" spans="1:10" x14ac:dyDescent="0.35">
      <c r="A77">
        <v>2044</v>
      </c>
      <c r="B77" t="s">
        <v>705</v>
      </c>
      <c r="C77" t="s">
        <v>735</v>
      </c>
      <c r="D77" t="s">
        <v>633</v>
      </c>
      <c r="E77" t="s">
        <v>634</v>
      </c>
      <c r="F77" t="s">
        <v>642</v>
      </c>
      <c r="G77" t="s">
        <v>736</v>
      </c>
      <c r="H77" s="5">
        <v>45243</v>
      </c>
      <c r="I77" t="s">
        <v>9</v>
      </c>
      <c r="J77" t="str">
        <f>TEXT(H77,"MMM")</f>
        <v>Nov</v>
      </c>
    </row>
    <row r="78" spans="1:10" x14ac:dyDescent="0.35">
      <c r="A78">
        <v>2021</v>
      </c>
      <c r="B78" t="s">
        <v>631</v>
      </c>
      <c r="C78" t="s">
        <v>699</v>
      </c>
      <c r="D78" t="s">
        <v>633</v>
      </c>
      <c r="E78" t="s">
        <v>678</v>
      </c>
      <c r="F78" t="s">
        <v>652</v>
      </c>
      <c r="G78" t="s">
        <v>700</v>
      </c>
      <c r="H78" s="5">
        <v>44508</v>
      </c>
      <c r="I78" t="s">
        <v>686</v>
      </c>
      <c r="J78" t="str">
        <f>TEXT(H78,"MMM")</f>
        <v>Nov</v>
      </c>
    </row>
    <row r="79" spans="1:10" x14ac:dyDescent="0.35">
      <c r="A79">
        <v>2038</v>
      </c>
      <c r="B79" t="s">
        <v>726</v>
      </c>
      <c r="C79" t="s">
        <v>690</v>
      </c>
      <c r="D79" t="s">
        <v>254</v>
      </c>
      <c r="E79" t="s">
        <v>693</v>
      </c>
      <c r="F79" t="s">
        <v>647</v>
      </c>
      <c r="G79" t="s">
        <v>727</v>
      </c>
      <c r="H79" s="5">
        <v>44174</v>
      </c>
      <c r="I79" t="s">
        <v>9</v>
      </c>
      <c r="J79" t="str">
        <f>TEXT(H79,"MMM")</f>
        <v>Dec</v>
      </c>
    </row>
    <row r="80" spans="1:10" x14ac:dyDescent="0.35">
      <c r="A80">
        <v>2068</v>
      </c>
      <c r="B80" t="s">
        <v>707</v>
      </c>
      <c r="C80" t="s">
        <v>695</v>
      </c>
      <c r="D80" t="s">
        <v>254</v>
      </c>
      <c r="E80" t="s">
        <v>646</v>
      </c>
      <c r="F80" t="s">
        <v>642</v>
      </c>
      <c r="G80" t="s">
        <v>743</v>
      </c>
      <c r="H80" s="5">
        <v>43813</v>
      </c>
      <c r="I80" t="s">
        <v>9</v>
      </c>
      <c r="J80" t="str">
        <f>TEXT(H80,"MMM")</f>
        <v>Dec</v>
      </c>
    </row>
    <row r="81" spans="1:10" x14ac:dyDescent="0.35">
      <c r="A81">
        <v>2011</v>
      </c>
      <c r="B81" t="s">
        <v>669</v>
      </c>
      <c r="C81" t="s">
        <v>670</v>
      </c>
      <c r="D81" t="s">
        <v>627</v>
      </c>
      <c r="E81" t="s">
        <v>628</v>
      </c>
      <c r="F81" t="s">
        <v>652</v>
      </c>
      <c r="G81" t="s">
        <v>671</v>
      </c>
      <c r="H81" s="5">
        <v>44177</v>
      </c>
      <c r="I81" t="s">
        <v>9</v>
      </c>
      <c r="J81" t="str">
        <f>TEXT(H81,"MMM")</f>
        <v>Dec</v>
      </c>
    </row>
  </sheetData>
  <autoFilter ref="A1:J81" xr:uid="{00000000-0001-0000-0300-000000000000}"/>
  <sortState xmlns:xlrd2="http://schemas.microsoft.com/office/spreadsheetml/2017/richdata2" ref="A2:J81">
    <sortCondition ref="J2:J81" customList="Jan,Feb,Mar,Apr,May,Jun,Jul,Aug,Sep,Oct,Nov,Dec"/>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3BE-14D1-47D6-82BE-B8A97F95B048}">
  <dimension ref="A1:K29"/>
  <sheetViews>
    <sheetView zoomScale="110" zoomScaleNormal="110" workbookViewId="0">
      <selection activeCell="E5" sqref="E5"/>
    </sheetView>
  </sheetViews>
  <sheetFormatPr defaultRowHeight="14.5" x14ac:dyDescent="0.35"/>
  <cols>
    <col min="1" max="1" width="9.26953125" bestFit="1" customWidth="1"/>
    <col min="2" max="2" width="15.54296875" bestFit="1" customWidth="1"/>
    <col min="3" max="3" width="11.1796875" bestFit="1" customWidth="1"/>
    <col min="4" max="4" width="8.54296875" bestFit="1" customWidth="1"/>
    <col min="5" max="5" width="5.81640625" bestFit="1" customWidth="1"/>
    <col min="6" max="6" width="9.7265625" bestFit="1" customWidth="1"/>
    <col min="7" max="7" width="11.1796875" bestFit="1" customWidth="1"/>
    <col min="8" max="8" width="14.453125" bestFit="1" customWidth="1"/>
    <col min="9" max="9" width="16.81640625" bestFit="1" customWidth="1"/>
    <col min="10" max="10" width="17.26953125" bestFit="1" customWidth="1"/>
    <col min="11" max="11" width="11.7265625" bestFit="1" customWidth="1"/>
  </cols>
  <sheetData>
    <row r="1" spans="1:11" ht="19" thickBot="1" x14ac:dyDescent="0.5">
      <c r="A1" s="4" t="s">
        <v>0</v>
      </c>
      <c r="B1" s="4" t="s">
        <v>3410</v>
      </c>
      <c r="C1" s="4" t="s">
        <v>3411</v>
      </c>
      <c r="D1" s="4" t="s">
        <v>3412</v>
      </c>
      <c r="E1" s="4" t="s">
        <v>3413</v>
      </c>
      <c r="F1" s="4" t="s">
        <v>3414</v>
      </c>
      <c r="G1" s="4" t="s">
        <v>3415</v>
      </c>
      <c r="H1" s="4" t="s">
        <v>3416</v>
      </c>
      <c r="I1" s="4" t="s">
        <v>3417</v>
      </c>
      <c r="J1" s="4" t="s">
        <v>3418</v>
      </c>
      <c r="K1" s="4" t="s">
        <v>3419</v>
      </c>
    </row>
    <row r="2" spans="1:11" x14ac:dyDescent="0.35">
      <c r="A2" t="s">
        <v>3433</v>
      </c>
      <c r="B2" t="s">
        <v>3421</v>
      </c>
      <c r="C2" t="s">
        <v>3422</v>
      </c>
      <c r="D2" t="s">
        <v>3423</v>
      </c>
      <c r="E2" t="s">
        <v>3434</v>
      </c>
      <c r="F2" t="s">
        <v>3425</v>
      </c>
      <c r="G2" t="s">
        <v>3426</v>
      </c>
      <c r="H2" t="s">
        <v>235</v>
      </c>
      <c r="I2">
        <v>180</v>
      </c>
      <c r="J2">
        <v>100</v>
      </c>
      <c r="K2" s="3">
        <v>6.5</v>
      </c>
    </row>
    <row r="3" spans="1:11" x14ac:dyDescent="0.35">
      <c r="A3" t="s">
        <v>3442</v>
      </c>
      <c r="B3" t="s">
        <v>3421</v>
      </c>
      <c r="C3" t="s">
        <v>3438</v>
      </c>
      <c r="D3" t="s">
        <v>695</v>
      </c>
      <c r="E3" t="s">
        <v>3434</v>
      </c>
      <c r="F3" t="s">
        <v>3425</v>
      </c>
      <c r="G3" t="s">
        <v>3426</v>
      </c>
      <c r="H3" t="s">
        <v>243</v>
      </c>
      <c r="I3">
        <v>160</v>
      </c>
      <c r="J3">
        <v>100</v>
      </c>
      <c r="K3" s="3">
        <v>6.75</v>
      </c>
    </row>
    <row r="4" spans="1:11" x14ac:dyDescent="0.35">
      <c r="A4" t="s">
        <v>3463</v>
      </c>
      <c r="B4" t="s">
        <v>3464</v>
      </c>
      <c r="C4" t="s">
        <v>3465</v>
      </c>
      <c r="D4" t="s">
        <v>3423</v>
      </c>
      <c r="E4" t="s">
        <v>3434</v>
      </c>
      <c r="F4" t="s">
        <v>3466</v>
      </c>
      <c r="G4" t="s">
        <v>3467</v>
      </c>
      <c r="H4" t="s">
        <v>243</v>
      </c>
      <c r="I4">
        <v>260</v>
      </c>
      <c r="J4">
        <v>120</v>
      </c>
      <c r="K4" s="3">
        <v>14.25</v>
      </c>
    </row>
    <row r="5" spans="1:11" x14ac:dyDescent="0.35">
      <c r="A5" t="s">
        <v>3420</v>
      </c>
      <c r="B5" t="s">
        <v>3421</v>
      </c>
      <c r="C5" t="s">
        <v>3422</v>
      </c>
      <c r="D5" t="s">
        <v>3423</v>
      </c>
      <c r="E5" t="s">
        <v>3424</v>
      </c>
      <c r="F5" t="s">
        <v>3425</v>
      </c>
      <c r="G5" t="s">
        <v>3426</v>
      </c>
      <c r="H5" t="s">
        <v>235</v>
      </c>
      <c r="I5">
        <v>420</v>
      </c>
      <c r="J5">
        <v>150</v>
      </c>
      <c r="K5" s="3">
        <v>6.5</v>
      </c>
    </row>
    <row r="6" spans="1:11" x14ac:dyDescent="0.35">
      <c r="A6" t="s">
        <v>3437</v>
      </c>
      <c r="B6" t="s">
        <v>3421</v>
      </c>
      <c r="C6" t="s">
        <v>3438</v>
      </c>
      <c r="D6" t="s">
        <v>695</v>
      </c>
      <c r="E6" t="s">
        <v>3424</v>
      </c>
      <c r="F6" t="s">
        <v>3425</v>
      </c>
      <c r="G6" t="s">
        <v>3426</v>
      </c>
      <c r="H6" t="s">
        <v>243</v>
      </c>
      <c r="I6">
        <v>460</v>
      </c>
      <c r="J6">
        <v>150</v>
      </c>
      <c r="K6" s="3">
        <v>6.75</v>
      </c>
    </row>
    <row r="7" spans="1:11" x14ac:dyDescent="0.35">
      <c r="A7" t="s">
        <v>3451</v>
      </c>
      <c r="B7" t="s">
        <v>3445</v>
      </c>
      <c r="C7" t="s">
        <v>3446</v>
      </c>
      <c r="D7" t="s">
        <v>3447</v>
      </c>
      <c r="E7" t="s">
        <v>3424</v>
      </c>
      <c r="F7" t="s">
        <v>3425</v>
      </c>
      <c r="G7" t="s">
        <v>3448</v>
      </c>
      <c r="H7" t="s">
        <v>264</v>
      </c>
      <c r="I7">
        <v>210</v>
      </c>
      <c r="J7">
        <v>120</v>
      </c>
      <c r="K7" s="3">
        <v>18</v>
      </c>
    </row>
    <row r="8" spans="1:11" x14ac:dyDescent="0.35">
      <c r="A8" t="s">
        <v>3461</v>
      </c>
      <c r="B8" t="s">
        <v>3454</v>
      </c>
      <c r="C8" t="s">
        <v>3455</v>
      </c>
      <c r="D8" t="s">
        <v>3456</v>
      </c>
      <c r="E8" t="s">
        <v>3424</v>
      </c>
      <c r="F8" t="s">
        <v>3457</v>
      </c>
      <c r="G8" t="s">
        <v>3458</v>
      </c>
      <c r="H8" t="s">
        <v>235</v>
      </c>
      <c r="I8">
        <v>120</v>
      </c>
      <c r="J8">
        <v>80</v>
      </c>
      <c r="K8" s="3">
        <v>32.5</v>
      </c>
    </row>
    <row r="9" spans="1:11" x14ac:dyDescent="0.35">
      <c r="A9" t="s">
        <v>3468</v>
      </c>
      <c r="B9" t="s">
        <v>3464</v>
      </c>
      <c r="C9" t="s">
        <v>3465</v>
      </c>
      <c r="D9" t="s">
        <v>3423</v>
      </c>
      <c r="E9" t="s">
        <v>3424</v>
      </c>
      <c r="F9" t="s">
        <v>3466</v>
      </c>
      <c r="G9" t="s">
        <v>3467</v>
      </c>
      <c r="H9" t="s">
        <v>243</v>
      </c>
      <c r="I9">
        <v>480</v>
      </c>
      <c r="J9">
        <v>120</v>
      </c>
      <c r="K9" s="3">
        <v>14.25</v>
      </c>
    </row>
    <row r="10" spans="1:11" x14ac:dyDescent="0.35">
      <c r="A10" t="s">
        <v>3427</v>
      </c>
      <c r="B10" t="s">
        <v>3421</v>
      </c>
      <c r="C10" t="s">
        <v>3422</v>
      </c>
      <c r="D10" t="s">
        <v>3423</v>
      </c>
      <c r="E10" t="s">
        <v>3428</v>
      </c>
      <c r="F10" t="s">
        <v>3425</v>
      </c>
      <c r="G10" t="s">
        <v>3426</v>
      </c>
      <c r="H10" t="s">
        <v>235</v>
      </c>
      <c r="I10">
        <v>610</v>
      </c>
      <c r="J10">
        <v>150</v>
      </c>
      <c r="K10" s="3">
        <v>6.5</v>
      </c>
    </row>
    <row r="11" spans="1:11" x14ac:dyDescent="0.35">
      <c r="A11" t="s">
        <v>3439</v>
      </c>
      <c r="B11" t="s">
        <v>3421</v>
      </c>
      <c r="C11" t="s">
        <v>3438</v>
      </c>
      <c r="D11" t="s">
        <v>695</v>
      </c>
      <c r="E11" t="s">
        <v>3428</v>
      </c>
      <c r="F11" t="s">
        <v>3425</v>
      </c>
      <c r="G11" t="s">
        <v>3426</v>
      </c>
      <c r="H11" t="s">
        <v>243</v>
      </c>
      <c r="I11">
        <v>700</v>
      </c>
      <c r="J11">
        <v>150</v>
      </c>
      <c r="K11" s="3">
        <v>6.75</v>
      </c>
    </row>
    <row r="12" spans="1:11" x14ac:dyDescent="0.35">
      <c r="A12" t="s">
        <v>3444</v>
      </c>
      <c r="B12" t="s">
        <v>3445</v>
      </c>
      <c r="C12" t="s">
        <v>3446</v>
      </c>
      <c r="D12" t="s">
        <v>3447</v>
      </c>
      <c r="E12" t="s">
        <v>3428</v>
      </c>
      <c r="F12" t="s">
        <v>3425</v>
      </c>
      <c r="G12" t="s">
        <v>3448</v>
      </c>
      <c r="H12" t="s">
        <v>264</v>
      </c>
      <c r="I12">
        <v>320</v>
      </c>
      <c r="J12">
        <v>120</v>
      </c>
      <c r="K12" s="3">
        <v>18</v>
      </c>
    </row>
    <row r="13" spans="1:11" x14ac:dyDescent="0.35">
      <c r="A13" t="s">
        <v>3453</v>
      </c>
      <c r="B13" t="s">
        <v>3454</v>
      </c>
      <c r="C13" t="s">
        <v>3455</v>
      </c>
      <c r="D13" t="s">
        <v>3456</v>
      </c>
      <c r="E13" t="s">
        <v>3428</v>
      </c>
      <c r="F13" t="s">
        <v>3457</v>
      </c>
      <c r="G13" t="s">
        <v>3458</v>
      </c>
      <c r="H13" t="s">
        <v>235</v>
      </c>
      <c r="I13">
        <v>180</v>
      </c>
      <c r="J13">
        <v>80</v>
      </c>
      <c r="K13" s="3">
        <v>32.5</v>
      </c>
    </row>
    <row r="14" spans="1:11" x14ac:dyDescent="0.35">
      <c r="A14" t="s">
        <v>3469</v>
      </c>
      <c r="B14" t="s">
        <v>3464</v>
      </c>
      <c r="C14" t="s">
        <v>3465</v>
      </c>
      <c r="D14" t="s">
        <v>3423</v>
      </c>
      <c r="E14" t="s">
        <v>3428</v>
      </c>
      <c r="F14" t="s">
        <v>3466</v>
      </c>
      <c r="G14" t="s">
        <v>3467</v>
      </c>
      <c r="H14" t="s">
        <v>243</v>
      </c>
      <c r="I14">
        <v>520</v>
      </c>
      <c r="J14">
        <v>120</v>
      </c>
      <c r="K14" s="3">
        <v>14.25</v>
      </c>
    </row>
    <row r="15" spans="1:11" x14ac:dyDescent="0.35">
      <c r="A15" t="s">
        <v>3429</v>
      </c>
      <c r="B15" t="s">
        <v>3421</v>
      </c>
      <c r="C15" t="s">
        <v>3422</v>
      </c>
      <c r="D15" t="s">
        <v>3423</v>
      </c>
      <c r="E15" t="s">
        <v>3430</v>
      </c>
      <c r="F15" t="s">
        <v>3425</v>
      </c>
      <c r="G15" t="s">
        <v>3426</v>
      </c>
      <c r="H15" t="s">
        <v>235</v>
      </c>
      <c r="I15">
        <v>540</v>
      </c>
      <c r="J15">
        <v>150</v>
      </c>
      <c r="K15" s="3">
        <v>6.5</v>
      </c>
    </row>
    <row r="16" spans="1:11" x14ac:dyDescent="0.35">
      <c r="A16" t="s">
        <v>3440</v>
      </c>
      <c r="B16" t="s">
        <v>3421</v>
      </c>
      <c r="C16" t="s">
        <v>3438</v>
      </c>
      <c r="D16" t="s">
        <v>695</v>
      </c>
      <c r="E16" t="s">
        <v>3430</v>
      </c>
      <c r="F16" t="s">
        <v>3425</v>
      </c>
      <c r="G16" t="s">
        <v>3426</v>
      </c>
      <c r="H16" t="s">
        <v>243</v>
      </c>
      <c r="I16">
        <v>580</v>
      </c>
      <c r="J16">
        <v>150</v>
      </c>
      <c r="K16" s="3">
        <v>6.75</v>
      </c>
    </row>
    <row r="17" spans="1:11" x14ac:dyDescent="0.35">
      <c r="A17" t="s">
        <v>3449</v>
      </c>
      <c r="B17" t="s">
        <v>3445</v>
      </c>
      <c r="C17" t="s">
        <v>3446</v>
      </c>
      <c r="D17" t="s">
        <v>3447</v>
      </c>
      <c r="E17" t="s">
        <v>3430</v>
      </c>
      <c r="F17" t="s">
        <v>3425</v>
      </c>
      <c r="G17" t="s">
        <v>3448</v>
      </c>
      <c r="H17" t="s">
        <v>264</v>
      </c>
      <c r="I17">
        <v>290</v>
      </c>
      <c r="J17">
        <v>120</v>
      </c>
      <c r="K17" s="3">
        <v>18</v>
      </c>
    </row>
    <row r="18" spans="1:11" x14ac:dyDescent="0.35">
      <c r="A18" t="s">
        <v>3459</v>
      </c>
      <c r="B18" t="s">
        <v>3454</v>
      </c>
      <c r="C18" t="s">
        <v>3455</v>
      </c>
      <c r="D18" t="s">
        <v>3456</v>
      </c>
      <c r="E18" t="s">
        <v>3430</v>
      </c>
      <c r="F18" t="s">
        <v>3457</v>
      </c>
      <c r="G18" t="s">
        <v>3458</v>
      </c>
      <c r="H18" t="s">
        <v>235</v>
      </c>
      <c r="I18">
        <v>160</v>
      </c>
      <c r="J18">
        <v>80</v>
      </c>
      <c r="K18" s="3">
        <v>32.5</v>
      </c>
    </row>
    <row r="19" spans="1:11" x14ac:dyDescent="0.35">
      <c r="A19" t="s">
        <v>3470</v>
      </c>
      <c r="B19" t="s">
        <v>3464</v>
      </c>
      <c r="C19" t="s">
        <v>3465</v>
      </c>
      <c r="D19" t="s">
        <v>3423</v>
      </c>
      <c r="E19" t="s">
        <v>3430</v>
      </c>
      <c r="F19" t="s">
        <v>3466</v>
      </c>
      <c r="G19" t="s">
        <v>3467</v>
      </c>
      <c r="H19" t="s">
        <v>243</v>
      </c>
      <c r="I19">
        <v>410</v>
      </c>
      <c r="J19">
        <v>120</v>
      </c>
      <c r="K19" s="3">
        <v>14.25</v>
      </c>
    </row>
    <row r="20" spans="1:11" x14ac:dyDescent="0.35">
      <c r="A20" t="s">
        <v>3431</v>
      </c>
      <c r="B20" t="s">
        <v>3421</v>
      </c>
      <c r="C20" t="s">
        <v>3422</v>
      </c>
      <c r="D20" t="s">
        <v>3423</v>
      </c>
      <c r="E20" t="s">
        <v>3432</v>
      </c>
      <c r="F20" t="s">
        <v>3425</v>
      </c>
      <c r="G20" t="s">
        <v>3426</v>
      </c>
      <c r="H20" t="s">
        <v>235</v>
      </c>
      <c r="I20">
        <v>390</v>
      </c>
      <c r="J20">
        <v>150</v>
      </c>
      <c r="K20" s="3">
        <v>6.5</v>
      </c>
    </row>
    <row r="21" spans="1:11" x14ac:dyDescent="0.35">
      <c r="A21" t="s">
        <v>3441</v>
      </c>
      <c r="B21" t="s">
        <v>3421</v>
      </c>
      <c r="C21" t="s">
        <v>3438</v>
      </c>
      <c r="D21" t="s">
        <v>695</v>
      </c>
      <c r="E21" t="s">
        <v>3432</v>
      </c>
      <c r="F21" t="s">
        <v>3425</v>
      </c>
      <c r="G21" t="s">
        <v>3426</v>
      </c>
      <c r="H21" t="s">
        <v>243</v>
      </c>
      <c r="I21">
        <v>410</v>
      </c>
      <c r="J21">
        <v>150</v>
      </c>
      <c r="K21" s="3">
        <v>6.75</v>
      </c>
    </row>
    <row r="22" spans="1:11" x14ac:dyDescent="0.35">
      <c r="A22" t="s">
        <v>3450</v>
      </c>
      <c r="B22" t="s">
        <v>3445</v>
      </c>
      <c r="C22" t="s">
        <v>3446</v>
      </c>
      <c r="D22" t="s">
        <v>3447</v>
      </c>
      <c r="E22" t="s">
        <v>3432</v>
      </c>
      <c r="F22" t="s">
        <v>3425</v>
      </c>
      <c r="G22" t="s">
        <v>3448</v>
      </c>
      <c r="H22" t="s">
        <v>264</v>
      </c>
      <c r="I22">
        <v>260</v>
      </c>
      <c r="J22">
        <v>120</v>
      </c>
      <c r="K22" s="3">
        <v>18</v>
      </c>
    </row>
    <row r="23" spans="1:11" x14ac:dyDescent="0.35">
      <c r="A23" t="s">
        <v>3460</v>
      </c>
      <c r="B23" t="s">
        <v>3454</v>
      </c>
      <c r="C23" t="s">
        <v>3455</v>
      </c>
      <c r="D23" t="s">
        <v>3456</v>
      </c>
      <c r="E23" t="s">
        <v>3432</v>
      </c>
      <c r="F23" t="s">
        <v>3457</v>
      </c>
      <c r="G23" t="s">
        <v>3458</v>
      </c>
      <c r="H23" t="s">
        <v>235</v>
      </c>
      <c r="I23">
        <v>140</v>
      </c>
      <c r="J23">
        <v>80</v>
      </c>
      <c r="K23" s="3">
        <v>32.5</v>
      </c>
    </row>
    <row r="24" spans="1:11" x14ac:dyDescent="0.35">
      <c r="A24" t="s">
        <v>3471</v>
      </c>
      <c r="B24" t="s">
        <v>3464</v>
      </c>
      <c r="C24" t="s">
        <v>3465</v>
      </c>
      <c r="D24" t="s">
        <v>3423</v>
      </c>
      <c r="E24" t="s">
        <v>3432</v>
      </c>
      <c r="F24" t="s">
        <v>3466</v>
      </c>
      <c r="G24" t="s">
        <v>3467</v>
      </c>
      <c r="H24" t="s">
        <v>243</v>
      </c>
      <c r="I24">
        <v>290</v>
      </c>
      <c r="J24">
        <v>120</v>
      </c>
      <c r="K24" s="3">
        <v>14.25</v>
      </c>
    </row>
    <row r="25" spans="1:11" x14ac:dyDescent="0.35">
      <c r="A25" t="s">
        <v>3435</v>
      </c>
      <c r="B25" t="s">
        <v>3421</v>
      </c>
      <c r="C25" t="s">
        <v>3422</v>
      </c>
      <c r="D25" t="s">
        <v>3423</v>
      </c>
      <c r="E25" t="s">
        <v>3436</v>
      </c>
      <c r="F25" t="s">
        <v>3425</v>
      </c>
      <c r="G25" t="s">
        <v>3426</v>
      </c>
      <c r="H25" t="s">
        <v>235</v>
      </c>
      <c r="I25">
        <v>220</v>
      </c>
      <c r="J25">
        <v>120</v>
      </c>
      <c r="K25" s="3">
        <v>6.5</v>
      </c>
    </row>
    <row r="26" spans="1:11" x14ac:dyDescent="0.35">
      <c r="A26" t="s">
        <v>3443</v>
      </c>
      <c r="B26" t="s">
        <v>3421</v>
      </c>
      <c r="C26" t="s">
        <v>3438</v>
      </c>
      <c r="D26" t="s">
        <v>695</v>
      </c>
      <c r="E26" t="s">
        <v>3436</v>
      </c>
      <c r="F26" t="s">
        <v>3425</v>
      </c>
      <c r="G26" t="s">
        <v>3426</v>
      </c>
      <c r="H26" t="s">
        <v>243</v>
      </c>
      <c r="I26">
        <v>240</v>
      </c>
      <c r="J26">
        <v>120</v>
      </c>
      <c r="K26" s="3">
        <v>6.75</v>
      </c>
    </row>
    <row r="27" spans="1:11" x14ac:dyDescent="0.35">
      <c r="A27" t="s">
        <v>3452</v>
      </c>
      <c r="B27" t="s">
        <v>3445</v>
      </c>
      <c r="C27" t="s">
        <v>3446</v>
      </c>
      <c r="D27" t="s">
        <v>3447</v>
      </c>
      <c r="E27" t="s">
        <v>3436</v>
      </c>
      <c r="F27" t="s">
        <v>3425</v>
      </c>
      <c r="G27" t="s">
        <v>3448</v>
      </c>
      <c r="H27" t="s">
        <v>264</v>
      </c>
      <c r="I27">
        <v>140</v>
      </c>
      <c r="J27">
        <v>100</v>
      </c>
      <c r="K27" s="3">
        <v>18</v>
      </c>
    </row>
    <row r="28" spans="1:11" x14ac:dyDescent="0.35">
      <c r="A28" t="s">
        <v>3462</v>
      </c>
      <c r="B28" t="s">
        <v>3454</v>
      </c>
      <c r="C28" t="s">
        <v>3455</v>
      </c>
      <c r="D28" t="s">
        <v>3456</v>
      </c>
      <c r="E28" t="s">
        <v>3436</v>
      </c>
      <c r="F28" t="s">
        <v>3457</v>
      </c>
      <c r="G28" t="s">
        <v>3458</v>
      </c>
      <c r="H28" t="s">
        <v>235</v>
      </c>
      <c r="I28">
        <v>90</v>
      </c>
      <c r="J28">
        <v>60</v>
      </c>
      <c r="K28" s="3">
        <v>32.5</v>
      </c>
    </row>
    <row r="29" spans="1:11" x14ac:dyDescent="0.35">
      <c r="A29" t="s">
        <v>3472</v>
      </c>
      <c r="B29" t="s">
        <v>3464</v>
      </c>
      <c r="C29" t="s">
        <v>3465</v>
      </c>
      <c r="D29" t="s">
        <v>3423</v>
      </c>
      <c r="E29" t="s">
        <v>3436</v>
      </c>
      <c r="F29" t="s">
        <v>3466</v>
      </c>
      <c r="G29" t="s">
        <v>3467</v>
      </c>
      <c r="H29" t="s">
        <v>243</v>
      </c>
      <c r="I29">
        <v>170</v>
      </c>
      <c r="J29">
        <v>100</v>
      </c>
      <c r="K29" s="3">
        <v>14.25</v>
      </c>
    </row>
  </sheetData>
  <sortState xmlns:xlrd2="http://schemas.microsoft.com/office/spreadsheetml/2017/richdata2" ref="A2:K29">
    <sortCondition ref="E2:E29" customList="XS,S,M,L,XL,XXL,XXXL"/>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5"/>
  <sheetViews>
    <sheetView zoomScaleNormal="100" workbookViewId="0">
      <selection activeCell="I2" sqref="I2:I184"/>
    </sheetView>
  </sheetViews>
  <sheetFormatPr defaultRowHeight="14.5" outlineLevelRow="2" x14ac:dyDescent="0.35"/>
  <cols>
    <col min="1" max="1" width="13" customWidth="1"/>
    <col min="2" max="2" width="18" customWidth="1"/>
    <col min="3" max="3" width="10" customWidth="1"/>
    <col min="4" max="4" width="11" customWidth="1"/>
    <col min="5" max="6" width="12" customWidth="1"/>
    <col min="7" max="7" width="11.453125" bestFit="1" customWidth="1"/>
    <col min="8" max="8" width="9.453125" bestFit="1" customWidth="1"/>
    <col min="9" max="9" width="12.1796875" customWidth="1"/>
  </cols>
  <sheetData>
    <row r="1" spans="1:9" ht="29" x14ac:dyDescent="0.35">
      <c r="A1" s="1" t="s">
        <v>620</v>
      </c>
      <c r="B1" s="1" t="s">
        <v>2</v>
      </c>
      <c r="C1" s="1" t="s">
        <v>780</v>
      </c>
      <c r="D1" s="1" t="s">
        <v>4</v>
      </c>
      <c r="E1" s="1" t="s">
        <v>782</v>
      </c>
      <c r="F1" s="1" t="s">
        <v>3409</v>
      </c>
      <c r="G1" s="27" t="s">
        <v>3582</v>
      </c>
      <c r="H1" s="27" t="s">
        <v>3473</v>
      </c>
      <c r="I1" s="1" t="s">
        <v>773</v>
      </c>
    </row>
    <row r="2" spans="1:9" outlineLevel="2" x14ac:dyDescent="0.35">
      <c r="A2" t="s">
        <v>254</v>
      </c>
      <c r="B2" t="s">
        <v>14</v>
      </c>
      <c r="C2">
        <v>5</v>
      </c>
      <c r="D2" s="3">
        <v>39.64</v>
      </c>
      <c r="E2" s="3">
        <v>198.2</v>
      </c>
      <c r="F2" s="5">
        <v>45308</v>
      </c>
      <c r="G2" t="str">
        <f>TEXT(F2,"MMM")</f>
        <v>Jan</v>
      </c>
      <c r="H2" t="str">
        <f>TEXT(F2,"YYYY")</f>
        <v>2024</v>
      </c>
      <c r="I2" t="str">
        <f>TEXT(F2,"DD")</f>
        <v>17</v>
      </c>
    </row>
    <row r="3" spans="1:9" outlineLevel="2" x14ac:dyDescent="0.35">
      <c r="A3" t="s">
        <v>254</v>
      </c>
      <c r="B3" t="s">
        <v>43</v>
      </c>
      <c r="C3">
        <v>20</v>
      </c>
      <c r="D3" s="3">
        <v>86.54</v>
      </c>
      <c r="E3" s="3">
        <v>1730.8</v>
      </c>
      <c r="F3" s="5">
        <v>45305</v>
      </c>
      <c r="G3" t="str">
        <f>TEXT(F3,"MMM")</f>
        <v>Jan</v>
      </c>
      <c r="H3" t="str">
        <f>TEXT(F3,"YYYY")</f>
        <v>2024</v>
      </c>
      <c r="I3" t="str">
        <f t="shared" ref="I3:I66" si="0">TEXT(F3,"DD")</f>
        <v>14</v>
      </c>
    </row>
    <row r="4" spans="1:9" outlineLevel="2" x14ac:dyDescent="0.35">
      <c r="A4" t="s">
        <v>674</v>
      </c>
      <c r="B4" t="s">
        <v>14</v>
      </c>
      <c r="C4">
        <v>3</v>
      </c>
      <c r="D4" s="3">
        <v>24.54</v>
      </c>
      <c r="E4" s="3">
        <v>69.94</v>
      </c>
      <c r="F4" s="5">
        <v>45306</v>
      </c>
      <c r="G4" t="str">
        <f>TEXT(F4,"MMM")</f>
        <v>Jan</v>
      </c>
      <c r="H4" t="str">
        <f>TEXT(F4,"YYYY")</f>
        <v>2024</v>
      </c>
      <c r="I4" t="str">
        <f t="shared" si="0"/>
        <v>15</v>
      </c>
    </row>
    <row r="5" spans="1:9" outlineLevel="2" x14ac:dyDescent="0.35">
      <c r="A5" t="s">
        <v>674</v>
      </c>
      <c r="B5" t="s">
        <v>48</v>
      </c>
      <c r="C5">
        <v>5</v>
      </c>
      <c r="D5" s="3">
        <v>41.9</v>
      </c>
      <c r="E5" s="3">
        <v>209.5</v>
      </c>
      <c r="F5" s="5">
        <v>45294</v>
      </c>
      <c r="G5" t="str">
        <f>TEXT(F5,"MMM")</f>
        <v>Jan</v>
      </c>
      <c r="H5" t="str">
        <f>TEXT(F5,"YYYY")</f>
        <v>2024</v>
      </c>
      <c r="I5" t="str">
        <f t="shared" si="0"/>
        <v>03</v>
      </c>
    </row>
    <row r="6" spans="1:9" outlineLevel="2" x14ac:dyDescent="0.35">
      <c r="A6" t="s">
        <v>633</v>
      </c>
      <c r="B6" t="s">
        <v>29</v>
      </c>
      <c r="C6">
        <v>2</v>
      </c>
      <c r="D6" s="3">
        <v>36.229999999999997</v>
      </c>
      <c r="E6" s="3">
        <v>61.59</v>
      </c>
      <c r="F6" s="5">
        <v>45316</v>
      </c>
      <c r="G6" t="str">
        <f>TEXT(F6,"MMM")</f>
        <v>Jan</v>
      </c>
      <c r="H6" t="str">
        <f>TEXT(F6,"YYYY")</f>
        <v>2024</v>
      </c>
      <c r="I6" t="str">
        <f t="shared" si="0"/>
        <v>25</v>
      </c>
    </row>
    <row r="7" spans="1:9" outlineLevel="2" x14ac:dyDescent="0.35">
      <c r="A7" t="s">
        <v>681</v>
      </c>
      <c r="B7" t="s">
        <v>29</v>
      </c>
      <c r="C7">
        <v>10</v>
      </c>
      <c r="D7" s="3">
        <v>36.229999999999997</v>
      </c>
      <c r="E7" s="3">
        <v>362.3</v>
      </c>
      <c r="F7" s="5">
        <v>45317</v>
      </c>
      <c r="G7" t="str">
        <f>TEXT(F7,"MMM")</f>
        <v>Jan</v>
      </c>
      <c r="H7" t="str">
        <f>TEXT(F7,"YYYY")</f>
        <v>2024</v>
      </c>
      <c r="I7" t="str">
        <f t="shared" si="0"/>
        <v>26</v>
      </c>
    </row>
    <row r="8" spans="1:9" outlineLevel="2" x14ac:dyDescent="0.35">
      <c r="A8" t="s">
        <v>696</v>
      </c>
      <c r="B8" t="s">
        <v>14</v>
      </c>
      <c r="C8">
        <v>3</v>
      </c>
      <c r="D8" s="3">
        <v>35.4</v>
      </c>
      <c r="E8" s="3">
        <v>106.2</v>
      </c>
      <c r="F8" s="5">
        <v>45316</v>
      </c>
      <c r="G8" t="str">
        <f>TEXT(F8,"MMM")</f>
        <v>Jan</v>
      </c>
      <c r="H8" t="str">
        <f>TEXT(F8,"YYYY")</f>
        <v>2024</v>
      </c>
      <c r="I8" t="str">
        <f t="shared" si="0"/>
        <v>25</v>
      </c>
    </row>
    <row r="9" spans="1:9" outlineLevel="2" x14ac:dyDescent="0.35">
      <c r="A9" t="s">
        <v>637</v>
      </c>
      <c r="B9" t="s">
        <v>48</v>
      </c>
      <c r="C9">
        <v>5</v>
      </c>
      <c r="D9" s="3">
        <v>34.9</v>
      </c>
      <c r="E9" s="3">
        <v>174.5</v>
      </c>
      <c r="F9" s="5">
        <v>45313</v>
      </c>
      <c r="G9" t="str">
        <f>TEXT(F9,"MMM")</f>
        <v>Jan</v>
      </c>
      <c r="H9" t="str">
        <f>TEXT(F9,"YYYY")</f>
        <v>2024</v>
      </c>
      <c r="I9" t="str">
        <f t="shared" si="0"/>
        <v>22</v>
      </c>
    </row>
    <row r="10" spans="1:9" outlineLevel="2" x14ac:dyDescent="0.35">
      <c r="A10" t="s">
        <v>637</v>
      </c>
      <c r="B10" t="s">
        <v>48</v>
      </c>
      <c r="C10">
        <v>2</v>
      </c>
      <c r="D10" s="3">
        <v>72.510000000000005</v>
      </c>
      <c r="E10" s="3">
        <v>130.52000000000001</v>
      </c>
      <c r="F10" s="5">
        <v>45295</v>
      </c>
      <c r="G10" t="str">
        <f>TEXT(F10,"MMM")</f>
        <v>Jan</v>
      </c>
      <c r="H10" t="str">
        <f>TEXT(F10,"YYYY")</f>
        <v>2024</v>
      </c>
      <c r="I10" t="str">
        <f t="shared" si="0"/>
        <v>04</v>
      </c>
    </row>
    <row r="11" spans="1:9" outlineLevel="2" x14ac:dyDescent="0.35">
      <c r="A11" t="s">
        <v>637</v>
      </c>
      <c r="B11" t="s">
        <v>43</v>
      </c>
      <c r="C11">
        <v>12</v>
      </c>
      <c r="D11" s="3">
        <v>86.54</v>
      </c>
      <c r="E11" s="3">
        <v>882.71</v>
      </c>
      <c r="F11" s="5">
        <v>45306</v>
      </c>
      <c r="G11" t="str">
        <f>TEXT(F11,"MMM")</f>
        <v>Jan</v>
      </c>
      <c r="H11" t="str">
        <f>TEXT(F11,"YYYY")</f>
        <v>2024</v>
      </c>
      <c r="I11" t="str">
        <f t="shared" si="0"/>
        <v>15</v>
      </c>
    </row>
    <row r="12" spans="1:9" outlineLevel="2" x14ac:dyDescent="0.35">
      <c r="A12" t="s">
        <v>674</v>
      </c>
      <c r="B12" t="s">
        <v>38</v>
      </c>
      <c r="C12">
        <v>5</v>
      </c>
      <c r="D12" s="3">
        <v>25.83</v>
      </c>
      <c r="E12" s="3">
        <v>122.69</v>
      </c>
      <c r="F12" s="5">
        <v>45331</v>
      </c>
      <c r="G12" t="str">
        <f>TEXT(F12,"MMM")</f>
        <v>Feb</v>
      </c>
      <c r="H12" t="str">
        <f>TEXT(F12,"YYYY")</f>
        <v>2024</v>
      </c>
      <c r="I12" t="str">
        <f t="shared" si="0"/>
        <v>09</v>
      </c>
    </row>
    <row r="13" spans="1:9" outlineLevel="2" x14ac:dyDescent="0.35">
      <c r="A13" t="s">
        <v>674</v>
      </c>
      <c r="B13" t="s">
        <v>48</v>
      </c>
      <c r="C13">
        <v>2</v>
      </c>
      <c r="D13" s="3">
        <v>41.9</v>
      </c>
      <c r="E13" s="3">
        <v>83.8</v>
      </c>
      <c r="F13" s="5">
        <v>45335</v>
      </c>
      <c r="G13" t="str">
        <f>TEXT(F13,"MMM")</f>
        <v>Feb</v>
      </c>
      <c r="H13" t="str">
        <f>TEXT(F13,"YYYY")</f>
        <v>2024</v>
      </c>
      <c r="I13" t="str">
        <f t="shared" si="0"/>
        <v>13</v>
      </c>
    </row>
    <row r="14" spans="1:9" outlineLevel="2" x14ac:dyDescent="0.35">
      <c r="A14" t="s">
        <v>637</v>
      </c>
      <c r="B14" t="s">
        <v>29</v>
      </c>
      <c r="C14">
        <v>10</v>
      </c>
      <c r="D14" s="3">
        <v>15.2</v>
      </c>
      <c r="E14" s="3">
        <v>152</v>
      </c>
      <c r="F14" s="5">
        <v>45328</v>
      </c>
      <c r="G14" t="str">
        <f>TEXT(F14,"MMM")</f>
        <v>Feb</v>
      </c>
      <c r="H14" t="str">
        <f>TEXT(F14,"YYYY")</f>
        <v>2024</v>
      </c>
      <c r="I14" t="str">
        <f t="shared" si="0"/>
        <v>06</v>
      </c>
    </row>
    <row r="15" spans="1:9" outlineLevel="2" x14ac:dyDescent="0.35">
      <c r="A15" t="s">
        <v>637</v>
      </c>
      <c r="B15" t="s">
        <v>29</v>
      </c>
      <c r="C15">
        <v>5</v>
      </c>
      <c r="D15" s="3">
        <v>15.91</v>
      </c>
      <c r="E15" s="3">
        <v>75.569999999999993</v>
      </c>
      <c r="F15" s="5">
        <v>45350</v>
      </c>
      <c r="G15" t="str">
        <f>TEXT(F15,"MMM")</f>
        <v>Feb</v>
      </c>
      <c r="H15" t="str">
        <f>TEXT(F15,"YYYY")</f>
        <v>2024</v>
      </c>
      <c r="I15" t="str">
        <f t="shared" si="0"/>
        <v>28</v>
      </c>
    </row>
    <row r="16" spans="1:9" outlineLevel="2" x14ac:dyDescent="0.35">
      <c r="A16" t="s">
        <v>627</v>
      </c>
      <c r="B16" t="s">
        <v>38</v>
      </c>
      <c r="C16">
        <v>2</v>
      </c>
      <c r="D16" s="3">
        <v>11.14</v>
      </c>
      <c r="E16" s="3">
        <v>22.28</v>
      </c>
      <c r="F16" s="5">
        <v>45338</v>
      </c>
      <c r="G16" t="str">
        <f>TEXT(F16,"MMM")</f>
        <v>Feb</v>
      </c>
      <c r="H16" t="str">
        <f>TEXT(F16,"YYYY")</f>
        <v>2024</v>
      </c>
      <c r="I16" t="str">
        <f t="shared" si="0"/>
        <v>16</v>
      </c>
    </row>
    <row r="17" spans="1:9" outlineLevel="2" x14ac:dyDescent="0.35">
      <c r="A17" t="s">
        <v>674</v>
      </c>
      <c r="B17" t="s">
        <v>29</v>
      </c>
      <c r="C17">
        <v>5</v>
      </c>
      <c r="D17" s="3">
        <v>41.5</v>
      </c>
      <c r="E17" s="3">
        <v>197.12</v>
      </c>
      <c r="F17" s="5">
        <v>45378</v>
      </c>
      <c r="G17" t="str">
        <f>TEXT(F17,"MMM")</f>
        <v>Mar</v>
      </c>
      <c r="H17" t="str">
        <f>TEXT(F17,"YYYY")</f>
        <v>2024</v>
      </c>
      <c r="I17" t="str">
        <f t="shared" si="0"/>
        <v>27</v>
      </c>
    </row>
    <row r="18" spans="1:9" outlineLevel="2" x14ac:dyDescent="0.35">
      <c r="A18" t="s">
        <v>674</v>
      </c>
      <c r="B18" t="s">
        <v>43</v>
      </c>
      <c r="C18">
        <v>20</v>
      </c>
      <c r="D18" s="3">
        <v>21.14</v>
      </c>
      <c r="E18" s="3">
        <v>401.66</v>
      </c>
      <c r="F18" s="5">
        <v>45380</v>
      </c>
      <c r="G18" t="str">
        <f>TEXT(F18,"MMM")</f>
        <v>Mar</v>
      </c>
      <c r="H18" t="str">
        <f>TEXT(F18,"YYYY")</f>
        <v>2024</v>
      </c>
      <c r="I18" t="str">
        <f t="shared" si="0"/>
        <v>29</v>
      </c>
    </row>
    <row r="19" spans="1:9" outlineLevel="2" x14ac:dyDescent="0.35">
      <c r="A19" t="s">
        <v>633</v>
      </c>
      <c r="B19" t="s">
        <v>38</v>
      </c>
      <c r="C19">
        <v>2</v>
      </c>
      <c r="D19" s="3">
        <v>58.73</v>
      </c>
      <c r="E19" s="3">
        <v>117.46</v>
      </c>
      <c r="F19" s="5">
        <v>45353</v>
      </c>
      <c r="G19" t="str">
        <f>TEXT(F19,"MMM")</f>
        <v>Mar</v>
      </c>
      <c r="H19" t="str">
        <f>TEXT(F19,"YYYY")</f>
        <v>2024</v>
      </c>
      <c r="I19" t="str">
        <f t="shared" si="0"/>
        <v>02</v>
      </c>
    </row>
    <row r="20" spans="1:9" outlineLevel="2" x14ac:dyDescent="0.35">
      <c r="A20" t="s">
        <v>637</v>
      </c>
      <c r="B20" t="s">
        <v>48</v>
      </c>
      <c r="C20">
        <v>5</v>
      </c>
      <c r="D20" s="3">
        <v>39.15</v>
      </c>
      <c r="E20" s="3">
        <v>166.39</v>
      </c>
      <c r="F20" s="5">
        <v>45378</v>
      </c>
      <c r="G20" t="str">
        <f>TEXT(F20,"MMM")</f>
        <v>Mar</v>
      </c>
      <c r="H20" t="str">
        <f>TEXT(F20,"YYYY")</f>
        <v>2024</v>
      </c>
      <c r="I20" t="str">
        <f t="shared" si="0"/>
        <v>27</v>
      </c>
    </row>
    <row r="21" spans="1:9" outlineLevel="2" x14ac:dyDescent="0.35">
      <c r="A21" t="s">
        <v>627</v>
      </c>
      <c r="B21" t="s">
        <v>8</v>
      </c>
      <c r="C21">
        <v>5</v>
      </c>
      <c r="D21" s="3">
        <v>10.67</v>
      </c>
      <c r="E21" s="3">
        <v>50.68</v>
      </c>
      <c r="F21" s="5">
        <v>45381</v>
      </c>
      <c r="G21" t="str">
        <f>TEXT(F21,"MMM")</f>
        <v>Mar</v>
      </c>
      <c r="H21" t="str">
        <f>TEXT(F21,"YYYY")</f>
        <v>2024</v>
      </c>
      <c r="I21" t="str">
        <f t="shared" si="0"/>
        <v>30</v>
      </c>
    </row>
    <row r="22" spans="1:9" outlineLevel="2" x14ac:dyDescent="0.35">
      <c r="A22" t="s">
        <v>627</v>
      </c>
      <c r="B22" t="s">
        <v>8</v>
      </c>
      <c r="C22">
        <v>20</v>
      </c>
      <c r="D22" s="3">
        <v>42.9</v>
      </c>
      <c r="E22" s="3">
        <v>858</v>
      </c>
      <c r="F22" s="5">
        <v>45377</v>
      </c>
      <c r="G22" t="str">
        <f>TEXT(F22,"MMM")</f>
        <v>Mar</v>
      </c>
      <c r="H22" t="str">
        <f>TEXT(F22,"YYYY")</f>
        <v>2024</v>
      </c>
      <c r="I22" t="str">
        <f t="shared" si="0"/>
        <v>26</v>
      </c>
    </row>
    <row r="23" spans="1:9" outlineLevel="2" x14ac:dyDescent="0.35">
      <c r="A23" t="s">
        <v>254</v>
      </c>
      <c r="B23" t="s">
        <v>48</v>
      </c>
      <c r="C23">
        <v>5</v>
      </c>
      <c r="D23" s="3">
        <v>67.239999999999995</v>
      </c>
      <c r="E23" s="3">
        <v>336.2</v>
      </c>
      <c r="F23" s="5">
        <v>45406</v>
      </c>
      <c r="G23" t="str">
        <f>TEXT(F23,"MMM")</f>
        <v>Apr</v>
      </c>
      <c r="H23" t="str">
        <f>TEXT(F23,"YYYY")</f>
        <v>2024</v>
      </c>
      <c r="I23" t="str">
        <f t="shared" si="0"/>
        <v>24</v>
      </c>
    </row>
    <row r="24" spans="1:9" outlineLevel="2" x14ac:dyDescent="0.35">
      <c r="A24" t="s">
        <v>674</v>
      </c>
      <c r="B24" t="s">
        <v>29</v>
      </c>
      <c r="C24">
        <v>12</v>
      </c>
      <c r="D24" s="3">
        <v>25.64</v>
      </c>
      <c r="E24" s="3">
        <v>307.68</v>
      </c>
      <c r="F24" s="5">
        <v>45401</v>
      </c>
      <c r="G24" t="str">
        <f>TEXT(F24,"MMM")</f>
        <v>Apr</v>
      </c>
      <c r="H24" t="str">
        <f>TEXT(F24,"YYYY")</f>
        <v>2024</v>
      </c>
      <c r="I24" t="str">
        <f t="shared" si="0"/>
        <v>19</v>
      </c>
    </row>
    <row r="25" spans="1:9" outlineLevel="2" x14ac:dyDescent="0.35">
      <c r="A25" t="s">
        <v>674</v>
      </c>
      <c r="B25" t="s">
        <v>20</v>
      </c>
      <c r="C25">
        <v>1</v>
      </c>
      <c r="D25" s="3">
        <v>19.72</v>
      </c>
      <c r="E25" s="3">
        <v>19.72</v>
      </c>
      <c r="F25" s="5">
        <v>45385</v>
      </c>
      <c r="G25" t="str">
        <f>TEXT(F25,"MMM")</f>
        <v>Apr</v>
      </c>
      <c r="H25" t="str">
        <f>TEXT(F25,"YYYY")</f>
        <v>2024</v>
      </c>
      <c r="I25" t="str">
        <f t="shared" si="0"/>
        <v>03</v>
      </c>
    </row>
    <row r="26" spans="1:9" outlineLevel="2" x14ac:dyDescent="0.35">
      <c r="A26" t="s">
        <v>633</v>
      </c>
      <c r="B26" t="s">
        <v>29</v>
      </c>
      <c r="C26">
        <v>2</v>
      </c>
      <c r="D26" s="3">
        <v>22.42</v>
      </c>
      <c r="E26" s="3">
        <v>44.84</v>
      </c>
      <c r="F26" s="5">
        <v>45392</v>
      </c>
      <c r="G26" t="str">
        <f>TEXT(F26,"MMM")</f>
        <v>Apr</v>
      </c>
      <c r="H26" t="str">
        <f>TEXT(F26,"YYYY")</f>
        <v>2024</v>
      </c>
      <c r="I26" t="str">
        <f t="shared" si="0"/>
        <v>10</v>
      </c>
    </row>
    <row r="27" spans="1:9" outlineLevel="2" x14ac:dyDescent="0.35">
      <c r="A27" t="s">
        <v>681</v>
      </c>
      <c r="B27" t="s">
        <v>20</v>
      </c>
      <c r="C27">
        <v>10</v>
      </c>
      <c r="D27" s="3">
        <v>53.7</v>
      </c>
      <c r="E27" s="3">
        <v>510.15</v>
      </c>
      <c r="F27" s="5">
        <v>45403</v>
      </c>
      <c r="G27" t="str">
        <f>TEXT(F27,"MMM")</f>
        <v>Apr</v>
      </c>
      <c r="H27" t="str">
        <f>TEXT(F27,"YYYY")</f>
        <v>2024</v>
      </c>
      <c r="I27" t="str">
        <f t="shared" si="0"/>
        <v>21</v>
      </c>
    </row>
    <row r="28" spans="1:9" outlineLevel="2" x14ac:dyDescent="0.35">
      <c r="A28" t="s">
        <v>696</v>
      </c>
      <c r="B28" t="s">
        <v>14</v>
      </c>
      <c r="C28">
        <v>5</v>
      </c>
      <c r="D28" s="3">
        <v>16.29</v>
      </c>
      <c r="E28" s="3">
        <v>73.3</v>
      </c>
      <c r="F28" s="5">
        <v>45411</v>
      </c>
      <c r="G28" t="str">
        <f>TEXT(F28,"MMM")</f>
        <v>Apr</v>
      </c>
      <c r="H28" t="str">
        <f>TEXT(F28,"YYYY")</f>
        <v>2024</v>
      </c>
      <c r="I28" t="str">
        <f t="shared" si="0"/>
        <v>29</v>
      </c>
    </row>
    <row r="29" spans="1:9" outlineLevel="2" x14ac:dyDescent="0.35">
      <c r="A29" t="s">
        <v>254</v>
      </c>
      <c r="B29" t="s">
        <v>29</v>
      </c>
      <c r="C29">
        <v>10</v>
      </c>
      <c r="D29" s="3">
        <v>36.119999999999997</v>
      </c>
      <c r="E29" s="3">
        <v>343.14</v>
      </c>
      <c r="F29" s="5">
        <v>45443</v>
      </c>
      <c r="G29" t="str">
        <f>TEXT(F29,"MMM")</f>
        <v>May</v>
      </c>
      <c r="H29" t="str">
        <f>TEXT(F29,"YYYY")</f>
        <v>2024</v>
      </c>
      <c r="I29" t="str">
        <f t="shared" si="0"/>
        <v>31</v>
      </c>
    </row>
    <row r="30" spans="1:9" outlineLevel="2" x14ac:dyDescent="0.35">
      <c r="A30" t="s">
        <v>254</v>
      </c>
      <c r="B30" t="s">
        <v>29</v>
      </c>
      <c r="C30">
        <v>12</v>
      </c>
      <c r="D30" s="3">
        <v>15.91</v>
      </c>
      <c r="E30" s="3">
        <v>162.28</v>
      </c>
      <c r="F30" s="5">
        <v>45433</v>
      </c>
      <c r="G30" t="str">
        <f>TEXT(F30,"MMM")</f>
        <v>May</v>
      </c>
      <c r="H30" t="str">
        <f>TEXT(F30,"YYYY")</f>
        <v>2024</v>
      </c>
      <c r="I30" t="str">
        <f t="shared" si="0"/>
        <v>21</v>
      </c>
    </row>
    <row r="31" spans="1:9" outlineLevel="2" x14ac:dyDescent="0.35">
      <c r="A31" t="s">
        <v>254</v>
      </c>
      <c r="B31" t="s">
        <v>79</v>
      </c>
      <c r="C31">
        <v>3</v>
      </c>
      <c r="D31" s="3">
        <v>40.42</v>
      </c>
      <c r="E31" s="3">
        <v>115.2</v>
      </c>
      <c r="F31" s="5">
        <v>45423</v>
      </c>
      <c r="G31" t="str">
        <f>TEXT(F31,"MMM")</f>
        <v>May</v>
      </c>
      <c r="H31" t="str">
        <f>TEXT(F31,"YYYY")</f>
        <v>2024</v>
      </c>
      <c r="I31" t="str">
        <f t="shared" si="0"/>
        <v>11</v>
      </c>
    </row>
    <row r="32" spans="1:9" outlineLevel="2" x14ac:dyDescent="0.35">
      <c r="A32" t="s">
        <v>254</v>
      </c>
      <c r="B32" t="s">
        <v>8</v>
      </c>
      <c r="C32">
        <v>1</v>
      </c>
      <c r="D32" s="3">
        <v>41.91</v>
      </c>
      <c r="E32" s="3">
        <v>41.91</v>
      </c>
      <c r="F32" s="5">
        <v>45414</v>
      </c>
      <c r="G32" t="str">
        <f>TEXT(F32,"MMM")</f>
        <v>May</v>
      </c>
      <c r="H32" t="str">
        <f>TEXT(F32,"YYYY")</f>
        <v>2024</v>
      </c>
      <c r="I32" t="str">
        <f t="shared" si="0"/>
        <v>02</v>
      </c>
    </row>
    <row r="33" spans="1:9" outlineLevel="2" x14ac:dyDescent="0.35">
      <c r="A33" t="s">
        <v>254</v>
      </c>
      <c r="B33" t="s">
        <v>48</v>
      </c>
      <c r="C33">
        <v>2</v>
      </c>
      <c r="D33" s="3">
        <v>34.9</v>
      </c>
      <c r="E33" s="3">
        <v>66.31</v>
      </c>
      <c r="F33" s="5">
        <v>45418</v>
      </c>
      <c r="G33" t="str">
        <f>TEXT(F33,"MMM")</f>
        <v>May</v>
      </c>
      <c r="H33" t="str">
        <f>TEXT(F33,"YYYY")</f>
        <v>2024</v>
      </c>
      <c r="I33" t="str">
        <f t="shared" si="0"/>
        <v>06</v>
      </c>
    </row>
    <row r="34" spans="1:9" outlineLevel="2" x14ac:dyDescent="0.35">
      <c r="A34" t="s">
        <v>633</v>
      </c>
      <c r="B34" t="s">
        <v>79</v>
      </c>
      <c r="C34">
        <v>3</v>
      </c>
      <c r="D34" s="3">
        <v>12.56</v>
      </c>
      <c r="E34" s="3">
        <v>37.68</v>
      </c>
      <c r="F34" s="5">
        <v>45432</v>
      </c>
      <c r="G34" t="str">
        <f>TEXT(F34,"MMM")</f>
        <v>May</v>
      </c>
      <c r="H34" t="str">
        <f>TEXT(F34,"YYYY")</f>
        <v>2024</v>
      </c>
      <c r="I34" t="str">
        <f t="shared" si="0"/>
        <v>20</v>
      </c>
    </row>
    <row r="35" spans="1:9" outlineLevel="2" x14ac:dyDescent="0.35">
      <c r="A35" t="s">
        <v>633</v>
      </c>
      <c r="B35" t="s">
        <v>14</v>
      </c>
      <c r="C35">
        <v>3</v>
      </c>
      <c r="D35" s="3">
        <v>28.78</v>
      </c>
      <c r="E35" s="3">
        <v>77.709999999999994</v>
      </c>
      <c r="F35" s="5">
        <v>45428</v>
      </c>
      <c r="G35" t="str">
        <f>TEXT(F35,"MMM")</f>
        <v>May</v>
      </c>
      <c r="H35" t="str">
        <f>TEXT(F35,"YYYY")</f>
        <v>2024</v>
      </c>
      <c r="I35" t="str">
        <f t="shared" si="0"/>
        <v>16</v>
      </c>
    </row>
    <row r="36" spans="1:9" outlineLevel="2" x14ac:dyDescent="0.35">
      <c r="A36" t="s">
        <v>681</v>
      </c>
      <c r="B36" t="s">
        <v>43</v>
      </c>
      <c r="C36">
        <v>12</v>
      </c>
      <c r="D36" s="3">
        <v>19.670000000000002</v>
      </c>
      <c r="E36" s="3">
        <v>236.04</v>
      </c>
      <c r="F36" s="5">
        <v>45424</v>
      </c>
      <c r="G36" t="str">
        <f>TEXT(F36,"MMM")</f>
        <v>May</v>
      </c>
      <c r="H36" t="str">
        <f>TEXT(F36,"YYYY")</f>
        <v>2024</v>
      </c>
      <c r="I36" t="str">
        <f t="shared" si="0"/>
        <v>12</v>
      </c>
    </row>
    <row r="37" spans="1:9" outlineLevel="2" x14ac:dyDescent="0.35">
      <c r="A37" t="s">
        <v>696</v>
      </c>
      <c r="B37" t="s">
        <v>79</v>
      </c>
      <c r="C37">
        <v>1</v>
      </c>
      <c r="D37" s="3">
        <v>41.22</v>
      </c>
      <c r="E37" s="3">
        <v>41.22</v>
      </c>
      <c r="F37" s="5">
        <v>45436</v>
      </c>
      <c r="G37" t="str">
        <f>TEXT(F37,"MMM")</f>
        <v>May</v>
      </c>
      <c r="H37" t="str">
        <f>TEXT(F37,"YYYY")</f>
        <v>2024</v>
      </c>
      <c r="I37" t="str">
        <f t="shared" si="0"/>
        <v>24</v>
      </c>
    </row>
    <row r="38" spans="1:9" outlineLevel="2" x14ac:dyDescent="0.35">
      <c r="A38" t="s">
        <v>696</v>
      </c>
      <c r="B38" t="s">
        <v>8</v>
      </c>
      <c r="C38">
        <v>10</v>
      </c>
      <c r="D38" s="3">
        <v>43.92</v>
      </c>
      <c r="E38" s="3">
        <v>417.24</v>
      </c>
      <c r="F38" s="5">
        <v>45437</v>
      </c>
      <c r="G38" t="str">
        <f>TEXT(F38,"MMM")</f>
        <v>May</v>
      </c>
      <c r="H38" t="str">
        <f>TEXT(F38,"YYYY")</f>
        <v>2024</v>
      </c>
      <c r="I38" t="str">
        <f t="shared" si="0"/>
        <v>25</v>
      </c>
    </row>
    <row r="39" spans="1:9" outlineLevel="2" x14ac:dyDescent="0.35">
      <c r="A39" t="s">
        <v>637</v>
      </c>
      <c r="B39" t="s">
        <v>29</v>
      </c>
      <c r="C39">
        <v>3</v>
      </c>
      <c r="D39" s="3">
        <v>36.119999999999997</v>
      </c>
      <c r="E39" s="3">
        <v>108.36</v>
      </c>
      <c r="F39" s="5">
        <v>45435</v>
      </c>
      <c r="G39" t="str">
        <f>TEXT(F39,"MMM")</f>
        <v>May</v>
      </c>
      <c r="H39" t="str">
        <f>TEXT(F39,"YYYY")</f>
        <v>2024</v>
      </c>
      <c r="I39" t="str">
        <f t="shared" si="0"/>
        <v>23</v>
      </c>
    </row>
    <row r="40" spans="1:9" outlineLevel="2" x14ac:dyDescent="0.35">
      <c r="A40" t="s">
        <v>637</v>
      </c>
      <c r="B40" t="s">
        <v>48</v>
      </c>
      <c r="C40">
        <v>1</v>
      </c>
      <c r="D40" s="3">
        <v>18.7</v>
      </c>
      <c r="E40" s="3">
        <v>17.760000000000002</v>
      </c>
      <c r="F40" s="5">
        <v>45423</v>
      </c>
      <c r="G40" t="str">
        <f>TEXT(F40,"MMM")</f>
        <v>May</v>
      </c>
      <c r="H40" t="str">
        <f>TEXT(F40,"YYYY")</f>
        <v>2024</v>
      </c>
      <c r="I40" t="str">
        <f t="shared" si="0"/>
        <v>11</v>
      </c>
    </row>
    <row r="41" spans="1:9" outlineLevel="2" x14ac:dyDescent="0.35">
      <c r="A41" t="s">
        <v>627</v>
      </c>
      <c r="B41" t="s">
        <v>29</v>
      </c>
      <c r="C41">
        <v>1</v>
      </c>
      <c r="D41" s="3">
        <v>44.64</v>
      </c>
      <c r="E41" s="3">
        <v>42.41</v>
      </c>
      <c r="F41" s="5">
        <v>45432</v>
      </c>
      <c r="G41" t="str">
        <f>TEXT(F41,"MMM")</f>
        <v>May</v>
      </c>
      <c r="H41" t="str">
        <f>TEXT(F41,"YYYY")</f>
        <v>2024</v>
      </c>
      <c r="I41" t="str">
        <f t="shared" si="0"/>
        <v>20</v>
      </c>
    </row>
    <row r="42" spans="1:9" outlineLevel="2" x14ac:dyDescent="0.35">
      <c r="A42" t="s">
        <v>627</v>
      </c>
      <c r="B42" t="s">
        <v>48</v>
      </c>
      <c r="C42">
        <v>1</v>
      </c>
      <c r="D42" s="3">
        <v>34.9</v>
      </c>
      <c r="E42" s="3">
        <v>31.41</v>
      </c>
      <c r="F42" s="5">
        <v>45440</v>
      </c>
      <c r="G42" t="str">
        <f>TEXT(F42,"MMM")</f>
        <v>May</v>
      </c>
      <c r="H42" t="str">
        <f>TEXT(F42,"YYYY")</f>
        <v>2024</v>
      </c>
      <c r="I42" t="str">
        <f t="shared" si="0"/>
        <v>28</v>
      </c>
    </row>
    <row r="43" spans="1:9" outlineLevel="2" x14ac:dyDescent="0.35">
      <c r="A43" t="s">
        <v>627</v>
      </c>
      <c r="B43" t="s">
        <v>48</v>
      </c>
      <c r="C43">
        <v>10</v>
      </c>
      <c r="D43" s="3">
        <v>34.9</v>
      </c>
      <c r="E43" s="3">
        <v>314.10000000000002</v>
      </c>
      <c r="F43" s="5">
        <v>45413</v>
      </c>
      <c r="G43" t="str">
        <f>TEXT(F43,"MMM")</f>
        <v>May</v>
      </c>
      <c r="H43" t="str">
        <f>TEXT(F43,"YYYY")</f>
        <v>2024</v>
      </c>
      <c r="I43" t="str">
        <f t="shared" si="0"/>
        <v>01</v>
      </c>
    </row>
    <row r="44" spans="1:9" outlineLevel="2" x14ac:dyDescent="0.35">
      <c r="A44" t="s">
        <v>627</v>
      </c>
      <c r="B44" t="s">
        <v>43</v>
      </c>
      <c r="C44">
        <v>20</v>
      </c>
      <c r="D44" s="3">
        <v>40.54</v>
      </c>
      <c r="E44" s="3">
        <v>689.18</v>
      </c>
      <c r="F44" s="5">
        <v>45420</v>
      </c>
      <c r="G44" t="str">
        <f>TEXT(F44,"MMM")</f>
        <v>May</v>
      </c>
      <c r="H44" t="str">
        <f>TEXT(F44,"YYYY")</f>
        <v>2024</v>
      </c>
      <c r="I44" t="str">
        <f t="shared" si="0"/>
        <v>08</v>
      </c>
    </row>
    <row r="45" spans="1:9" outlineLevel="2" x14ac:dyDescent="0.35">
      <c r="A45" t="s">
        <v>254</v>
      </c>
      <c r="B45" t="s">
        <v>48</v>
      </c>
      <c r="C45">
        <v>1</v>
      </c>
      <c r="D45" s="3">
        <v>36.450000000000003</v>
      </c>
      <c r="E45" s="3">
        <v>30.98</v>
      </c>
      <c r="F45" s="5">
        <v>45460</v>
      </c>
      <c r="G45" t="str">
        <f>TEXT(F45,"MMM")</f>
        <v>Jun</v>
      </c>
      <c r="H45" t="str">
        <f>TEXT(F45,"YYYY")</f>
        <v>2024</v>
      </c>
      <c r="I45" t="str">
        <f t="shared" si="0"/>
        <v>17</v>
      </c>
    </row>
    <row r="46" spans="1:9" outlineLevel="2" x14ac:dyDescent="0.35">
      <c r="A46" t="s">
        <v>633</v>
      </c>
      <c r="B46" t="s">
        <v>48</v>
      </c>
      <c r="C46">
        <v>10</v>
      </c>
      <c r="D46" s="3">
        <v>67.239999999999995</v>
      </c>
      <c r="E46" s="3">
        <v>672.4</v>
      </c>
      <c r="F46" s="5">
        <v>45465</v>
      </c>
      <c r="G46" t="str">
        <f>TEXT(F46,"MMM")</f>
        <v>Jun</v>
      </c>
      <c r="H46" t="str">
        <f>TEXT(F46,"YYYY")</f>
        <v>2024</v>
      </c>
      <c r="I46" t="str">
        <f t="shared" si="0"/>
        <v>22</v>
      </c>
    </row>
    <row r="47" spans="1:9" outlineLevel="2" x14ac:dyDescent="0.35">
      <c r="A47" t="s">
        <v>633</v>
      </c>
      <c r="B47" t="s">
        <v>48</v>
      </c>
      <c r="C47">
        <v>1</v>
      </c>
      <c r="D47" s="3">
        <v>34.4</v>
      </c>
      <c r="E47" s="3">
        <v>30.96</v>
      </c>
      <c r="F47" s="5">
        <v>45462</v>
      </c>
      <c r="G47" t="str">
        <f>TEXT(F47,"MMM")</f>
        <v>Jun</v>
      </c>
      <c r="H47" t="str">
        <f>TEXT(F47,"YYYY")</f>
        <v>2024</v>
      </c>
      <c r="I47" t="str">
        <f t="shared" si="0"/>
        <v>19</v>
      </c>
    </row>
    <row r="48" spans="1:9" outlineLevel="2" x14ac:dyDescent="0.35">
      <c r="A48" t="s">
        <v>696</v>
      </c>
      <c r="B48" t="s">
        <v>38</v>
      </c>
      <c r="C48">
        <v>10</v>
      </c>
      <c r="D48" s="3">
        <v>58.73</v>
      </c>
      <c r="E48" s="3">
        <v>499.2</v>
      </c>
      <c r="F48" s="5">
        <v>45458</v>
      </c>
      <c r="G48" t="str">
        <f>TEXT(F48,"MMM")</f>
        <v>Jun</v>
      </c>
      <c r="H48" t="str">
        <f>TEXT(F48,"YYYY")</f>
        <v>2024</v>
      </c>
      <c r="I48" t="str">
        <f t="shared" si="0"/>
        <v>15</v>
      </c>
    </row>
    <row r="49" spans="1:9" outlineLevel="2" x14ac:dyDescent="0.35">
      <c r="A49" t="s">
        <v>696</v>
      </c>
      <c r="B49" t="s">
        <v>8</v>
      </c>
      <c r="C49">
        <v>5</v>
      </c>
      <c r="D49" s="3">
        <v>10.67</v>
      </c>
      <c r="E49" s="3">
        <v>53.35</v>
      </c>
      <c r="F49" s="5">
        <v>45452</v>
      </c>
      <c r="G49" t="str">
        <f>TEXT(F49,"MMM")</f>
        <v>Jun</v>
      </c>
      <c r="H49" t="str">
        <f>TEXT(F49,"YYYY")</f>
        <v>2024</v>
      </c>
      <c r="I49" t="str">
        <f t="shared" si="0"/>
        <v>09</v>
      </c>
    </row>
    <row r="50" spans="1:9" outlineLevel="2" x14ac:dyDescent="0.35">
      <c r="A50" t="s">
        <v>696</v>
      </c>
      <c r="B50" t="s">
        <v>20</v>
      </c>
      <c r="C50">
        <v>1</v>
      </c>
      <c r="D50" s="3">
        <v>28.07</v>
      </c>
      <c r="E50" s="3">
        <v>28.07</v>
      </c>
      <c r="F50" s="5">
        <v>45462</v>
      </c>
      <c r="G50" t="str">
        <f>TEXT(F50,"MMM")</f>
        <v>Jun</v>
      </c>
      <c r="H50" t="str">
        <f>TEXT(F50,"YYYY")</f>
        <v>2024</v>
      </c>
      <c r="I50" t="str">
        <f t="shared" si="0"/>
        <v>19</v>
      </c>
    </row>
    <row r="51" spans="1:9" outlineLevel="2" x14ac:dyDescent="0.35">
      <c r="A51" t="s">
        <v>627</v>
      </c>
      <c r="B51" t="s">
        <v>43</v>
      </c>
      <c r="C51">
        <v>3</v>
      </c>
      <c r="D51" s="3">
        <v>30.44</v>
      </c>
      <c r="E51" s="3">
        <v>91.32</v>
      </c>
      <c r="F51" s="5">
        <v>45455</v>
      </c>
      <c r="G51" t="str">
        <f>TEXT(F51,"MMM")</f>
        <v>Jun</v>
      </c>
      <c r="H51" t="str">
        <f>TEXT(F51,"YYYY")</f>
        <v>2024</v>
      </c>
      <c r="I51" t="str">
        <f t="shared" si="0"/>
        <v>12</v>
      </c>
    </row>
    <row r="52" spans="1:9" outlineLevel="2" x14ac:dyDescent="0.35">
      <c r="A52" t="s">
        <v>254</v>
      </c>
      <c r="B52" t="s">
        <v>79</v>
      </c>
      <c r="C52">
        <v>2</v>
      </c>
      <c r="D52" s="3">
        <v>19.66</v>
      </c>
      <c r="E52" s="3">
        <v>35.39</v>
      </c>
      <c r="F52" s="5">
        <v>45481</v>
      </c>
      <c r="G52" t="str">
        <f>TEXT(F52,"MMM")</f>
        <v>Jul</v>
      </c>
      <c r="H52" t="str">
        <f>TEXT(F52,"YYYY")</f>
        <v>2024</v>
      </c>
      <c r="I52" t="str">
        <f t="shared" si="0"/>
        <v>08</v>
      </c>
    </row>
    <row r="53" spans="1:9" outlineLevel="2" x14ac:dyDescent="0.35">
      <c r="A53" t="s">
        <v>254</v>
      </c>
      <c r="B53" t="s">
        <v>20</v>
      </c>
      <c r="C53">
        <v>2</v>
      </c>
      <c r="D53" s="3">
        <v>25.7</v>
      </c>
      <c r="E53" s="3">
        <v>51.4</v>
      </c>
      <c r="F53" s="5">
        <v>45497</v>
      </c>
      <c r="G53" t="str">
        <f>TEXT(F53,"MMM")</f>
        <v>Jul</v>
      </c>
      <c r="H53" t="str">
        <f>TEXT(F53,"YYYY")</f>
        <v>2024</v>
      </c>
      <c r="I53" t="str">
        <f t="shared" si="0"/>
        <v>24</v>
      </c>
    </row>
    <row r="54" spans="1:9" outlineLevel="2" x14ac:dyDescent="0.35">
      <c r="A54" t="s">
        <v>674</v>
      </c>
      <c r="B54" t="s">
        <v>14</v>
      </c>
      <c r="C54">
        <v>3</v>
      </c>
      <c r="D54" s="3">
        <v>28.78</v>
      </c>
      <c r="E54" s="3">
        <v>73.39</v>
      </c>
      <c r="F54" s="5">
        <v>45489</v>
      </c>
      <c r="G54" t="str">
        <f>TEXT(F54,"MMM")</f>
        <v>Jul</v>
      </c>
      <c r="H54" t="str">
        <f>TEXT(F54,"YYYY")</f>
        <v>2024</v>
      </c>
      <c r="I54" t="str">
        <f t="shared" si="0"/>
        <v>16</v>
      </c>
    </row>
    <row r="55" spans="1:9" outlineLevel="2" x14ac:dyDescent="0.35">
      <c r="A55" t="s">
        <v>674</v>
      </c>
      <c r="B55" t="s">
        <v>8</v>
      </c>
      <c r="C55">
        <v>1</v>
      </c>
      <c r="D55" s="3">
        <v>28.42</v>
      </c>
      <c r="E55" s="3">
        <v>28.42</v>
      </c>
      <c r="F55" s="5">
        <v>45486</v>
      </c>
      <c r="G55" t="str">
        <f>TEXT(F55,"MMM")</f>
        <v>Jul</v>
      </c>
      <c r="H55" t="str">
        <f>TEXT(F55,"YYYY")</f>
        <v>2024</v>
      </c>
      <c r="I55" t="str">
        <f t="shared" si="0"/>
        <v>13</v>
      </c>
    </row>
    <row r="56" spans="1:9" outlineLevel="2" x14ac:dyDescent="0.35">
      <c r="A56" t="s">
        <v>633</v>
      </c>
      <c r="B56" t="s">
        <v>48</v>
      </c>
      <c r="C56">
        <v>10</v>
      </c>
      <c r="D56" s="3">
        <v>28.17</v>
      </c>
      <c r="E56" s="3">
        <v>253.53</v>
      </c>
      <c r="F56" s="5">
        <v>45474</v>
      </c>
      <c r="G56" t="str">
        <f>TEXT(F56,"MMM")</f>
        <v>Jul</v>
      </c>
      <c r="H56" t="str">
        <f>TEXT(F56,"YYYY")</f>
        <v>2024</v>
      </c>
      <c r="I56" t="str">
        <f t="shared" si="0"/>
        <v>01</v>
      </c>
    </row>
    <row r="57" spans="1:9" outlineLevel="2" x14ac:dyDescent="0.35">
      <c r="A57" t="s">
        <v>633</v>
      </c>
      <c r="B57" t="s">
        <v>43</v>
      </c>
      <c r="C57">
        <v>3</v>
      </c>
      <c r="D57" s="3">
        <v>86.54</v>
      </c>
      <c r="E57" s="3">
        <v>233.66</v>
      </c>
      <c r="F57" s="5">
        <v>45500</v>
      </c>
      <c r="G57" t="str">
        <f>TEXT(F57,"MMM")</f>
        <v>Jul</v>
      </c>
      <c r="H57" t="str">
        <f>TEXT(F57,"YYYY")</f>
        <v>2024</v>
      </c>
      <c r="I57" t="str">
        <f t="shared" si="0"/>
        <v>27</v>
      </c>
    </row>
    <row r="58" spans="1:9" outlineLevel="2" x14ac:dyDescent="0.35">
      <c r="A58" t="s">
        <v>637</v>
      </c>
      <c r="B58" t="s">
        <v>8</v>
      </c>
      <c r="C58">
        <v>5</v>
      </c>
      <c r="D58" s="3">
        <v>133.13</v>
      </c>
      <c r="E58" s="3">
        <v>565.79999999999995</v>
      </c>
      <c r="F58" s="5">
        <v>45479</v>
      </c>
      <c r="G58" t="str">
        <f>TEXT(F58,"MMM")</f>
        <v>Jul</v>
      </c>
      <c r="H58" t="str">
        <f>TEXT(F58,"YYYY")</f>
        <v>2024</v>
      </c>
      <c r="I58" t="str">
        <f t="shared" si="0"/>
        <v>06</v>
      </c>
    </row>
    <row r="59" spans="1:9" outlineLevel="2" x14ac:dyDescent="0.35">
      <c r="A59" t="s">
        <v>637</v>
      </c>
      <c r="B59" t="s">
        <v>20</v>
      </c>
      <c r="C59">
        <v>10</v>
      </c>
      <c r="D59" s="3">
        <v>11.1</v>
      </c>
      <c r="E59" s="3">
        <v>94.35</v>
      </c>
      <c r="F59" s="5">
        <v>45477</v>
      </c>
      <c r="G59" t="str">
        <f>TEXT(F59,"MMM")</f>
        <v>Jul</v>
      </c>
      <c r="H59" t="str">
        <f>TEXT(F59,"YYYY")</f>
        <v>2024</v>
      </c>
      <c r="I59" t="str">
        <f t="shared" si="0"/>
        <v>04</v>
      </c>
    </row>
    <row r="60" spans="1:9" outlineLevel="2" x14ac:dyDescent="0.35">
      <c r="A60" t="s">
        <v>254</v>
      </c>
      <c r="B60" t="s">
        <v>8</v>
      </c>
      <c r="C60">
        <v>20</v>
      </c>
      <c r="D60" s="3">
        <v>28.42</v>
      </c>
      <c r="E60" s="3">
        <v>511.56</v>
      </c>
      <c r="F60" s="5">
        <v>45523</v>
      </c>
      <c r="G60" t="str">
        <f>TEXT(F60,"MMM")</f>
        <v>Aug</v>
      </c>
      <c r="H60" t="str">
        <f>TEXT(F60,"YYYY")</f>
        <v>2024</v>
      </c>
      <c r="I60" t="str">
        <f t="shared" si="0"/>
        <v>19</v>
      </c>
    </row>
    <row r="61" spans="1:9" outlineLevel="2" x14ac:dyDescent="0.35">
      <c r="A61" t="s">
        <v>674</v>
      </c>
      <c r="B61" t="s">
        <v>20</v>
      </c>
      <c r="C61">
        <v>5</v>
      </c>
      <c r="D61" s="3">
        <v>74.66</v>
      </c>
      <c r="E61" s="3">
        <v>373.3</v>
      </c>
      <c r="F61" s="5">
        <v>45508</v>
      </c>
      <c r="G61" t="str">
        <f>TEXT(F61,"MMM")</f>
        <v>Aug</v>
      </c>
      <c r="H61" t="str">
        <f>TEXT(F61,"YYYY")</f>
        <v>2024</v>
      </c>
      <c r="I61" t="str">
        <f t="shared" si="0"/>
        <v>04</v>
      </c>
    </row>
    <row r="62" spans="1:9" outlineLevel="2" x14ac:dyDescent="0.35">
      <c r="A62" t="s">
        <v>681</v>
      </c>
      <c r="B62" t="s">
        <v>29</v>
      </c>
      <c r="C62">
        <v>12</v>
      </c>
      <c r="D62" s="3">
        <v>44.64</v>
      </c>
      <c r="E62" s="3">
        <v>482.11</v>
      </c>
      <c r="F62" s="5">
        <v>45512</v>
      </c>
      <c r="G62" t="str">
        <f>TEXT(F62,"MMM")</f>
        <v>Aug</v>
      </c>
      <c r="H62" t="str">
        <f>TEXT(F62,"YYYY")</f>
        <v>2024</v>
      </c>
      <c r="I62" t="str">
        <f t="shared" si="0"/>
        <v>08</v>
      </c>
    </row>
    <row r="63" spans="1:9" outlineLevel="2" x14ac:dyDescent="0.35">
      <c r="A63" t="s">
        <v>696</v>
      </c>
      <c r="B63" t="s">
        <v>14</v>
      </c>
      <c r="C63">
        <v>2</v>
      </c>
      <c r="D63" s="3">
        <v>59.64</v>
      </c>
      <c r="E63" s="3">
        <v>107.35</v>
      </c>
      <c r="F63" s="5">
        <v>45511</v>
      </c>
      <c r="G63" t="str">
        <f>TEXT(F63,"MMM")</f>
        <v>Aug</v>
      </c>
      <c r="H63" t="str">
        <f>TEXT(F63,"YYYY")</f>
        <v>2024</v>
      </c>
      <c r="I63" t="str">
        <f t="shared" si="0"/>
        <v>07</v>
      </c>
    </row>
    <row r="64" spans="1:9" outlineLevel="2" x14ac:dyDescent="0.35">
      <c r="A64" t="s">
        <v>637</v>
      </c>
      <c r="B64" t="s">
        <v>14</v>
      </c>
      <c r="C64">
        <v>2</v>
      </c>
      <c r="D64" s="3">
        <v>39.64</v>
      </c>
      <c r="E64" s="3">
        <v>79.28</v>
      </c>
      <c r="F64" s="5">
        <v>45506</v>
      </c>
      <c r="G64" t="str">
        <f>TEXT(F64,"MMM")</f>
        <v>Aug</v>
      </c>
      <c r="H64" t="str">
        <f>TEXT(F64,"YYYY")</f>
        <v>2024</v>
      </c>
      <c r="I64" t="str">
        <f t="shared" si="0"/>
        <v>02</v>
      </c>
    </row>
    <row r="65" spans="1:9" outlineLevel="2" x14ac:dyDescent="0.35">
      <c r="A65" t="s">
        <v>627</v>
      </c>
      <c r="B65" t="s">
        <v>8</v>
      </c>
      <c r="C65">
        <v>1</v>
      </c>
      <c r="D65" s="3">
        <v>10.67</v>
      </c>
      <c r="E65" s="3">
        <v>9.07</v>
      </c>
      <c r="F65" s="5">
        <v>45505</v>
      </c>
      <c r="G65" t="str">
        <f>TEXT(F65,"MMM")</f>
        <v>Aug</v>
      </c>
      <c r="H65" t="str">
        <f>TEXT(F65,"YYYY")</f>
        <v>2024</v>
      </c>
      <c r="I65" t="str">
        <f t="shared" si="0"/>
        <v>01</v>
      </c>
    </row>
    <row r="66" spans="1:9" outlineLevel="2" x14ac:dyDescent="0.35">
      <c r="A66" t="s">
        <v>633</v>
      </c>
      <c r="B66" t="s">
        <v>79</v>
      </c>
      <c r="C66">
        <v>3</v>
      </c>
      <c r="D66" s="3">
        <v>17.14</v>
      </c>
      <c r="E66" s="3">
        <v>46.28</v>
      </c>
      <c r="F66" s="5">
        <v>45557</v>
      </c>
      <c r="G66" t="str">
        <f>TEXT(F66,"MMM")</f>
        <v>Sep</v>
      </c>
      <c r="H66" t="str">
        <f>TEXT(F66,"YYYY")</f>
        <v>2024</v>
      </c>
      <c r="I66" t="str">
        <f t="shared" si="0"/>
        <v>22</v>
      </c>
    </row>
    <row r="67" spans="1:9" outlineLevel="2" x14ac:dyDescent="0.35">
      <c r="A67" t="s">
        <v>681</v>
      </c>
      <c r="B67" t="s">
        <v>20</v>
      </c>
      <c r="C67">
        <v>5</v>
      </c>
      <c r="D67" s="3">
        <v>28.07</v>
      </c>
      <c r="E67" s="3">
        <v>140.35</v>
      </c>
      <c r="F67" s="5">
        <v>45564</v>
      </c>
      <c r="G67" t="str">
        <f>TEXT(F67,"MMM")</f>
        <v>Sep</v>
      </c>
      <c r="H67" t="str">
        <f>TEXT(F67,"YYYY")</f>
        <v>2024</v>
      </c>
      <c r="I67" t="str">
        <f t="shared" ref="I67:I130" si="1">TEXT(F67,"DD")</f>
        <v>29</v>
      </c>
    </row>
    <row r="68" spans="1:9" outlineLevel="2" x14ac:dyDescent="0.35">
      <c r="A68" t="s">
        <v>627</v>
      </c>
      <c r="B68" t="s">
        <v>14</v>
      </c>
      <c r="C68">
        <v>2</v>
      </c>
      <c r="D68" s="3">
        <v>28.78</v>
      </c>
      <c r="E68" s="3">
        <v>51.8</v>
      </c>
      <c r="F68" s="5">
        <v>45547</v>
      </c>
      <c r="G68" t="str">
        <f>TEXT(F68,"MMM")</f>
        <v>Sep</v>
      </c>
      <c r="H68" t="str">
        <f>TEXT(F68,"YYYY")</f>
        <v>2024</v>
      </c>
      <c r="I68" t="str">
        <f t="shared" si="1"/>
        <v>12</v>
      </c>
    </row>
    <row r="69" spans="1:9" outlineLevel="2" x14ac:dyDescent="0.35">
      <c r="A69" t="s">
        <v>627</v>
      </c>
      <c r="B69" t="s">
        <v>43</v>
      </c>
      <c r="C69">
        <v>5</v>
      </c>
      <c r="D69" s="3">
        <v>79.650000000000006</v>
      </c>
      <c r="E69" s="3">
        <v>398.25</v>
      </c>
      <c r="F69" s="5">
        <v>45539</v>
      </c>
      <c r="G69" t="str">
        <f>TEXT(F69,"MMM")</f>
        <v>Sep</v>
      </c>
      <c r="H69" t="str">
        <f>TEXT(F69,"YYYY")</f>
        <v>2024</v>
      </c>
      <c r="I69" t="str">
        <f t="shared" si="1"/>
        <v>04</v>
      </c>
    </row>
    <row r="70" spans="1:9" outlineLevel="2" x14ac:dyDescent="0.35">
      <c r="A70" t="s">
        <v>254</v>
      </c>
      <c r="B70" t="s">
        <v>14</v>
      </c>
      <c r="C70">
        <v>1</v>
      </c>
      <c r="D70" s="3">
        <v>28.78</v>
      </c>
      <c r="E70" s="3">
        <v>27.34</v>
      </c>
      <c r="F70" s="5">
        <v>45588</v>
      </c>
      <c r="G70" t="str">
        <f>TEXT(F70,"MMM")</f>
        <v>Oct</v>
      </c>
      <c r="H70" t="str">
        <f>TEXT(F70,"YYYY")</f>
        <v>2024</v>
      </c>
      <c r="I70" t="str">
        <f t="shared" si="1"/>
        <v>23</v>
      </c>
    </row>
    <row r="71" spans="1:9" outlineLevel="2" x14ac:dyDescent="0.35">
      <c r="A71" t="s">
        <v>674</v>
      </c>
      <c r="B71" t="s">
        <v>8</v>
      </c>
      <c r="C71">
        <v>3</v>
      </c>
      <c r="D71" s="3">
        <v>28.77</v>
      </c>
      <c r="E71" s="3">
        <v>77.680000000000007</v>
      </c>
      <c r="F71" s="5">
        <v>45573</v>
      </c>
      <c r="G71" t="str">
        <f>TEXT(F71,"MMM")</f>
        <v>Oct</v>
      </c>
      <c r="H71" t="str">
        <f>TEXT(F71,"YYYY")</f>
        <v>2024</v>
      </c>
      <c r="I71" t="str">
        <f t="shared" si="1"/>
        <v>08</v>
      </c>
    </row>
    <row r="72" spans="1:9" outlineLevel="2" x14ac:dyDescent="0.35">
      <c r="A72" t="s">
        <v>674</v>
      </c>
      <c r="B72" t="s">
        <v>43</v>
      </c>
      <c r="C72">
        <v>3</v>
      </c>
      <c r="D72" s="3">
        <v>39.68</v>
      </c>
      <c r="E72" s="3">
        <v>101.18</v>
      </c>
      <c r="F72" s="5">
        <v>45586</v>
      </c>
      <c r="G72" t="str">
        <f>TEXT(F72,"MMM")</f>
        <v>Oct</v>
      </c>
      <c r="H72" t="str">
        <f>TEXT(F72,"YYYY")</f>
        <v>2024</v>
      </c>
      <c r="I72" t="str">
        <f t="shared" si="1"/>
        <v>21</v>
      </c>
    </row>
    <row r="73" spans="1:9" outlineLevel="2" x14ac:dyDescent="0.35">
      <c r="A73" t="s">
        <v>681</v>
      </c>
      <c r="B73" t="s">
        <v>14</v>
      </c>
      <c r="C73">
        <v>10</v>
      </c>
      <c r="D73" s="3">
        <v>50.79</v>
      </c>
      <c r="E73" s="3">
        <v>431.71</v>
      </c>
      <c r="F73" s="5">
        <v>45583</v>
      </c>
      <c r="G73" t="str">
        <f>TEXT(F73,"MMM")</f>
        <v>Oct</v>
      </c>
      <c r="H73" t="str">
        <f>TEXT(F73,"YYYY")</f>
        <v>2024</v>
      </c>
      <c r="I73" t="str">
        <f t="shared" si="1"/>
        <v>18</v>
      </c>
    </row>
    <row r="74" spans="1:9" outlineLevel="2" x14ac:dyDescent="0.35">
      <c r="A74" t="s">
        <v>681</v>
      </c>
      <c r="B74" t="s">
        <v>48</v>
      </c>
      <c r="C74">
        <v>5</v>
      </c>
      <c r="D74" s="3">
        <v>28.17</v>
      </c>
      <c r="E74" s="3">
        <v>140.85</v>
      </c>
      <c r="F74" s="5">
        <v>45590</v>
      </c>
      <c r="G74" t="str">
        <f>TEXT(F74,"MMM")</f>
        <v>Oct</v>
      </c>
      <c r="H74" t="str">
        <f>TEXT(F74,"YYYY")</f>
        <v>2024</v>
      </c>
      <c r="I74" t="str">
        <f t="shared" si="1"/>
        <v>25</v>
      </c>
    </row>
    <row r="75" spans="1:9" outlineLevel="2" x14ac:dyDescent="0.35">
      <c r="A75" t="s">
        <v>681</v>
      </c>
      <c r="B75" t="s">
        <v>20</v>
      </c>
      <c r="C75">
        <v>10</v>
      </c>
      <c r="D75" s="3">
        <v>29.18</v>
      </c>
      <c r="E75" s="3">
        <v>262.62</v>
      </c>
      <c r="F75" s="5">
        <v>45591</v>
      </c>
      <c r="G75" t="str">
        <f>TEXT(F75,"MMM")</f>
        <v>Oct</v>
      </c>
      <c r="H75" t="str">
        <f>TEXT(F75,"YYYY")</f>
        <v>2024</v>
      </c>
      <c r="I75" t="str">
        <f t="shared" si="1"/>
        <v>26</v>
      </c>
    </row>
    <row r="76" spans="1:9" outlineLevel="2" x14ac:dyDescent="0.35">
      <c r="A76" t="s">
        <v>696</v>
      </c>
      <c r="B76" t="s">
        <v>14</v>
      </c>
      <c r="C76">
        <v>3</v>
      </c>
      <c r="D76" s="3">
        <v>26.07</v>
      </c>
      <c r="E76" s="3">
        <v>70.39</v>
      </c>
      <c r="F76" s="5">
        <v>45577</v>
      </c>
      <c r="G76" t="str">
        <f>TEXT(F76,"MMM")</f>
        <v>Oct</v>
      </c>
      <c r="H76" t="str">
        <f>TEXT(F76,"YYYY")</f>
        <v>2024</v>
      </c>
      <c r="I76" t="str">
        <f t="shared" si="1"/>
        <v>12</v>
      </c>
    </row>
    <row r="77" spans="1:9" outlineLevel="2" x14ac:dyDescent="0.35">
      <c r="A77" t="s">
        <v>696</v>
      </c>
      <c r="B77" t="s">
        <v>48</v>
      </c>
      <c r="C77">
        <v>10</v>
      </c>
      <c r="D77" s="3">
        <v>72.510000000000005</v>
      </c>
      <c r="E77" s="3">
        <v>725.1</v>
      </c>
      <c r="F77" s="5">
        <v>45585</v>
      </c>
      <c r="G77" t="str">
        <f>TEXT(F77,"MMM")</f>
        <v>Oct</v>
      </c>
      <c r="H77" t="str">
        <f>TEXT(F77,"YYYY")</f>
        <v>2024</v>
      </c>
      <c r="I77" t="str">
        <f t="shared" si="1"/>
        <v>20</v>
      </c>
    </row>
    <row r="78" spans="1:9" outlineLevel="2" x14ac:dyDescent="0.35">
      <c r="A78" t="s">
        <v>627</v>
      </c>
      <c r="B78" t="s">
        <v>8</v>
      </c>
      <c r="C78">
        <v>3</v>
      </c>
      <c r="D78" s="3">
        <v>28.23</v>
      </c>
      <c r="E78" s="3">
        <v>71.989999999999995</v>
      </c>
      <c r="F78" s="5">
        <v>45579</v>
      </c>
      <c r="G78" t="str">
        <f>TEXT(F78,"MMM")</f>
        <v>Oct</v>
      </c>
      <c r="H78" t="str">
        <f>TEXT(F78,"YYYY")</f>
        <v>2024</v>
      </c>
      <c r="I78" t="str">
        <f t="shared" si="1"/>
        <v>14</v>
      </c>
    </row>
    <row r="79" spans="1:9" outlineLevel="2" x14ac:dyDescent="0.35">
      <c r="A79" t="s">
        <v>627</v>
      </c>
      <c r="B79" t="s">
        <v>48</v>
      </c>
      <c r="C79">
        <v>20</v>
      </c>
      <c r="D79" s="3">
        <v>38.909999999999997</v>
      </c>
      <c r="E79" s="3">
        <v>778.2</v>
      </c>
      <c r="F79" s="5">
        <v>45580</v>
      </c>
      <c r="G79" t="str">
        <f>TEXT(F79,"MMM")</f>
        <v>Oct</v>
      </c>
      <c r="H79" t="str">
        <f>TEXT(F79,"YYYY")</f>
        <v>2024</v>
      </c>
      <c r="I79" t="str">
        <f t="shared" si="1"/>
        <v>15</v>
      </c>
    </row>
    <row r="80" spans="1:9" outlineLevel="2" x14ac:dyDescent="0.35">
      <c r="A80" t="s">
        <v>627</v>
      </c>
      <c r="B80" t="s">
        <v>43</v>
      </c>
      <c r="C80">
        <v>1</v>
      </c>
      <c r="D80" s="3">
        <v>15.13</v>
      </c>
      <c r="E80" s="3">
        <v>14.37</v>
      </c>
      <c r="F80" s="5">
        <v>45592</v>
      </c>
      <c r="G80" t="str">
        <f>TEXT(F80,"MMM")</f>
        <v>Oct</v>
      </c>
      <c r="H80" t="str">
        <f>TEXT(F80,"YYYY")</f>
        <v>2024</v>
      </c>
      <c r="I80" t="str">
        <f t="shared" si="1"/>
        <v>27</v>
      </c>
    </row>
    <row r="81" spans="1:9" outlineLevel="2" x14ac:dyDescent="0.35">
      <c r="A81" t="s">
        <v>254</v>
      </c>
      <c r="B81" t="s">
        <v>8</v>
      </c>
      <c r="C81">
        <v>5</v>
      </c>
      <c r="D81" s="3">
        <v>41.91</v>
      </c>
      <c r="E81" s="3">
        <v>178.12</v>
      </c>
      <c r="F81" s="5">
        <v>45603</v>
      </c>
      <c r="G81" t="str">
        <f>TEXT(F81,"MMM")</f>
        <v>Nov</v>
      </c>
      <c r="H81" t="str">
        <f>TEXT(F81,"YYYY")</f>
        <v>2024</v>
      </c>
      <c r="I81" t="str">
        <f t="shared" si="1"/>
        <v>07</v>
      </c>
    </row>
    <row r="82" spans="1:9" outlineLevel="2" x14ac:dyDescent="0.35">
      <c r="A82" t="s">
        <v>254</v>
      </c>
      <c r="B82" t="s">
        <v>48</v>
      </c>
      <c r="C82">
        <v>2</v>
      </c>
      <c r="D82" s="3">
        <v>18.7</v>
      </c>
      <c r="E82" s="3">
        <v>35.53</v>
      </c>
      <c r="F82" s="5">
        <v>45608</v>
      </c>
      <c r="G82" t="str">
        <f>TEXT(F82,"MMM")</f>
        <v>Nov</v>
      </c>
      <c r="H82" t="str">
        <f>TEXT(F82,"YYYY")</f>
        <v>2024</v>
      </c>
      <c r="I82" t="str">
        <f t="shared" si="1"/>
        <v>12</v>
      </c>
    </row>
    <row r="83" spans="1:9" outlineLevel="2" x14ac:dyDescent="0.35">
      <c r="A83" t="s">
        <v>674</v>
      </c>
      <c r="B83" t="s">
        <v>20</v>
      </c>
      <c r="C83">
        <v>3</v>
      </c>
      <c r="D83" s="3">
        <v>31.83</v>
      </c>
      <c r="E83" s="3">
        <v>95.49</v>
      </c>
      <c r="F83" s="5">
        <v>45598</v>
      </c>
      <c r="G83" t="str">
        <f>TEXT(F83,"MMM")</f>
        <v>Nov</v>
      </c>
      <c r="H83" t="str">
        <f>TEXT(F83,"YYYY")</f>
        <v>2024</v>
      </c>
      <c r="I83" t="str">
        <f t="shared" si="1"/>
        <v>02</v>
      </c>
    </row>
    <row r="84" spans="1:9" outlineLevel="2" x14ac:dyDescent="0.35">
      <c r="A84" t="s">
        <v>681</v>
      </c>
      <c r="B84" t="s">
        <v>14</v>
      </c>
      <c r="C84">
        <v>3</v>
      </c>
      <c r="D84" s="3">
        <v>27.33</v>
      </c>
      <c r="E84" s="3">
        <v>73.790000000000006</v>
      </c>
      <c r="F84" s="5">
        <v>45609</v>
      </c>
      <c r="G84" t="str">
        <f>TEXT(F84,"MMM")</f>
        <v>Nov</v>
      </c>
      <c r="H84" t="str">
        <f>TEXT(F84,"YYYY")</f>
        <v>2024</v>
      </c>
      <c r="I84" t="str">
        <f t="shared" si="1"/>
        <v>13</v>
      </c>
    </row>
    <row r="85" spans="1:9" outlineLevel="2" x14ac:dyDescent="0.35">
      <c r="A85" t="s">
        <v>681</v>
      </c>
      <c r="B85" t="s">
        <v>8</v>
      </c>
      <c r="C85">
        <v>1</v>
      </c>
      <c r="D85" s="3">
        <v>29.71</v>
      </c>
      <c r="E85" s="3">
        <v>29.71</v>
      </c>
      <c r="F85" s="5">
        <v>45625</v>
      </c>
      <c r="G85" t="str">
        <f>TEXT(F85,"MMM")</f>
        <v>Nov</v>
      </c>
      <c r="H85" t="str">
        <f>TEXT(F85,"YYYY")</f>
        <v>2024</v>
      </c>
      <c r="I85" t="str">
        <f t="shared" si="1"/>
        <v>29</v>
      </c>
    </row>
    <row r="86" spans="1:9" outlineLevel="2" x14ac:dyDescent="0.35">
      <c r="A86" t="s">
        <v>696</v>
      </c>
      <c r="B86" t="s">
        <v>38</v>
      </c>
      <c r="C86">
        <v>5</v>
      </c>
      <c r="D86" s="3">
        <v>25.83</v>
      </c>
      <c r="E86" s="3">
        <v>129.15</v>
      </c>
      <c r="F86" s="5">
        <v>45615</v>
      </c>
      <c r="G86" t="str">
        <f>TEXT(F86,"MMM")</f>
        <v>Nov</v>
      </c>
      <c r="H86" t="str">
        <f>TEXT(F86,"YYYY")</f>
        <v>2024</v>
      </c>
      <c r="I86" t="str">
        <f t="shared" si="1"/>
        <v>19</v>
      </c>
    </row>
    <row r="87" spans="1:9" outlineLevel="2" x14ac:dyDescent="0.35">
      <c r="A87" t="s">
        <v>627</v>
      </c>
      <c r="B87" t="s">
        <v>14</v>
      </c>
      <c r="C87">
        <v>20</v>
      </c>
      <c r="D87" s="3">
        <v>31.83</v>
      </c>
      <c r="E87" s="3">
        <v>541.11</v>
      </c>
      <c r="F87" s="5">
        <v>45599</v>
      </c>
      <c r="G87" t="str">
        <f>TEXT(F87,"MMM")</f>
        <v>Nov</v>
      </c>
      <c r="H87" t="str">
        <f>TEXT(F87,"YYYY")</f>
        <v>2024</v>
      </c>
      <c r="I87" t="str">
        <f t="shared" si="1"/>
        <v>03</v>
      </c>
    </row>
    <row r="88" spans="1:9" outlineLevel="2" x14ac:dyDescent="0.35">
      <c r="A88" t="s">
        <v>674</v>
      </c>
      <c r="B88" t="s">
        <v>8</v>
      </c>
      <c r="C88">
        <v>20</v>
      </c>
      <c r="D88" s="3">
        <v>40.99</v>
      </c>
      <c r="E88" s="3">
        <v>819.8</v>
      </c>
      <c r="F88" s="5">
        <v>45650</v>
      </c>
      <c r="G88" t="str">
        <f>TEXT(F88,"MMM")</f>
        <v>Dec</v>
      </c>
      <c r="H88" t="str">
        <f>TEXT(F88,"YYYY")</f>
        <v>2024</v>
      </c>
      <c r="I88" t="str">
        <f t="shared" si="1"/>
        <v>24</v>
      </c>
    </row>
    <row r="89" spans="1:9" outlineLevel="2" x14ac:dyDescent="0.35">
      <c r="A89" t="s">
        <v>633</v>
      </c>
      <c r="B89" t="s">
        <v>29</v>
      </c>
      <c r="C89">
        <v>10</v>
      </c>
      <c r="D89" s="3">
        <v>20.85</v>
      </c>
      <c r="E89" s="3">
        <v>177.22</v>
      </c>
      <c r="F89" s="5">
        <v>45656</v>
      </c>
      <c r="G89" t="str">
        <f>TEXT(F89,"MMM")</f>
        <v>Dec</v>
      </c>
      <c r="H89" t="str">
        <f>TEXT(F89,"YYYY")</f>
        <v>2024</v>
      </c>
      <c r="I89" t="str">
        <f t="shared" si="1"/>
        <v>30</v>
      </c>
    </row>
    <row r="90" spans="1:9" outlineLevel="2" x14ac:dyDescent="0.35">
      <c r="A90" t="s">
        <v>633</v>
      </c>
      <c r="B90" t="s">
        <v>79</v>
      </c>
      <c r="C90">
        <v>10</v>
      </c>
      <c r="D90" s="3">
        <v>41.22</v>
      </c>
      <c r="E90" s="3">
        <v>391.59</v>
      </c>
      <c r="F90" s="5">
        <v>45657</v>
      </c>
      <c r="G90" t="str">
        <f>TEXT(F90,"MMM")</f>
        <v>Dec</v>
      </c>
      <c r="H90" t="str">
        <f>TEXT(F90,"YYYY")</f>
        <v>2024</v>
      </c>
      <c r="I90" t="str">
        <f t="shared" si="1"/>
        <v>31</v>
      </c>
    </row>
    <row r="91" spans="1:9" outlineLevel="2" x14ac:dyDescent="0.35">
      <c r="A91" t="s">
        <v>637</v>
      </c>
      <c r="B91" t="s">
        <v>8</v>
      </c>
      <c r="C91">
        <v>10</v>
      </c>
      <c r="D91" s="3">
        <v>88.34</v>
      </c>
      <c r="E91" s="3">
        <v>750.89</v>
      </c>
      <c r="F91" s="5">
        <v>45637</v>
      </c>
      <c r="G91" t="str">
        <f>TEXT(F91,"MMM")</f>
        <v>Dec</v>
      </c>
      <c r="H91" t="str">
        <f>TEXT(F91,"YYYY")</f>
        <v>2024</v>
      </c>
      <c r="I91" t="str">
        <f t="shared" si="1"/>
        <v>11</v>
      </c>
    </row>
    <row r="92" spans="1:9" outlineLevel="2" x14ac:dyDescent="0.35">
      <c r="A92" t="s">
        <v>637</v>
      </c>
      <c r="B92" t="s">
        <v>43</v>
      </c>
      <c r="C92">
        <v>20</v>
      </c>
      <c r="D92" s="3">
        <v>39.68</v>
      </c>
      <c r="E92" s="3">
        <v>714.24</v>
      </c>
      <c r="F92" s="5">
        <v>45632</v>
      </c>
      <c r="G92" t="str">
        <f>TEXT(F92,"MMM")</f>
        <v>Dec</v>
      </c>
      <c r="H92" t="str">
        <f>TEXT(F92,"YYYY")</f>
        <v>2024</v>
      </c>
      <c r="I92" t="str">
        <f t="shared" si="1"/>
        <v>06</v>
      </c>
    </row>
    <row r="93" spans="1:9" outlineLevel="2" x14ac:dyDescent="0.35">
      <c r="A93" t="s">
        <v>637</v>
      </c>
      <c r="B93" t="s">
        <v>43</v>
      </c>
      <c r="C93">
        <v>5</v>
      </c>
      <c r="D93" s="3">
        <v>79.650000000000006</v>
      </c>
      <c r="E93" s="3">
        <v>338.51</v>
      </c>
      <c r="F93" s="5">
        <v>45635</v>
      </c>
      <c r="G93" t="str">
        <f>TEXT(F93,"MMM")</f>
        <v>Dec</v>
      </c>
      <c r="H93" t="str">
        <f>TEXT(F93,"YYYY")</f>
        <v>2024</v>
      </c>
      <c r="I93" t="str">
        <f t="shared" si="1"/>
        <v>09</v>
      </c>
    </row>
    <row r="94" spans="1:9" outlineLevel="1" x14ac:dyDescent="0.35">
      <c r="D94" s="3"/>
      <c r="E94" s="3">
        <f>SUBTOTAL(9,E2:E93)</f>
        <v>22125.9</v>
      </c>
      <c r="F94" s="5"/>
      <c r="H94" s="26" t="s">
        <v>3583</v>
      </c>
      <c r="I94" t="str">
        <f t="shared" si="1"/>
        <v>00</v>
      </c>
    </row>
    <row r="95" spans="1:9" outlineLevel="2" x14ac:dyDescent="0.35">
      <c r="A95" t="s">
        <v>254</v>
      </c>
      <c r="B95" t="s">
        <v>38</v>
      </c>
      <c r="C95">
        <v>10</v>
      </c>
      <c r="D95" s="3">
        <v>17.36</v>
      </c>
      <c r="E95" s="3">
        <v>173.6</v>
      </c>
      <c r="F95" s="5">
        <v>45687</v>
      </c>
      <c r="G95" t="str">
        <f>TEXT(F95,"MMM")</f>
        <v>Jan</v>
      </c>
      <c r="H95" t="str">
        <f>TEXT(F95,"YYYY")</f>
        <v>2025</v>
      </c>
      <c r="I95" t="str">
        <f t="shared" si="1"/>
        <v>30</v>
      </c>
    </row>
    <row r="96" spans="1:9" outlineLevel="2" x14ac:dyDescent="0.35">
      <c r="A96" t="s">
        <v>254</v>
      </c>
      <c r="B96" t="s">
        <v>29</v>
      </c>
      <c r="C96">
        <v>1</v>
      </c>
      <c r="D96" s="3">
        <v>15.91</v>
      </c>
      <c r="E96" s="3">
        <v>13.52</v>
      </c>
      <c r="F96" s="5">
        <v>45661</v>
      </c>
      <c r="G96" t="str">
        <f>TEXT(F96,"MMM")</f>
        <v>Jan</v>
      </c>
      <c r="H96" t="str">
        <f>TEXT(F96,"YYYY")</f>
        <v>2025</v>
      </c>
      <c r="I96" t="str">
        <f t="shared" si="1"/>
        <v>04</v>
      </c>
    </row>
    <row r="97" spans="1:9" outlineLevel="2" x14ac:dyDescent="0.35">
      <c r="A97" t="s">
        <v>254</v>
      </c>
      <c r="B97" t="s">
        <v>14</v>
      </c>
      <c r="C97">
        <v>2</v>
      </c>
      <c r="D97" s="3">
        <v>28.78</v>
      </c>
      <c r="E97" s="3">
        <v>54.68</v>
      </c>
      <c r="F97" s="5">
        <v>45685</v>
      </c>
      <c r="G97" t="str">
        <f>TEXT(F97,"MMM")</f>
        <v>Jan</v>
      </c>
      <c r="H97" t="str">
        <f>TEXT(F97,"YYYY")</f>
        <v>2025</v>
      </c>
      <c r="I97" t="str">
        <f t="shared" si="1"/>
        <v>28</v>
      </c>
    </row>
    <row r="98" spans="1:9" outlineLevel="2" x14ac:dyDescent="0.35">
      <c r="A98" t="s">
        <v>633</v>
      </c>
      <c r="B98" t="s">
        <v>14</v>
      </c>
      <c r="C98">
        <v>3</v>
      </c>
      <c r="D98" s="3">
        <v>37.74</v>
      </c>
      <c r="E98" s="3">
        <v>107.56</v>
      </c>
      <c r="F98" s="5">
        <v>45663</v>
      </c>
      <c r="G98" t="str">
        <f>TEXT(F98,"MMM")</f>
        <v>Jan</v>
      </c>
      <c r="H98" t="str">
        <f>TEXT(F98,"YYYY")</f>
        <v>2025</v>
      </c>
      <c r="I98" t="str">
        <f t="shared" si="1"/>
        <v>06</v>
      </c>
    </row>
    <row r="99" spans="1:9" outlineLevel="2" x14ac:dyDescent="0.35">
      <c r="A99" t="s">
        <v>681</v>
      </c>
      <c r="B99" t="s">
        <v>8</v>
      </c>
      <c r="C99">
        <v>12</v>
      </c>
      <c r="D99" s="3">
        <v>38.82</v>
      </c>
      <c r="E99" s="3">
        <v>465.84</v>
      </c>
      <c r="F99" s="5">
        <v>45665</v>
      </c>
      <c r="G99" t="str">
        <f>TEXT(F99,"MMM")</f>
        <v>Jan</v>
      </c>
      <c r="H99" t="str">
        <f>TEXT(F99,"YYYY")</f>
        <v>2025</v>
      </c>
      <c r="I99" t="str">
        <f t="shared" si="1"/>
        <v>08</v>
      </c>
    </row>
    <row r="100" spans="1:9" outlineLevel="2" x14ac:dyDescent="0.35">
      <c r="A100" t="s">
        <v>681</v>
      </c>
      <c r="B100" t="s">
        <v>43</v>
      </c>
      <c r="C100">
        <v>2</v>
      </c>
      <c r="D100" s="3">
        <v>34.090000000000003</v>
      </c>
      <c r="E100" s="3">
        <v>57.95</v>
      </c>
      <c r="F100" s="5">
        <v>45661</v>
      </c>
      <c r="G100" t="str">
        <f>TEXT(F100,"MMM")</f>
        <v>Jan</v>
      </c>
      <c r="H100" t="str">
        <f>TEXT(F100,"YYYY")</f>
        <v>2025</v>
      </c>
      <c r="I100" t="str">
        <f t="shared" si="1"/>
        <v>04</v>
      </c>
    </row>
    <row r="101" spans="1:9" outlineLevel="2" x14ac:dyDescent="0.35">
      <c r="A101" t="s">
        <v>637</v>
      </c>
      <c r="B101" t="s">
        <v>14</v>
      </c>
      <c r="C101">
        <v>10</v>
      </c>
      <c r="D101" s="3">
        <v>27.59</v>
      </c>
      <c r="E101" s="3">
        <v>262.10000000000002</v>
      </c>
      <c r="F101" s="5">
        <v>45678</v>
      </c>
      <c r="G101" t="str">
        <f>TEXT(F101,"MMM")</f>
        <v>Jan</v>
      </c>
      <c r="H101" t="str">
        <f>TEXT(F101,"YYYY")</f>
        <v>2025</v>
      </c>
      <c r="I101" t="str">
        <f t="shared" si="1"/>
        <v>21</v>
      </c>
    </row>
    <row r="102" spans="1:9" outlineLevel="2" x14ac:dyDescent="0.35">
      <c r="A102" t="s">
        <v>627</v>
      </c>
      <c r="B102" t="s">
        <v>43</v>
      </c>
      <c r="C102">
        <v>10</v>
      </c>
      <c r="D102" s="3">
        <v>31.27</v>
      </c>
      <c r="E102" s="3">
        <v>312.7</v>
      </c>
      <c r="F102" s="5">
        <v>45677</v>
      </c>
      <c r="G102" t="str">
        <f>TEXT(F102,"MMM")</f>
        <v>Jan</v>
      </c>
      <c r="H102" t="str">
        <f>TEXT(F102,"YYYY")</f>
        <v>2025</v>
      </c>
      <c r="I102" t="str">
        <f t="shared" si="1"/>
        <v>20</v>
      </c>
    </row>
    <row r="103" spans="1:9" outlineLevel="2" x14ac:dyDescent="0.35">
      <c r="A103" t="s">
        <v>254</v>
      </c>
      <c r="B103" t="s">
        <v>43</v>
      </c>
      <c r="C103">
        <v>1</v>
      </c>
      <c r="D103" s="3">
        <v>39.68</v>
      </c>
      <c r="E103" s="3">
        <v>37.700000000000003</v>
      </c>
      <c r="F103" s="5">
        <v>45705</v>
      </c>
      <c r="G103" t="str">
        <f>TEXT(F103,"MMM")</f>
        <v>Feb</v>
      </c>
      <c r="H103" t="str">
        <f>TEXT(F103,"YYYY")</f>
        <v>2025</v>
      </c>
      <c r="I103" t="str">
        <f t="shared" si="1"/>
        <v>17</v>
      </c>
    </row>
    <row r="104" spans="1:9" outlineLevel="2" x14ac:dyDescent="0.35">
      <c r="A104" t="s">
        <v>674</v>
      </c>
      <c r="B104" t="s">
        <v>8</v>
      </c>
      <c r="C104">
        <v>20</v>
      </c>
      <c r="D104" s="3">
        <v>88.34</v>
      </c>
      <c r="E104" s="3">
        <v>1678.46</v>
      </c>
      <c r="F104" s="5">
        <v>45707</v>
      </c>
      <c r="G104" t="str">
        <f>TEXT(F104,"MMM")</f>
        <v>Feb</v>
      </c>
      <c r="H104" t="str">
        <f>TEXT(F104,"YYYY")</f>
        <v>2025</v>
      </c>
      <c r="I104" t="str">
        <f t="shared" si="1"/>
        <v>19</v>
      </c>
    </row>
    <row r="105" spans="1:9" outlineLevel="2" x14ac:dyDescent="0.35">
      <c r="A105" t="s">
        <v>674</v>
      </c>
      <c r="B105" t="s">
        <v>8</v>
      </c>
      <c r="C105">
        <v>1</v>
      </c>
      <c r="D105" s="3">
        <v>42.9</v>
      </c>
      <c r="E105" s="3">
        <v>36.46</v>
      </c>
      <c r="F105" s="5">
        <v>45703</v>
      </c>
      <c r="G105" t="str">
        <f>TEXT(F105,"MMM")</f>
        <v>Feb</v>
      </c>
      <c r="H105" t="str">
        <f>TEXT(F105,"YYYY")</f>
        <v>2025</v>
      </c>
      <c r="I105" t="str">
        <f t="shared" si="1"/>
        <v>15</v>
      </c>
    </row>
    <row r="106" spans="1:9" outlineLevel="2" x14ac:dyDescent="0.35">
      <c r="A106" t="s">
        <v>633</v>
      </c>
      <c r="B106" t="s">
        <v>14</v>
      </c>
      <c r="C106">
        <v>12</v>
      </c>
      <c r="D106" s="3">
        <v>28.78</v>
      </c>
      <c r="E106" s="3">
        <v>345.36</v>
      </c>
      <c r="F106" s="5">
        <v>45713</v>
      </c>
      <c r="G106" t="str">
        <f>TEXT(F106,"MMM")</f>
        <v>Feb</v>
      </c>
      <c r="H106" t="str">
        <f>TEXT(F106,"YYYY")</f>
        <v>2025</v>
      </c>
      <c r="I106" t="str">
        <f t="shared" si="1"/>
        <v>25</v>
      </c>
    </row>
    <row r="107" spans="1:9" outlineLevel="2" x14ac:dyDescent="0.35">
      <c r="A107" t="s">
        <v>681</v>
      </c>
      <c r="B107" t="s">
        <v>48</v>
      </c>
      <c r="C107">
        <v>1</v>
      </c>
      <c r="D107" s="3">
        <v>38.909999999999997</v>
      </c>
      <c r="E107" s="3">
        <v>36.96</v>
      </c>
      <c r="F107" s="5">
        <v>45708</v>
      </c>
      <c r="G107" t="str">
        <f>TEXT(F107,"MMM")</f>
        <v>Feb</v>
      </c>
      <c r="H107" t="str">
        <f>TEXT(F107,"YYYY")</f>
        <v>2025</v>
      </c>
      <c r="I107" t="str">
        <f t="shared" si="1"/>
        <v>20</v>
      </c>
    </row>
    <row r="108" spans="1:9" outlineLevel="2" x14ac:dyDescent="0.35">
      <c r="A108" t="s">
        <v>681</v>
      </c>
      <c r="B108" t="s">
        <v>43</v>
      </c>
      <c r="C108">
        <v>2</v>
      </c>
      <c r="D108" s="3">
        <v>86.54</v>
      </c>
      <c r="E108" s="3">
        <v>155.77000000000001</v>
      </c>
      <c r="F108" s="5">
        <v>45706</v>
      </c>
      <c r="G108" t="str">
        <f>TEXT(F108,"MMM")</f>
        <v>Feb</v>
      </c>
      <c r="H108" t="str">
        <f>TEXT(F108,"YYYY")</f>
        <v>2025</v>
      </c>
      <c r="I108" t="str">
        <f t="shared" si="1"/>
        <v>18</v>
      </c>
    </row>
    <row r="109" spans="1:9" outlineLevel="2" x14ac:dyDescent="0.35">
      <c r="A109" t="s">
        <v>696</v>
      </c>
      <c r="B109" t="s">
        <v>38</v>
      </c>
      <c r="C109">
        <v>1</v>
      </c>
      <c r="D109" s="3">
        <v>17.36</v>
      </c>
      <c r="E109" s="3">
        <v>17.36</v>
      </c>
      <c r="F109" s="5">
        <v>45712</v>
      </c>
      <c r="G109" t="str">
        <f>TEXT(F109,"MMM")</f>
        <v>Feb</v>
      </c>
      <c r="H109" t="str">
        <f>TEXT(F109,"YYYY")</f>
        <v>2025</v>
      </c>
      <c r="I109" t="str">
        <f t="shared" si="1"/>
        <v>24</v>
      </c>
    </row>
    <row r="110" spans="1:9" outlineLevel="2" x14ac:dyDescent="0.35">
      <c r="A110" t="s">
        <v>637</v>
      </c>
      <c r="B110" t="s">
        <v>29</v>
      </c>
      <c r="C110">
        <v>12</v>
      </c>
      <c r="D110" s="3">
        <v>30.01</v>
      </c>
      <c r="E110" s="3">
        <v>360.12</v>
      </c>
      <c r="F110" s="5">
        <v>45705</v>
      </c>
      <c r="G110" t="str">
        <f>TEXT(F110,"MMM")</f>
        <v>Feb</v>
      </c>
      <c r="H110" t="str">
        <f>TEXT(F110,"YYYY")</f>
        <v>2025</v>
      </c>
      <c r="I110" t="str">
        <f t="shared" si="1"/>
        <v>17</v>
      </c>
    </row>
    <row r="111" spans="1:9" outlineLevel="2" x14ac:dyDescent="0.35">
      <c r="A111" t="s">
        <v>637</v>
      </c>
      <c r="B111" t="s">
        <v>48</v>
      </c>
      <c r="C111">
        <v>1</v>
      </c>
      <c r="D111" s="3">
        <v>41.9</v>
      </c>
      <c r="E111" s="3">
        <v>41.9</v>
      </c>
      <c r="F111" s="5">
        <v>45704</v>
      </c>
      <c r="G111" t="str">
        <f>TEXT(F111,"MMM")</f>
        <v>Feb</v>
      </c>
      <c r="H111" t="str">
        <f>TEXT(F111,"YYYY")</f>
        <v>2025</v>
      </c>
      <c r="I111" t="str">
        <f t="shared" si="1"/>
        <v>16</v>
      </c>
    </row>
    <row r="112" spans="1:9" outlineLevel="2" x14ac:dyDescent="0.35">
      <c r="A112" t="s">
        <v>627</v>
      </c>
      <c r="B112" t="s">
        <v>29</v>
      </c>
      <c r="C112">
        <v>2</v>
      </c>
      <c r="D112" s="3">
        <v>44.64</v>
      </c>
      <c r="E112" s="3">
        <v>80.349999999999994</v>
      </c>
      <c r="F112" s="5">
        <v>45697</v>
      </c>
      <c r="G112" t="str">
        <f>TEXT(F112,"MMM")</f>
        <v>Feb</v>
      </c>
      <c r="H112" t="str">
        <f>TEXT(F112,"YYYY")</f>
        <v>2025</v>
      </c>
      <c r="I112" t="str">
        <f t="shared" si="1"/>
        <v>09</v>
      </c>
    </row>
    <row r="113" spans="1:9" outlineLevel="2" x14ac:dyDescent="0.35">
      <c r="A113" t="s">
        <v>627</v>
      </c>
      <c r="B113" t="s">
        <v>79</v>
      </c>
      <c r="C113">
        <v>3</v>
      </c>
      <c r="D113" s="3">
        <v>17.14</v>
      </c>
      <c r="E113" s="3">
        <v>43.71</v>
      </c>
      <c r="F113" s="5">
        <v>45702</v>
      </c>
      <c r="G113" t="str">
        <f>TEXT(F113,"MMM")</f>
        <v>Feb</v>
      </c>
      <c r="H113" t="str">
        <f>TEXT(F113,"YYYY")</f>
        <v>2025</v>
      </c>
      <c r="I113" t="str">
        <f t="shared" si="1"/>
        <v>14</v>
      </c>
    </row>
    <row r="114" spans="1:9" outlineLevel="2" x14ac:dyDescent="0.35">
      <c r="A114" t="s">
        <v>696</v>
      </c>
      <c r="B114" t="s">
        <v>43</v>
      </c>
      <c r="C114">
        <v>2</v>
      </c>
      <c r="D114" s="3">
        <v>15.13</v>
      </c>
      <c r="E114" s="3">
        <v>28.75</v>
      </c>
      <c r="F114" s="5">
        <v>45731</v>
      </c>
      <c r="G114" t="str">
        <f>TEXT(F114,"MMM")</f>
        <v>Mar</v>
      </c>
      <c r="H114" t="str">
        <f>TEXT(F114,"YYYY")</f>
        <v>2025</v>
      </c>
      <c r="I114" t="str">
        <f t="shared" si="1"/>
        <v>15</v>
      </c>
    </row>
    <row r="115" spans="1:9" outlineLevel="2" x14ac:dyDescent="0.35">
      <c r="A115" t="s">
        <v>637</v>
      </c>
      <c r="B115" t="s">
        <v>8</v>
      </c>
      <c r="C115">
        <v>10</v>
      </c>
      <c r="D115" s="3">
        <v>40.72</v>
      </c>
      <c r="E115" s="3">
        <v>346.12</v>
      </c>
      <c r="F115" s="5">
        <v>45735</v>
      </c>
      <c r="G115" t="str">
        <f>TEXT(F115,"MMM")</f>
        <v>Mar</v>
      </c>
      <c r="H115" t="str">
        <f>TEXT(F115,"YYYY")</f>
        <v>2025</v>
      </c>
      <c r="I115" t="str">
        <f t="shared" si="1"/>
        <v>19</v>
      </c>
    </row>
    <row r="116" spans="1:9" outlineLevel="2" x14ac:dyDescent="0.35">
      <c r="A116" t="s">
        <v>674</v>
      </c>
      <c r="B116" t="s">
        <v>14</v>
      </c>
      <c r="C116">
        <v>2</v>
      </c>
      <c r="D116" s="3">
        <v>27.59</v>
      </c>
      <c r="E116" s="3">
        <v>52.42</v>
      </c>
      <c r="F116" s="5">
        <v>45777</v>
      </c>
      <c r="G116" t="str">
        <f>TEXT(F116,"MMM")</f>
        <v>Apr</v>
      </c>
      <c r="H116" t="str">
        <f>TEXT(F116,"YYYY")</f>
        <v>2025</v>
      </c>
      <c r="I116" t="str">
        <f t="shared" si="1"/>
        <v>30</v>
      </c>
    </row>
    <row r="117" spans="1:9" outlineLevel="2" x14ac:dyDescent="0.35">
      <c r="A117" t="s">
        <v>674</v>
      </c>
      <c r="B117" t="s">
        <v>8</v>
      </c>
      <c r="C117">
        <v>3</v>
      </c>
      <c r="D117" s="3">
        <v>29.71</v>
      </c>
      <c r="E117" s="3">
        <v>89.13</v>
      </c>
      <c r="F117" s="5">
        <v>45768</v>
      </c>
      <c r="G117" t="str">
        <f>TEXT(F117,"MMM")</f>
        <v>Apr</v>
      </c>
      <c r="H117" t="str">
        <f>TEXT(F117,"YYYY")</f>
        <v>2025</v>
      </c>
      <c r="I117" t="str">
        <f t="shared" si="1"/>
        <v>21</v>
      </c>
    </row>
    <row r="118" spans="1:9" outlineLevel="2" x14ac:dyDescent="0.35">
      <c r="A118" t="s">
        <v>674</v>
      </c>
      <c r="B118" t="s">
        <v>43</v>
      </c>
      <c r="C118">
        <v>1</v>
      </c>
      <c r="D118" s="3">
        <v>30.44</v>
      </c>
      <c r="E118" s="3">
        <v>25.87</v>
      </c>
      <c r="F118" s="5">
        <v>45752</v>
      </c>
      <c r="G118" t="str">
        <f>TEXT(F118,"MMM")</f>
        <v>Apr</v>
      </c>
      <c r="H118" t="str">
        <f>TEXT(F118,"YYYY")</f>
        <v>2025</v>
      </c>
      <c r="I118" t="str">
        <f t="shared" si="1"/>
        <v>05</v>
      </c>
    </row>
    <row r="119" spans="1:9" outlineLevel="2" x14ac:dyDescent="0.35">
      <c r="A119" t="s">
        <v>633</v>
      </c>
      <c r="B119" t="s">
        <v>38</v>
      </c>
      <c r="C119">
        <v>1</v>
      </c>
      <c r="D119" s="3">
        <v>16.93</v>
      </c>
      <c r="E119" s="3">
        <v>16.079999999999998</v>
      </c>
      <c r="F119" s="5">
        <v>45777</v>
      </c>
      <c r="G119" t="str">
        <f>TEXT(F119,"MMM")</f>
        <v>Apr</v>
      </c>
      <c r="H119" t="str">
        <f>TEXT(F119,"YYYY")</f>
        <v>2025</v>
      </c>
      <c r="I119" t="str">
        <f t="shared" si="1"/>
        <v>30</v>
      </c>
    </row>
    <row r="120" spans="1:9" outlineLevel="2" x14ac:dyDescent="0.35">
      <c r="A120" t="s">
        <v>637</v>
      </c>
      <c r="B120" t="s">
        <v>20</v>
      </c>
      <c r="C120">
        <v>2</v>
      </c>
      <c r="D120" s="3">
        <v>12.83</v>
      </c>
      <c r="E120" s="3">
        <v>23.09</v>
      </c>
      <c r="F120" s="5">
        <v>45761</v>
      </c>
      <c r="G120" t="str">
        <f>TEXT(F120,"MMM")</f>
        <v>Apr</v>
      </c>
      <c r="H120" t="str">
        <f>TEXT(F120,"YYYY")</f>
        <v>2025</v>
      </c>
      <c r="I120" t="str">
        <f t="shared" si="1"/>
        <v>14</v>
      </c>
    </row>
    <row r="121" spans="1:9" outlineLevel="2" x14ac:dyDescent="0.35">
      <c r="A121" t="s">
        <v>627</v>
      </c>
      <c r="B121" t="s">
        <v>48</v>
      </c>
      <c r="C121">
        <v>2</v>
      </c>
      <c r="D121" s="3">
        <v>60.6</v>
      </c>
      <c r="E121" s="3">
        <v>109.08</v>
      </c>
      <c r="F121" s="5">
        <v>45756</v>
      </c>
      <c r="G121" t="str">
        <f>TEXT(F121,"MMM")</f>
        <v>Apr</v>
      </c>
      <c r="H121" t="str">
        <f>TEXT(F121,"YYYY")</f>
        <v>2025</v>
      </c>
      <c r="I121" t="str">
        <f t="shared" si="1"/>
        <v>09</v>
      </c>
    </row>
    <row r="122" spans="1:9" outlineLevel="2" x14ac:dyDescent="0.35">
      <c r="A122" t="s">
        <v>674</v>
      </c>
      <c r="B122" t="s">
        <v>48</v>
      </c>
      <c r="C122">
        <v>20</v>
      </c>
      <c r="D122" s="3">
        <v>18.7</v>
      </c>
      <c r="E122" s="3">
        <v>374</v>
      </c>
      <c r="F122" s="5">
        <v>45784</v>
      </c>
      <c r="G122" t="str">
        <f>TEXT(F122,"MMM")</f>
        <v>May</v>
      </c>
      <c r="H122" t="str">
        <f>TEXT(F122,"YYYY")</f>
        <v>2025</v>
      </c>
      <c r="I122" t="str">
        <f t="shared" si="1"/>
        <v>07</v>
      </c>
    </row>
    <row r="123" spans="1:9" outlineLevel="2" x14ac:dyDescent="0.35">
      <c r="A123" t="s">
        <v>674</v>
      </c>
      <c r="B123" t="s">
        <v>48</v>
      </c>
      <c r="C123">
        <v>5</v>
      </c>
      <c r="D123" s="3">
        <v>38.909999999999997</v>
      </c>
      <c r="E123" s="3">
        <v>184.82</v>
      </c>
      <c r="F123" s="5">
        <v>45802</v>
      </c>
      <c r="G123" t="str">
        <f>TEXT(F123,"MMM")</f>
        <v>May</v>
      </c>
      <c r="H123" t="str">
        <f>TEXT(F123,"YYYY")</f>
        <v>2025</v>
      </c>
      <c r="I123" t="str">
        <f t="shared" si="1"/>
        <v>25</v>
      </c>
    </row>
    <row r="124" spans="1:9" outlineLevel="2" x14ac:dyDescent="0.35">
      <c r="A124" t="s">
        <v>633</v>
      </c>
      <c r="B124" t="s">
        <v>38</v>
      </c>
      <c r="C124">
        <v>3</v>
      </c>
      <c r="D124" s="3">
        <v>48.21</v>
      </c>
      <c r="E124" s="3">
        <v>122.94</v>
      </c>
      <c r="F124" s="5">
        <v>45780</v>
      </c>
      <c r="G124" t="str">
        <f>TEXT(F124,"MMM")</f>
        <v>May</v>
      </c>
      <c r="H124" t="str">
        <f>TEXT(F124,"YYYY")</f>
        <v>2025</v>
      </c>
      <c r="I124" t="str">
        <f t="shared" si="1"/>
        <v>03</v>
      </c>
    </row>
    <row r="125" spans="1:9" outlineLevel="2" x14ac:dyDescent="0.35">
      <c r="A125" t="s">
        <v>633</v>
      </c>
      <c r="B125" t="s">
        <v>38</v>
      </c>
      <c r="C125">
        <v>10</v>
      </c>
      <c r="D125" s="3">
        <v>28.21</v>
      </c>
      <c r="E125" s="3">
        <v>282.10000000000002</v>
      </c>
      <c r="F125" s="5">
        <v>45805</v>
      </c>
      <c r="G125" t="str">
        <f>TEXT(F125,"MMM")</f>
        <v>May</v>
      </c>
      <c r="H125" t="str">
        <f>TEXT(F125,"YYYY")</f>
        <v>2025</v>
      </c>
      <c r="I125" t="str">
        <f t="shared" si="1"/>
        <v>28</v>
      </c>
    </row>
    <row r="126" spans="1:9" outlineLevel="2" x14ac:dyDescent="0.35">
      <c r="A126" t="s">
        <v>633</v>
      </c>
      <c r="B126" t="s">
        <v>14</v>
      </c>
      <c r="C126">
        <v>2</v>
      </c>
      <c r="D126" s="3">
        <v>25.58</v>
      </c>
      <c r="E126" s="3">
        <v>51.16</v>
      </c>
      <c r="F126" s="5">
        <v>45802</v>
      </c>
      <c r="G126" t="str">
        <f>TEXT(F126,"MMM")</f>
        <v>May</v>
      </c>
      <c r="H126" t="str">
        <f>TEXT(F126,"YYYY")</f>
        <v>2025</v>
      </c>
      <c r="I126" t="str">
        <f t="shared" si="1"/>
        <v>25</v>
      </c>
    </row>
    <row r="127" spans="1:9" outlineLevel="2" x14ac:dyDescent="0.35">
      <c r="A127" t="s">
        <v>696</v>
      </c>
      <c r="B127" t="s">
        <v>20</v>
      </c>
      <c r="C127">
        <v>2</v>
      </c>
      <c r="D127" s="3">
        <v>74.66</v>
      </c>
      <c r="E127" s="3">
        <v>149.32</v>
      </c>
      <c r="F127" s="5">
        <v>45802</v>
      </c>
      <c r="G127" t="str">
        <f>TEXT(F127,"MMM")</f>
        <v>May</v>
      </c>
      <c r="H127" t="str">
        <f>TEXT(F127,"YYYY")</f>
        <v>2025</v>
      </c>
      <c r="I127" t="str">
        <f t="shared" si="1"/>
        <v>25</v>
      </c>
    </row>
    <row r="128" spans="1:9" outlineLevel="2" x14ac:dyDescent="0.35">
      <c r="A128" t="s">
        <v>254</v>
      </c>
      <c r="B128" t="s">
        <v>48</v>
      </c>
      <c r="C128">
        <v>10</v>
      </c>
      <c r="D128" s="3">
        <v>35.21</v>
      </c>
      <c r="E128" s="3">
        <v>352.1</v>
      </c>
      <c r="F128" s="5">
        <v>45819</v>
      </c>
      <c r="G128" t="str">
        <f>TEXT(F128,"MMM")</f>
        <v>Jun</v>
      </c>
      <c r="H128" t="str">
        <f>TEXT(F128,"YYYY")</f>
        <v>2025</v>
      </c>
      <c r="I128" t="str">
        <f t="shared" si="1"/>
        <v>11</v>
      </c>
    </row>
    <row r="129" spans="1:9" outlineLevel="2" x14ac:dyDescent="0.35">
      <c r="A129" t="s">
        <v>674</v>
      </c>
      <c r="B129" t="s">
        <v>48</v>
      </c>
      <c r="C129">
        <v>3</v>
      </c>
      <c r="D129" s="3">
        <v>28.17</v>
      </c>
      <c r="E129" s="3">
        <v>80.28</v>
      </c>
      <c r="F129" s="5">
        <v>45826</v>
      </c>
      <c r="G129" t="str">
        <f>TEXT(F129,"MMM")</f>
        <v>Jun</v>
      </c>
      <c r="H129" t="str">
        <f>TEXT(F129,"YYYY")</f>
        <v>2025</v>
      </c>
      <c r="I129" t="str">
        <f t="shared" si="1"/>
        <v>18</v>
      </c>
    </row>
    <row r="130" spans="1:9" outlineLevel="2" x14ac:dyDescent="0.35">
      <c r="A130" t="s">
        <v>696</v>
      </c>
      <c r="B130" t="s">
        <v>14</v>
      </c>
      <c r="C130">
        <v>1</v>
      </c>
      <c r="D130" s="3">
        <v>28.78</v>
      </c>
      <c r="E130" s="3">
        <v>25.9</v>
      </c>
      <c r="F130" s="5">
        <v>45817</v>
      </c>
      <c r="G130" t="str">
        <f>TEXT(F130,"MMM")</f>
        <v>Jun</v>
      </c>
      <c r="H130" t="str">
        <f>TEXT(F130,"YYYY")</f>
        <v>2025</v>
      </c>
      <c r="I130" t="str">
        <f t="shared" si="1"/>
        <v>09</v>
      </c>
    </row>
    <row r="131" spans="1:9" outlineLevel="2" x14ac:dyDescent="0.35">
      <c r="A131" t="s">
        <v>696</v>
      </c>
      <c r="B131" t="s">
        <v>8</v>
      </c>
      <c r="C131">
        <v>3</v>
      </c>
      <c r="D131" s="3">
        <v>43.92</v>
      </c>
      <c r="E131" s="3">
        <v>131.76</v>
      </c>
      <c r="F131" s="5">
        <v>45816</v>
      </c>
      <c r="G131" t="str">
        <f>TEXT(F131,"MMM")</f>
        <v>Jun</v>
      </c>
      <c r="H131" t="str">
        <f>TEXT(F131,"YYYY")</f>
        <v>2025</v>
      </c>
      <c r="I131" t="str">
        <f t="shared" ref="I131:I184" si="2">TEXT(F131,"DD")</f>
        <v>08</v>
      </c>
    </row>
    <row r="132" spans="1:9" outlineLevel="2" x14ac:dyDescent="0.35">
      <c r="A132" t="s">
        <v>637</v>
      </c>
      <c r="B132" t="s">
        <v>79</v>
      </c>
      <c r="C132">
        <v>5</v>
      </c>
      <c r="D132" s="3">
        <v>12.56</v>
      </c>
      <c r="E132" s="3">
        <v>62.8</v>
      </c>
      <c r="F132" s="5">
        <v>45815</v>
      </c>
      <c r="G132" t="str">
        <f>TEXT(F132,"MMM")</f>
        <v>Jun</v>
      </c>
      <c r="H132" t="str">
        <f>TEXT(F132,"YYYY")</f>
        <v>2025</v>
      </c>
      <c r="I132" t="str">
        <f t="shared" si="2"/>
        <v>07</v>
      </c>
    </row>
    <row r="133" spans="1:9" outlineLevel="2" x14ac:dyDescent="0.35">
      <c r="A133" t="s">
        <v>637</v>
      </c>
      <c r="B133" t="s">
        <v>20</v>
      </c>
      <c r="C133">
        <v>20</v>
      </c>
      <c r="D133" s="3">
        <v>11.1</v>
      </c>
      <c r="E133" s="3">
        <v>222</v>
      </c>
      <c r="F133" s="5">
        <v>45809</v>
      </c>
      <c r="G133" t="str">
        <f>TEXT(F133,"MMM")</f>
        <v>Jun</v>
      </c>
      <c r="H133" t="str">
        <f>TEXT(F133,"YYYY")</f>
        <v>2025</v>
      </c>
      <c r="I133" t="str">
        <f t="shared" si="2"/>
        <v>01</v>
      </c>
    </row>
    <row r="134" spans="1:9" outlineLevel="2" x14ac:dyDescent="0.35">
      <c r="A134" t="s">
        <v>674</v>
      </c>
      <c r="B134" t="s">
        <v>43</v>
      </c>
      <c r="C134">
        <v>12</v>
      </c>
      <c r="D134" s="3">
        <v>86.54</v>
      </c>
      <c r="E134" s="3">
        <v>986.56</v>
      </c>
      <c r="F134" s="5">
        <v>45848</v>
      </c>
      <c r="G134" t="str">
        <f>TEXT(F134,"MMM")</f>
        <v>Jul</v>
      </c>
      <c r="H134" t="str">
        <f>TEXT(F134,"YYYY")</f>
        <v>2025</v>
      </c>
      <c r="I134" t="str">
        <f t="shared" si="2"/>
        <v>10</v>
      </c>
    </row>
    <row r="135" spans="1:9" outlineLevel="2" x14ac:dyDescent="0.35">
      <c r="A135" t="s">
        <v>633</v>
      </c>
      <c r="B135" t="s">
        <v>14</v>
      </c>
      <c r="C135">
        <v>10</v>
      </c>
      <c r="D135" s="3">
        <v>39.64</v>
      </c>
      <c r="E135" s="3">
        <v>336.94</v>
      </c>
      <c r="F135" s="5">
        <v>45862</v>
      </c>
      <c r="G135" t="str">
        <f>TEXT(F135,"MMM")</f>
        <v>Jul</v>
      </c>
      <c r="H135" t="str">
        <f>TEXT(F135,"YYYY")</f>
        <v>2025</v>
      </c>
      <c r="I135" t="str">
        <f t="shared" si="2"/>
        <v>24</v>
      </c>
    </row>
    <row r="136" spans="1:9" outlineLevel="2" x14ac:dyDescent="0.35">
      <c r="A136" t="s">
        <v>633</v>
      </c>
      <c r="B136" t="s">
        <v>20</v>
      </c>
      <c r="C136">
        <v>10</v>
      </c>
      <c r="D136" s="3">
        <v>25.7</v>
      </c>
      <c r="E136" s="3">
        <v>257</v>
      </c>
      <c r="F136" s="5">
        <v>45855</v>
      </c>
      <c r="G136" t="str">
        <f>TEXT(F136,"MMM")</f>
        <v>Jul</v>
      </c>
      <c r="H136" t="str">
        <f>TEXT(F136,"YYYY")</f>
        <v>2025</v>
      </c>
      <c r="I136" t="str">
        <f t="shared" si="2"/>
        <v>17</v>
      </c>
    </row>
    <row r="137" spans="1:9" outlineLevel="2" x14ac:dyDescent="0.35">
      <c r="A137" t="s">
        <v>681</v>
      </c>
      <c r="B137" t="s">
        <v>79</v>
      </c>
      <c r="C137">
        <v>3</v>
      </c>
      <c r="D137" s="3">
        <v>41.22</v>
      </c>
      <c r="E137" s="3">
        <v>117.48</v>
      </c>
      <c r="F137" s="5">
        <v>45839</v>
      </c>
      <c r="G137" t="str">
        <f>TEXT(F137,"MMM")</f>
        <v>Jul</v>
      </c>
      <c r="H137" t="str">
        <f>TEXT(F137,"YYYY")</f>
        <v>2025</v>
      </c>
      <c r="I137" t="str">
        <f t="shared" si="2"/>
        <v>01</v>
      </c>
    </row>
    <row r="138" spans="1:9" outlineLevel="2" x14ac:dyDescent="0.35">
      <c r="A138" t="s">
        <v>681</v>
      </c>
      <c r="B138" t="s">
        <v>8</v>
      </c>
      <c r="C138">
        <v>5</v>
      </c>
      <c r="D138" s="3">
        <v>28.23</v>
      </c>
      <c r="E138" s="3">
        <v>141.15</v>
      </c>
      <c r="F138" s="5">
        <v>45850</v>
      </c>
      <c r="G138" t="str">
        <f>TEXT(F138,"MMM")</f>
        <v>Jul</v>
      </c>
      <c r="H138" t="str">
        <f>TEXT(F138,"YYYY")</f>
        <v>2025</v>
      </c>
      <c r="I138" t="str">
        <f t="shared" si="2"/>
        <v>12</v>
      </c>
    </row>
    <row r="139" spans="1:9" outlineLevel="2" x14ac:dyDescent="0.35">
      <c r="A139" t="s">
        <v>681</v>
      </c>
      <c r="B139" t="s">
        <v>48</v>
      </c>
      <c r="C139">
        <v>2</v>
      </c>
      <c r="D139" s="3">
        <v>67.239999999999995</v>
      </c>
      <c r="E139" s="3">
        <v>134.47999999999999</v>
      </c>
      <c r="F139" s="5">
        <v>45846</v>
      </c>
      <c r="G139" t="str">
        <f>TEXT(F139,"MMM")</f>
        <v>Jul</v>
      </c>
      <c r="H139" t="str">
        <f>TEXT(F139,"YYYY")</f>
        <v>2025</v>
      </c>
      <c r="I139" t="str">
        <f t="shared" si="2"/>
        <v>08</v>
      </c>
    </row>
    <row r="140" spans="1:9" outlineLevel="2" x14ac:dyDescent="0.35">
      <c r="A140" t="s">
        <v>637</v>
      </c>
      <c r="B140" t="s">
        <v>38</v>
      </c>
      <c r="C140">
        <v>10</v>
      </c>
      <c r="D140" s="3">
        <v>48.21</v>
      </c>
      <c r="E140" s="3">
        <v>458</v>
      </c>
      <c r="F140" s="5">
        <v>45846</v>
      </c>
      <c r="G140" t="str">
        <f>TEXT(F140,"MMM")</f>
        <v>Jul</v>
      </c>
      <c r="H140" t="str">
        <f>TEXT(F140,"YYYY")</f>
        <v>2025</v>
      </c>
      <c r="I140" t="str">
        <f t="shared" si="2"/>
        <v>08</v>
      </c>
    </row>
    <row r="141" spans="1:9" outlineLevel="2" x14ac:dyDescent="0.35">
      <c r="A141" t="s">
        <v>254</v>
      </c>
      <c r="B141" t="s">
        <v>38</v>
      </c>
      <c r="C141">
        <v>1</v>
      </c>
      <c r="D141" s="3">
        <v>29.13</v>
      </c>
      <c r="E141" s="3">
        <v>26.22</v>
      </c>
      <c r="F141" s="5">
        <v>45876</v>
      </c>
      <c r="G141" t="str">
        <f>TEXT(F141,"MMM")</f>
        <v>Aug</v>
      </c>
      <c r="H141" t="str">
        <f>TEXT(F141,"YYYY")</f>
        <v>2025</v>
      </c>
      <c r="I141" t="str">
        <f t="shared" si="2"/>
        <v>07</v>
      </c>
    </row>
    <row r="142" spans="1:9" outlineLevel="2" x14ac:dyDescent="0.35">
      <c r="A142" t="s">
        <v>633</v>
      </c>
      <c r="B142" t="s">
        <v>48</v>
      </c>
      <c r="C142">
        <v>3</v>
      </c>
      <c r="D142" s="3">
        <v>34.9</v>
      </c>
      <c r="E142" s="3">
        <v>104.7</v>
      </c>
      <c r="F142" s="5">
        <v>45893</v>
      </c>
      <c r="G142" t="str">
        <f>TEXT(F142,"MMM")</f>
        <v>Aug</v>
      </c>
      <c r="H142" t="str">
        <f>TEXT(F142,"YYYY")</f>
        <v>2025</v>
      </c>
      <c r="I142" t="str">
        <f t="shared" si="2"/>
        <v>24</v>
      </c>
    </row>
    <row r="143" spans="1:9" outlineLevel="2" x14ac:dyDescent="0.35">
      <c r="A143" t="s">
        <v>637</v>
      </c>
      <c r="B143" t="s">
        <v>43</v>
      </c>
      <c r="C143">
        <v>2</v>
      </c>
      <c r="D143" s="3">
        <v>21.14</v>
      </c>
      <c r="E143" s="3">
        <v>42.28</v>
      </c>
      <c r="F143" s="5">
        <v>45870</v>
      </c>
      <c r="G143" t="str">
        <f>TEXT(F143,"MMM")</f>
        <v>Aug</v>
      </c>
      <c r="H143" t="str">
        <f>TEXT(F143,"YYYY")</f>
        <v>2025</v>
      </c>
      <c r="I143" t="str">
        <f t="shared" si="2"/>
        <v>01</v>
      </c>
    </row>
    <row r="144" spans="1:9" outlineLevel="2" x14ac:dyDescent="0.35">
      <c r="A144" t="s">
        <v>627</v>
      </c>
      <c r="B144" t="s">
        <v>29</v>
      </c>
      <c r="C144">
        <v>3</v>
      </c>
      <c r="D144" s="3">
        <v>30.01</v>
      </c>
      <c r="E144" s="3">
        <v>85.53</v>
      </c>
      <c r="F144" s="5">
        <v>45883</v>
      </c>
      <c r="G144" t="str">
        <f>TEXT(F144,"MMM")</f>
        <v>Aug</v>
      </c>
      <c r="H144" t="str">
        <f>TEXT(F144,"YYYY")</f>
        <v>2025</v>
      </c>
      <c r="I144" t="str">
        <f t="shared" si="2"/>
        <v>14</v>
      </c>
    </row>
    <row r="145" spans="1:9" outlineLevel="2" x14ac:dyDescent="0.35">
      <c r="A145" t="s">
        <v>627</v>
      </c>
      <c r="B145" t="s">
        <v>43</v>
      </c>
      <c r="C145">
        <v>3</v>
      </c>
      <c r="D145" s="3">
        <v>22.51</v>
      </c>
      <c r="E145" s="3">
        <v>67.53</v>
      </c>
      <c r="F145" s="5">
        <v>45877</v>
      </c>
      <c r="G145" t="str">
        <f>TEXT(F145,"MMM")</f>
        <v>Aug</v>
      </c>
      <c r="H145" t="str">
        <f>TEXT(F145,"YYYY")</f>
        <v>2025</v>
      </c>
      <c r="I145" t="str">
        <f t="shared" si="2"/>
        <v>08</v>
      </c>
    </row>
    <row r="146" spans="1:9" outlineLevel="2" x14ac:dyDescent="0.35">
      <c r="A146" t="s">
        <v>627</v>
      </c>
      <c r="B146" t="s">
        <v>43</v>
      </c>
      <c r="C146">
        <v>20</v>
      </c>
      <c r="D146" s="3">
        <v>79.650000000000006</v>
      </c>
      <c r="E146" s="3">
        <v>1513.35</v>
      </c>
      <c r="F146" s="5">
        <v>45870</v>
      </c>
      <c r="G146" t="str">
        <f>TEXT(F146,"MMM")</f>
        <v>Aug</v>
      </c>
      <c r="H146" t="str">
        <f>TEXT(F146,"YYYY")</f>
        <v>2025</v>
      </c>
      <c r="I146" t="str">
        <f t="shared" si="2"/>
        <v>01</v>
      </c>
    </row>
    <row r="147" spans="1:9" outlineLevel="2" x14ac:dyDescent="0.35">
      <c r="A147" t="s">
        <v>674</v>
      </c>
      <c r="B147" t="s">
        <v>14</v>
      </c>
      <c r="C147">
        <v>5</v>
      </c>
      <c r="D147" s="3">
        <v>53.97</v>
      </c>
      <c r="E147" s="3">
        <v>229.37</v>
      </c>
      <c r="F147" s="5">
        <v>45915</v>
      </c>
      <c r="G147" t="str">
        <f>TEXT(F147,"MMM")</f>
        <v>Sep</v>
      </c>
      <c r="H147" t="str">
        <f>TEXT(F147,"YYYY")</f>
        <v>2025</v>
      </c>
      <c r="I147" t="str">
        <f t="shared" si="2"/>
        <v>15</v>
      </c>
    </row>
    <row r="148" spans="1:9" outlineLevel="2" x14ac:dyDescent="0.35">
      <c r="A148" t="s">
        <v>633</v>
      </c>
      <c r="B148" t="s">
        <v>29</v>
      </c>
      <c r="C148">
        <v>12</v>
      </c>
      <c r="D148" s="3">
        <v>25.64</v>
      </c>
      <c r="E148" s="3">
        <v>307.68</v>
      </c>
      <c r="F148" s="5">
        <v>45925</v>
      </c>
      <c r="G148" t="str">
        <f>TEXT(F148,"MMM")</f>
        <v>Sep</v>
      </c>
      <c r="H148" t="str">
        <f>TEXT(F148,"YYYY")</f>
        <v>2025</v>
      </c>
      <c r="I148" t="str">
        <f t="shared" si="2"/>
        <v>25</v>
      </c>
    </row>
    <row r="149" spans="1:9" outlineLevel="2" x14ac:dyDescent="0.35">
      <c r="A149" t="s">
        <v>254</v>
      </c>
      <c r="B149" t="s">
        <v>20</v>
      </c>
      <c r="C149">
        <v>2</v>
      </c>
      <c r="D149" s="3">
        <v>15.23</v>
      </c>
      <c r="E149" s="3">
        <v>25.89</v>
      </c>
      <c r="F149" s="5">
        <v>45959</v>
      </c>
      <c r="G149" t="str">
        <f>TEXT(F149,"MMM")</f>
        <v>Oct</v>
      </c>
      <c r="H149" t="str">
        <f>TEXT(F149,"YYYY")</f>
        <v>2025</v>
      </c>
      <c r="I149" t="str">
        <f t="shared" si="2"/>
        <v>29</v>
      </c>
    </row>
    <row r="150" spans="1:9" outlineLevel="2" x14ac:dyDescent="0.35">
      <c r="A150" t="s">
        <v>674</v>
      </c>
      <c r="B150" t="s">
        <v>8</v>
      </c>
      <c r="C150">
        <v>2</v>
      </c>
      <c r="D150" s="3">
        <v>28.77</v>
      </c>
      <c r="E150" s="3">
        <v>57.54</v>
      </c>
      <c r="F150" s="5">
        <v>45939</v>
      </c>
      <c r="G150" t="str">
        <f>TEXT(F150,"MMM")</f>
        <v>Oct</v>
      </c>
      <c r="H150" t="str">
        <f>TEXT(F150,"YYYY")</f>
        <v>2025</v>
      </c>
      <c r="I150" t="str">
        <f t="shared" si="2"/>
        <v>09</v>
      </c>
    </row>
    <row r="151" spans="1:9" outlineLevel="2" x14ac:dyDescent="0.35">
      <c r="A151" t="s">
        <v>674</v>
      </c>
      <c r="B151" t="s">
        <v>20</v>
      </c>
      <c r="C151">
        <v>10</v>
      </c>
      <c r="D151" s="3">
        <v>53.22</v>
      </c>
      <c r="E151" s="3">
        <v>505.59</v>
      </c>
      <c r="F151" s="5">
        <v>45931</v>
      </c>
      <c r="G151" t="str">
        <f>TEXT(F151,"MMM")</f>
        <v>Oct</v>
      </c>
      <c r="H151" t="str">
        <f>TEXT(F151,"YYYY")</f>
        <v>2025</v>
      </c>
      <c r="I151" t="str">
        <f t="shared" si="2"/>
        <v>01</v>
      </c>
    </row>
    <row r="152" spans="1:9" outlineLevel="2" x14ac:dyDescent="0.35">
      <c r="A152" t="s">
        <v>633</v>
      </c>
      <c r="B152" t="s">
        <v>14</v>
      </c>
      <c r="C152">
        <v>5</v>
      </c>
      <c r="D152" s="3">
        <v>31.83</v>
      </c>
      <c r="E152" s="3">
        <v>159.15</v>
      </c>
      <c r="F152" s="5">
        <v>45952</v>
      </c>
      <c r="G152" t="str">
        <f>TEXT(F152,"MMM")</f>
        <v>Oct</v>
      </c>
      <c r="H152" t="str">
        <f>TEXT(F152,"YYYY")</f>
        <v>2025</v>
      </c>
      <c r="I152" t="str">
        <f t="shared" si="2"/>
        <v>22</v>
      </c>
    </row>
    <row r="153" spans="1:9" outlineLevel="2" x14ac:dyDescent="0.35">
      <c r="A153" t="s">
        <v>681</v>
      </c>
      <c r="B153" t="s">
        <v>29</v>
      </c>
      <c r="C153">
        <v>10</v>
      </c>
      <c r="D153" s="3">
        <v>15.91</v>
      </c>
      <c r="E153" s="3">
        <v>159.1</v>
      </c>
      <c r="F153" s="5">
        <v>45956</v>
      </c>
      <c r="G153" t="str">
        <f>TEXT(F153,"MMM")</f>
        <v>Oct</v>
      </c>
      <c r="H153" t="str">
        <f>TEXT(F153,"YYYY")</f>
        <v>2025</v>
      </c>
      <c r="I153" t="str">
        <f t="shared" si="2"/>
        <v>26</v>
      </c>
    </row>
    <row r="154" spans="1:9" outlineLevel="2" x14ac:dyDescent="0.35">
      <c r="A154" t="s">
        <v>696</v>
      </c>
      <c r="B154" t="s">
        <v>8</v>
      </c>
      <c r="C154">
        <v>3</v>
      </c>
      <c r="D154" s="3">
        <v>88.34</v>
      </c>
      <c r="E154" s="3">
        <v>238.52</v>
      </c>
      <c r="F154" s="5">
        <v>45944</v>
      </c>
      <c r="G154" t="str">
        <f>TEXT(F154,"MMM")</f>
        <v>Oct</v>
      </c>
      <c r="H154" t="str">
        <f>TEXT(F154,"YYYY")</f>
        <v>2025</v>
      </c>
      <c r="I154" t="str">
        <f t="shared" si="2"/>
        <v>14</v>
      </c>
    </row>
    <row r="155" spans="1:9" outlineLevel="2" x14ac:dyDescent="0.35">
      <c r="A155" t="s">
        <v>254</v>
      </c>
      <c r="B155" t="s">
        <v>14</v>
      </c>
      <c r="C155">
        <v>3</v>
      </c>
      <c r="D155" s="3">
        <v>31.83</v>
      </c>
      <c r="E155" s="3">
        <v>95.49</v>
      </c>
      <c r="F155" s="5">
        <v>45965</v>
      </c>
      <c r="G155" t="str">
        <f>TEXT(F155,"MMM")</f>
        <v>Nov</v>
      </c>
      <c r="H155" t="str">
        <f>TEXT(F155,"YYYY")</f>
        <v>2025</v>
      </c>
      <c r="I155" t="str">
        <f t="shared" si="2"/>
        <v>04</v>
      </c>
    </row>
    <row r="156" spans="1:9" outlineLevel="2" x14ac:dyDescent="0.35">
      <c r="A156" t="s">
        <v>254</v>
      </c>
      <c r="B156" t="s">
        <v>8</v>
      </c>
      <c r="C156">
        <v>3</v>
      </c>
      <c r="D156" s="3">
        <v>28.77</v>
      </c>
      <c r="E156" s="3">
        <v>81.99</v>
      </c>
      <c r="F156" s="5">
        <v>45971</v>
      </c>
      <c r="G156" t="str">
        <f>TEXT(F156,"MMM")</f>
        <v>Nov</v>
      </c>
      <c r="H156" t="str">
        <f>TEXT(F156,"YYYY")</f>
        <v>2025</v>
      </c>
      <c r="I156" t="str">
        <f t="shared" si="2"/>
        <v>10</v>
      </c>
    </row>
    <row r="157" spans="1:9" outlineLevel="2" x14ac:dyDescent="0.35">
      <c r="A157" t="s">
        <v>674</v>
      </c>
      <c r="B157" t="s">
        <v>14</v>
      </c>
      <c r="C157">
        <v>1</v>
      </c>
      <c r="D157" s="3">
        <v>33.85</v>
      </c>
      <c r="E157" s="3">
        <v>30.47</v>
      </c>
      <c r="F157" s="5">
        <v>45974</v>
      </c>
      <c r="G157" t="str">
        <f>TEXT(F157,"MMM")</f>
        <v>Nov</v>
      </c>
      <c r="H157" t="str">
        <f>TEXT(F157,"YYYY")</f>
        <v>2025</v>
      </c>
      <c r="I157" t="str">
        <f t="shared" si="2"/>
        <v>13</v>
      </c>
    </row>
    <row r="158" spans="1:9" outlineLevel="2" x14ac:dyDescent="0.35">
      <c r="A158" t="s">
        <v>633</v>
      </c>
      <c r="B158" t="s">
        <v>8</v>
      </c>
      <c r="C158">
        <v>5</v>
      </c>
      <c r="D158" s="3">
        <v>133.13</v>
      </c>
      <c r="E158" s="3">
        <v>599.09</v>
      </c>
      <c r="F158" s="5">
        <v>45983</v>
      </c>
      <c r="G158" t="str">
        <f>TEXT(F158,"MMM")</f>
        <v>Nov</v>
      </c>
      <c r="H158" t="str">
        <f>TEXT(F158,"YYYY")</f>
        <v>2025</v>
      </c>
      <c r="I158" t="str">
        <f t="shared" si="2"/>
        <v>22</v>
      </c>
    </row>
    <row r="159" spans="1:9" outlineLevel="2" x14ac:dyDescent="0.35">
      <c r="A159" t="s">
        <v>633</v>
      </c>
      <c r="B159" t="s">
        <v>8</v>
      </c>
      <c r="C159">
        <v>1</v>
      </c>
      <c r="D159" s="3">
        <v>43.92</v>
      </c>
      <c r="E159" s="3">
        <v>39.53</v>
      </c>
      <c r="F159" s="5">
        <v>45969</v>
      </c>
      <c r="G159" t="str">
        <f>TEXT(F159,"MMM")</f>
        <v>Nov</v>
      </c>
      <c r="H159" t="str">
        <f>TEXT(F159,"YYYY")</f>
        <v>2025</v>
      </c>
      <c r="I159" t="str">
        <f t="shared" si="2"/>
        <v>08</v>
      </c>
    </row>
    <row r="160" spans="1:9" outlineLevel="2" x14ac:dyDescent="0.35">
      <c r="A160" t="s">
        <v>633</v>
      </c>
      <c r="B160" t="s">
        <v>48</v>
      </c>
      <c r="C160">
        <v>10</v>
      </c>
      <c r="D160" s="3">
        <v>18.7</v>
      </c>
      <c r="E160" s="3">
        <v>187</v>
      </c>
      <c r="F160" s="5">
        <v>45989</v>
      </c>
      <c r="G160" t="str">
        <f>TEXT(F160,"MMM")</f>
        <v>Nov</v>
      </c>
      <c r="H160" t="str">
        <f>TEXT(F160,"YYYY")</f>
        <v>2025</v>
      </c>
      <c r="I160" t="str">
        <f t="shared" si="2"/>
        <v>28</v>
      </c>
    </row>
    <row r="161" spans="1:9" outlineLevel="2" x14ac:dyDescent="0.35">
      <c r="A161" t="s">
        <v>681</v>
      </c>
      <c r="B161" t="s">
        <v>8</v>
      </c>
      <c r="C161">
        <v>5</v>
      </c>
      <c r="D161" s="3">
        <v>28.23</v>
      </c>
      <c r="E161" s="3">
        <v>127.04</v>
      </c>
      <c r="F161" s="5">
        <v>45986</v>
      </c>
      <c r="G161" t="str">
        <f>TEXT(F161,"MMM")</f>
        <v>Nov</v>
      </c>
      <c r="H161" t="str">
        <f>TEXT(F161,"YYYY")</f>
        <v>2025</v>
      </c>
      <c r="I161" t="str">
        <f t="shared" si="2"/>
        <v>25</v>
      </c>
    </row>
    <row r="162" spans="1:9" outlineLevel="2" x14ac:dyDescent="0.35">
      <c r="A162" t="s">
        <v>637</v>
      </c>
      <c r="B162" t="s">
        <v>29</v>
      </c>
      <c r="C162">
        <v>12</v>
      </c>
      <c r="D162" s="3">
        <v>82.88</v>
      </c>
      <c r="E162" s="3">
        <v>994.56</v>
      </c>
      <c r="F162" s="5">
        <v>45981</v>
      </c>
      <c r="G162" t="str">
        <f>TEXT(F162,"MMM")</f>
        <v>Nov</v>
      </c>
      <c r="H162" t="str">
        <f>TEXT(F162,"YYYY")</f>
        <v>2025</v>
      </c>
      <c r="I162" t="str">
        <f t="shared" si="2"/>
        <v>20</v>
      </c>
    </row>
    <row r="163" spans="1:9" outlineLevel="2" x14ac:dyDescent="0.35">
      <c r="A163" t="s">
        <v>637</v>
      </c>
      <c r="B163" t="s">
        <v>20</v>
      </c>
      <c r="C163">
        <v>5</v>
      </c>
      <c r="D163" s="3">
        <v>74.66</v>
      </c>
      <c r="E163" s="3">
        <v>373.3</v>
      </c>
      <c r="F163" s="5">
        <v>45991</v>
      </c>
      <c r="G163" t="str">
        <f>TEXT(F163,"MMM")</f>
        <v>Nov</v>
      </c>
      <c r="H163" t="str">
        <f>TEXT(F163,"YYYY")</f>
        <v>2025</v>
      </c>
      <c r="I163" t="str">
        <f t="shared" si="2"/>
        <v>30</v>
      </c>
    </row>
    <row r="164" spans="1:9" outlineLevel="2" x14ac:dyDescent="0.35">
      <c r="A164" t="s">
        <v>627</v>
      </c>
      <c r="B164" t="s">
        <v>14</v>
      </c>
      <c r="C164">
        <v>3</v>
      </c>
      <c r="D164" s="3">
        <v>27.33</v>
      </c>
      <c r="E164" s="3">
        <v>81.99</v>
      </c>
      <c r="F164" s="5">
        <v>45966</v>
      </c>
      <c r="G164" t="str">
        <f>TEXT(F164,"MMM")</f>
        <v>Nov</v>
      </c>
      <c r="H164" t="str">
        <f>TEXT(F164,"YYYY")</f>
        <v>2025</v>
      </c>
      <c r="I164" t="str">
        <f t="shared" si="2"/>
        <v>05</v>
      </c>
    </row>
    <row r="165" spans="1:9" outlineLevel="2" x14ac:dyDescent="0.35">
      <c r="A165" t="s">
        <v>674</v>
      </c>
      <c r="B165" t="s">
        <v>29</v>
      </c>
      <c r="C165">
        <v>10</v>
      </c>
      <c r="D165" s="3">
        <v>30.01</v>
      </c>
      <c r="E165" s="3">
        <v>300.10000000000002</v>
      </c>
      <c r="F165" s="5">
        <v>46003</v>
      </c>
      <c r="G165" t="str">
        <f>TEXT(F165,"MMM")</f>
        <v>Dec</v>
      </c>
      <c r="H165" t="str">
        <f>TEXT(F165,"YYYY")</f>
        <v>2025</v>
      </c>
      <c r="I165" t="str">
        <f t="shared" si="2"/>
        <v>12</v>
      </c>
    </row>
    <row r="166" spans="1:9" outlineLevel="2" x14ac:dyDescent="0.35">
      <c r="A166" t="s">
        <v>674</v>
      </c>
      <c r="B166" t="s">
        <v>14</v>
      </c>
      <c r="C166">
        <v>5</v>
      </c>
      <c r="D166" s="3">
        <v>79.37</v>
      </c>
      <c r="E166" s="3">
        <v>337.32</v>
      </c>
      <c r="F166" s="5">
        <v>45996</v>
      </c>
      <c r="G166" t="str">
        <f>TEXT(F166,"MMM")</f>
        <v>Dec</v>
      </c>
      <c r="H166" t="str">
        <f>TEXT(F166,"YYYY")</f>
        <v>2025</v>
      </c>
      <c r="I166" t="str">
        <f t="shared" si="2"/>
        <v>05</v>
      </c>
    </row>
    <row r="167" spans="1:9" outlineLevel="2" x14ac:dyDescent="0.35">
      <c r="A167" t="s">
        <v>674</v>
      </c>
      <c r="B167" t="s">
        <v>8</v>
      </c>
      <c r="C167">
        <v>2</v>
      </c>
      <c r="D167" s="3">
        <v>47.87</v>
      </c>
      <c r="E167" s="3">
        <v>81.38</v>
      </c>
      <c r="F167" s="5">
        <v>46022</v>
      </c>
      <c r="G167" t="str">
        <f>TEXT(F167,"MMM")</f>
        <v>Dec</v>
      </c>
      <c r="H167" t="str">
        <f>TEXT(F167,"YYYY")</f>
        <v>2025</v>
      </c>
      <c r="I167" t="str">
        <f t="shared" si="2"/>
        <v>31</v>
      </c>
    </row>
    <row r="168" spans="1:9" outlineLevel="2" x14ac:dyDescent="0.35">
      <c r="A168" t="s">
        <v>681</v>
      </c>
      <c r="B168" t="s">
        <v>8</v>
      </c>
      <c r="C168">
        <v>20</v>
      </c>
      <c r="D168" s="3">
        <v>10.67</v>
      </c>
      <c r="E168" s="3">
        <v>202.73</v>
      </c>
      <c r="F168" s="5">
        <v>45996</v>
      </c>
      <c r="G168" t="str">
        <f>TEXT(F168,"MMM")</f>
        <v>Dec</v>
      </c>
      <c r="H168" t="str">
        <f>TEXT(F168,"YYYY")</f>
        <v>2025</v>
      </c>
      <c r="I168" t="str">
        <f t="shared" si="2"/>
        <v>05</v>
      </c>
    </row>
    <row r="169" spans="1:9" outlineLevel="2" x14ac:dyDescent="0.35">
      <c r="A169" t="s">
        <v>627</v>
      </c>
      <c r="B169" t="s">
        <v>38</v>
      </c>
      <c r="C169">
        <v>2</v>
      </c>
      <c r="D169" s="3">
        <v>60.55</v>
      </c>
      <c r="E169" s="3">
        <v>115.04</v>
      </c>
      <c r="F169" s="5">
        <v>46009</v>
      </c>
      <c r="G169" t="str">
        <f>TEXT(F169,"MMM")</f>
        <v>Dec</v>
      </c>
      <c r="H169" t="str">
        <f>TEXT(F169,"YYYY")</f>
        <v>2025</v>
      </c>
      <c r="I169" t="str">
        <f t="shared" si="2"/>
        <v>18</v>
      </c>
    </row>
    <row r="170" spans="1:9" outlineLevel="2" x14ac:dyDescent="0.35">
      <c r="A170" t="s">
        <v>627</v>
      </c>
      <c r="B170" t="s">
        <v>14</v>
      </c>
      <c r="C170">
        <v>3</v>
      </c>
      <c r="D170" s="3">
        <v>35.4</v>
      </c>
      <c r="E170" s="3">
        <v>90.27</v>
      </c>
      <c r="F170" s="5">
        <v>46006</v>
      </c>
      <c r="G170" t="str">
        <f>TEXT(F170,"MMM")</f>
        <v>Dec</v>
      </c>
      <c r="H170" t="str">
        <f>TEXT(F170,"YYYY")</f>
        <v>2025</v>
      </c>
      <c r="I170" t="str">
        <f t="shared" si="2"/>
        <v>15</v>
      </c>
    </row>
    <row r="171" spans="1:9" outlineLevel="1" x14ac:dyDescent="0.35">
      <c r="D171" s="3"/>
      <c r="E171" s="3">
        <f>SUBTOTAL(9,E95:E170)</f>
        <v>16703.180000000004</v>
      </c>
      <c r="F171" s="5"/>
      <c r="H171" s="26" t="s">
        <v>3584</v>
      </c>
      <c r="I171" t="str">
        <f t="shared" si="2"/>
        <v>00</v>
      </c>
    </row>
    <row r="172" spans="1:9" outlineLevel="2" x14ac:dyDescent="0.35">
      <c r="A172" t="s">
        <v>254</v>
      </c>
      <c r="B172" t="s">
        <v>48</v>
      </c>
      <c r="C172">
        <v>10</v>
      </c>
      <c r="D172" s="3">
        <v>67.239999999999995</v>
      </c>
      <c r="E172" s="3">
        <v>605.16</v>
      </c>
      <c r="F172" s="5">
        <v>46044</v>
      </c>
      <c r="G172" t="str">
        <f>TEXT(F172,"MMM")</f>
        <v>Jan</v>
      </c>
      <c r="H172" t="str">
        <f>TEXT(F172,"YYYY")</f>
        <v>2026</v>
      </c>
      <c r="I172" t="str">
        <f t="shared" si="2"/>
        <v>22</v>
      </c>
    </row>
    <row r="173" spans="1:9" outlineLevel="2" x14ac:dyDescent="0.35">
      <c r="A173" t="s">
        <v>254</v>
      </c>
      <c r="B173" t="s">
        <v>48</v>
      </c>
      <c r="C173">
        <v>2</v>
      </c>
      <c r="D173" s="3">
        <v>22.5</v>
      </c>
      <c r="E173" s="3">
        <v>42.75</v>
      </c>
      <c r="F173" s="5">
        <v>46047</v>
      </c>
      <c r="G173" t="str">
        <f>TEXT(F173,"MMM")</f>
        <v>Jan</v>
      </c>
      <c r="H173" t="str">
        <f>TEXT(F173,"YYYY")</f>
        <v>2026</v>
      </c>
      <c r="I173" t="str">
        <f t="shared" si="2"/>
        <v>25</v>
      </c>
    </row>
    <row r="174" spans="1:9" outlineLevel="2" x14ac:dyDescent="0.35">
      <c r="A174" t="s">
        <v>674</v>
      </c>
      <c r="B174" t="s">
        <v>29</v>
      </c>
      <c r="C174">
        <v>3</v>
      </c>
      <c r="D174" s="3">
        <v>41.5</v>
      </c>
      <c r="E174" s="3">
        <v>112.05</v>
      </c>
      <c r="F174" s="5">
        <v>46053</v>
      </c>
      <c r="G174" t="str">
        <f>TEXT(F174,"MMM")</f>
        <v>Jan</v>
      </c>
      <c r="H174" t="str">
        <f>TEXT(F174,"YYYY")</f>
        <v>2026</v>
      </c>
      <c r="I174" t="str">
        <f t="shared" si="2"/>
        <v>31</v>
      </c>
    </row>
    <row r="175" spans="1:9" outlineLevel="2" x14ac:dyDescent="0.35">
      <c r="A175" t="s">
        <v>674</v>
      </c>
      <c r="B175" t="s">
        <v>20</v>
      </c>
      <c r="C175">
        <v>3</v>
      </c>
      <c r="D175" s="3">
        <v>29.18</v>
      </c>
      <c r="E175" s="3">
        <v>78.790000000000006</v>
      </c>
      <c r="F175" s="5">
        <v>46047</v>
      </c>
      <c r="G175" t="str">
        <f>TEXT(F175,"MMM")</f>
        <v>Jan</v>
      </c>
      <c r="H175" t="str">
        <f>TEXT(F175,"YYYY")</f>
        <v>2026</v>
      </c>
      <c r="I175" t="str">
        <f t="shared" si="2"/>
        <v>25</v>
      </c>
    </row>
    <row r="176" spans="1:9" outlineLevel="2" x14ac:dyDescent="0.35">
      <c r="A176" t="s">
        <v>633</v>
      </c>
      <c r="B176" t="s">
        <v>14</v>
      </c>
      <c r="C176">
        <v>5</v>
      </c>
      <c r="D176" s="3">
        <v>37.74</v>
      </c>
      <c r="E176" s="3">
        <v>160.4</v>
      </c>
      <c r="F176" s="5">
        <v>46040</v>
      </c>
      <c r="G176" t="str">
        <f>TEXT(F176,"MMM")</f>
        <v>Jan</v>
      </c>
      <c r="H176" t="str">
        <f>TEXT(F176,"YYYY")</f>
        <v>2026</v>
      </c>
      <c r="I176" t="str">
        <f t="shared" si="2"/>
        <v>18</v>
      </c>
    </row>
    <row r="177" spans="1:9" outlineLevel="2" x14ac:dyDescent="0.35">
      <c r="A177" t="s">
        <v>633</v>
      </c>
      <c r="B177" t="s">
        <v>14</v>
      </c>
      <c r="C177">
        <v>3</v>
      </c>
      <c r="D177" s="3">
        <v>79.37</v>
      </c>
      <c r="E177" s="3">
        <v>226.2</v>
      </c>
      <c r="F177" s="5">
        <v>46053</v>
      </c>
      <c r="G177" t="str">
        <f>TEXT(F177,"MMM")</f>
        <v>Jan</v>
      </c>
      <c r="H177" t="str">
        <f>TEXT(F177,"YYYY")</f>
        <v>2026</v>
      </c>
      <c r="I177" t="str">
        <f t="shared" si="2"/>
        <v>31</v>
      </c>
    </row>
    <row r="178" spans="1:9" outlineLevel="2" x14ac:dyDescent="0.35">
      <c r="A178" t="s">
        <v>696</v>
      </c>
      <c r="B178" t="s">
        <v>29</v>
      </c>
      <c r="C178">
        <v>20</v>
      </c>
      <c r="D178" s="3">
        <v>15.2</v>
      </c>
      <c r="E178" s="3">
        <v>288.8</v>
      </c>
      <c r="F178" s="5">
        <v>46026</v>
      </c>
      <c r="G178" t="str">
        <f>TEXT(F178,"MMM")</f>
        <v>Jan</v>
      </c>
      <c r="H178" t="str">
        <f>TEXT(F178,"YYYY")</f>
        <v>2026</v>
      </c>
      <c r="I178" t="str">
        <f t="shared" si="2"/>
        <v>04</v>
      </c>
    </row>
    <row r="179" spans="1:9" outlineLevel="2" x14ac:dyDescent="0.35">
      <c r="A179" t="s">
        <v>696</v>
      </c>
      <c r="B179" t="s">
        <v>48</v>
      </c>
      <c r="C179">
        <v>20</v>
      </c>
      <c r="D179" s="3">
        <v>35.21</v>
      </c>
      <c r="E179" s="3">
        <v>633.78</v>
      </c>
      <c r="F179" s="5">
        <v>46025</v>
      </c>
      <c r="G179" t="str">
        <f>TEXT(F179,"MMM")</f>
        <v>Jan</v>
      </c>
      <c r="H179" t="str">
        <f>TEXT(F179,"YYYY")</f>
        <v>2026</v>
      </c>
      <c r="I179" t="str">
        <f t="shared" si="2"/>
        <v>03</v>
      </c>
    </row>
    <row r="180" spans="1:9" outlineLevel="2" x14ac:dyDescent="0.35">
      <c r="A180" t="s">
        <v>637</v>
      </c>
      <c r="B180" t="s">
        <v>29</v>
      </c>
      <c r="C180">
        <v>5</v>
      </c>
      <c r="D180" s="3">
        <v>36.229999999999997</v>
      </c>
      <c r="E180" s="3">
        <v>163.03</v>
      </c>
      <c r="F180" s="5">
        <v>46042</v>
      </c>
      <c r="G180" t="str">
        <f>TEXT(F180,"MMM")</f>
        <v>Jan</v>
      </c>
      <c r="H180" t="str">
        <f>TEXT(F180,"YYYY")</f>
        <v>2026</v>
      </c>
      <c r="I180" t="str">
        <f t="shared" si="2"/>
        <v>20</v>
      </c>
    </row>
    <row r="181" spans="1:9" outlineLevel="2" x14ac:dyDescent="0.35">
      <c r="A181" t="s">
        <v>637</v>
      </c>
      <c r="B181" t="s">
        <v>43</v>
      </c>
      <c r="C181">
        <v>1</v>
      </c>
      <c r="D181" s="3">
        <v>79.650000000000006</v>
      </c>
      <c r="E181" s="3">
        <v>79.650000000000006</v>
      </c>
      <c r="F181" s="5">
        <v>46028</v>
      </c>
      <c r="G181" t="str">
        <f>TEXT(F181,"MMM")</f>
        <v>Jan</v>
      </c>
      <c r="H181" t="str">
        <f>TEXT(F181,"YYYY")</f>
        <v>2026</v>
      </c>
      <c r="I181" t="str">
        <f t="shared" si="2"/>
        <v>06</v>
      </c>
    </row>
    <row r="182" spans="1:9" outlineLevel="2" x14ac:dyDescent="0.35">
      <c r="A182" t="s">
        <v>627</v>
      </c>
      <c r="B182" t="s">
        <v>38</v>
      </c>
      <c r="C182">
        <v>3</v>
      </c>
      <c r="D182" s="3">
        <v>60.55</v>
      </c>
      <c r="E182" s="3">
        <v>181.65</v>
      </c>
      <c r="F182" s="5">
        <v>46035</v>
      </c>
      <c r="G182" t="str">
        <f>TEXT(F182,"MMM")</f>
        <v>Jan</v>
      </c>
      <c r="H182" t="str">
        <f>TEXT(F182,"YYYY")</f>
        <v>2026</v>
      </c>
      <c r="I182" t="str">
        <f t="shared" si="2"/>
        <v>13</v>
      </c>
    </row>
    <row r="183" spans="1:9" outlineLevel="2" x14ac:dyDescent="0.35">
      <c r="A183" t="s">
        <v>627</v>
      </c>
      <c r="B183" t="s">
        <v>43</v>
      </c>
      <c r="C183">
        <v>3</v>
      </c>
      <c r="D183" s="3">
        <v>30.44</v>
      </c>
      <c r="E183" s="3">
        <v>91.32</v>
      </c>
      <c r="F183" s="5">
        <v>46033</v>
      </c>
      <c r="G183" t="str">
        <f>TEXT(F183,"MMM")</f>
        <v>Jan</v>
      </c>
      <c r="H183" t="str">
        <f>TEXT(F183,"YYYY")</f>
        <v>2026</v>
      </c>
      <c r="I183" t="str">
        <f t="shared" si="2"/>
        <v>11</v>
      </c>
    </row>
    <row r="184" spans="1:9" outlineLevel="1" x14ac:dyDescent="0.35">
      <c r="D184" s="3"/>
      <c r="E184" s="3">
        <f>SUBTOTAL(9,E172:E183)</f>
        <v>2663.5800000000004</v>
      </c>
      <c r="F184" s="5"/>
      <c r="H184" s="26" t="s">
        <v>3585</v>
      </c>
      <c r="I184" t="str">
        <f t="shared" si="2"/>
        <v>00</v>
      </c>
    </row>
    <row r="185" spans="1:9" x14ac:dyDescent="0.35">
      <c r="D185" s="3"/>
      <c r="E185" s="3">
        <f>SUBTOTAL(9,E2:E183)</f>
        <v>41492.659999999989</v>
      </c>
      <c r="F185" s="5"/>
      <c r="H185" s="26" t="s">
        <v>3581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3"/>
  <sheetViews>
    <sheetView topLeftCell="A135" zoomScaleNormal="100" workbookViewId="0">
      <selection activeCell="C155" sqref="C155"/>
    </sheetView>
  </sheetViews>
  <sheetFormatPr defaultRowHeight="14.5" x14ac:dyDescent="0.35"/>
  <cols>
    <col min="1" max="1" width="12.81640625" customWidth="1"/>
    <col min="2" max="2" width="28" customWidth="1"/>
    <col min="3" max="3" width="18" customWidth="1"/>
    <col min="4" max="4" width="11.81640625" customWidth="1"/>
    <col min="5" max="5" width="12.54296875" customWidth="1"/>
    <col min="6" max="6" width="14.54296875" customWidth="1"/>
    <col min="7" max="7" width="17" bestFit="1" customWidth="1"/>
  </cols>
  <sheetData>
    <row r="1" spans="1:7" ht="15" thickBot="1" x14ac:dyDescent="0.4">
      <c r="A1" t="s">
        <v>0</v>
      </c>
      <c r="B1" t="s">
        <v>1</v>
      </c>
      <c r="C1" t="s">
        <v>2</v>
      </c>
      <c r="D1" t="s">
        <v>3</v>
      </c>
      <c r="E1" t="s">
        <v>4</v>
      </c>
      <c r="F1" t="s">
        <v>5</v>
      </c>
      <c r="G1" s="30" t="s">
        <v>3587</v>
      </c>
    </row>
    <row r="2" spans="1:7" hidden="1" x14ac:dyDescent="0.35">
      <c r="A2" t="s">
        <v>6</v>
      </c>
      <c r="B2" t="s">
        <v>7</v>
      </c>
      <c r="C2" t="s">
        <v>8</v>
      </c>
      <c r="D2" s="3">
        <v>32.24</v>
      </c>
      <c r="E2" s="3">
        <v>41.91</v>
      </c>
      <c r="F2" t="s">
        <v>9</v>
      </c>
      <c r="G2" s="19">
        <f>ProductList[[#This Row],[UnitPrice]]-ProductList[[#This Row],[UnitCost]]</f>
        <v>9.6699999999999946</v>
      </c>
    </row>
    <row r="3" spans="1:7" hidden="1" x14ac:dyDescent="0.35">
      <c r="A3" t="s">
        <v>10</v>
      </c>
      <c r="B3" t="s">
        <v>11</v>
      </c>
      <c r="C3" t="s">
        <v>8</v>
      </c>
      <c r="D3" s="3">
        <v>22.74</v>
      </c>
      <c r="E3" s="3">
        <v>28.42</v>
      </c>
      <c r="F3" t="s">
        <v>9</v>
      </c>
      <c r="G3" s="19">
        <f>ProductList[[#This Row],[UnitPrice]]-ProductList[[#This Row],[UnitCost]]</f>
        <v>5.6800000000000033</v>
      </c>
    </row>
    <row r="4" spans="1:7" hidden="1" x14ac:dyDescent="0.35">
      <c r="A4" t="s">
        <v>12</v>
      </c>
      <c r="B4" t="s">
        <v>13</v>
      </c>
      <c r="C4" t="s">
        <v>14</v>
      </c>
      <c r="D4" s="3">
        <v>35.03</v>
      </c>
      <c r="E4" s="3">
        <v>50.79</v>
      </c>
      <c r="F4" t="s">
        <v>15</v>
      </c>
      <c r="G4" s="19">
        <f>ProductList[[#This Row],[UnitPrice]]-ProductList[[#This Row],[UnitCost]]</f>
        <v>15.759999999999998</v>
      </c>
    </row>
    <row r="5" spans="1:7" hidden="1" x14ac:dyDescent="0.35">
      <c r="A5" t="s">
        <v>16</v>
      </c>
      <c r="B5" t="s">
        <v>17</v>
      </c>
      <c r="C5" t="s">
        <v>14</v>
      </c>
      <c r="D5" s="3">
        <v>56.69</v>
      </c>
      <c r="E5" s="3">
        <v>79.37</v>
      </c>
      <c r="F5" t="s">
        <v>9</v>
      </c>
      <c r="G5" s="19">
        <f>ProductList[[#This Row],[UnitPrice]]-ProductList[[#This Row],[UnitCost]]</f>
        <v>22.680000000000007</v>
      </c>
    </row>
    <row r="6" spans="1:7" hidden="1" x14ac:dyDescent="0.35">
      <c r="A6" t="s">
        <v>18</v>
      </c>
      <c r="B6" t="s">
        <v>19</v>
      </c>
      <c r="C6" t="s">
        <v>20</v>
      </c>
      <c r="D6" s="3">
        <v>21.57</v>
      </c>
      <c r="E6" s="3">
        <v>26.96</v>
      </c>
      <c r="F6" t="s">
        <v>15</v>
      </c>
      <c r="G6" s="19">
        <f>ProductList[[#This Row],[UnitPrice]]-ProductList[[#This Row],[UnitCost]]</f>
        <v>5.3900000000000006</v>
      </c>
    </row>
    <row r="7" spans="1:7" hidden="1" x14ac:dyDescent="0.35">
      <c r="A7" t="s">
        <v>21</v>
      </c>
      <c r="B7" t="s">
        <v>22</v>
      </c>
      <c r="C7" t="s">
        <v>8</v>
      </c>
      <c r="D7" s="3">
        <v>21.57</v>
      </c>
      <c r="E7" s="3">
        <v>26.96</v>
      </c>
      <c r="F7" t="s">
        <v>15</v>
      </c>
      <c r="G7" s="19">
        <f>ProductList[[#This Row],[UnitPrice]]-ProductList[[#This Row],[UnitCost]]</f>
        <v>5.3900000000000006</v>
      </c>
    </row>
    <row r="8" spans="1:7" hidden="1" x14ac:dyDescent="0.35">
      <c r="A8" t="s">
        <v>23</v>
      </c>
      <c r="B8" t="s">
        <v>22</v>
      </c>
      <c r="C8" t="s">
        <v>8</v>
      </c>
      <c r="D8" s="3">
        <v>58.47</v>
      </c>
      <c r="E8" s="3">
        <v>84.78</v>
      </c>
      <c r="F8" t="s">
        <v>9</v>
      </c>
      <c r="G8" s="19">
        <f>ProductList[[#This Row],[UnitPrice]]-ProductList[[#This Row],[UnitCost]]</f>
        <v>26.310000000000002</v>
      </c>
    </row>
    <row r="9" spans="1:7" hidden="1" x14ac:dyDescent="0.35">
      <c r="A9" t="s">
        <v>24</v>
      </c>
      <c r="B9" t="s">
        <v>17</v>
      </c>
      <c r="C9" t="s">
        <v>14</v>
      </c>
      <c r="D9" s="3">
        <v>37.42</v>
      </c>
      <c r="E9" s="3">
        <v>50.52</v>
      </c>
      <c r="F9" t="s">
        <v>9</v>
      </c>
      <c r="G9" s="19">
        <f>ProductList[[#This Row],[UnitPrice]]-ProductList[[#This Row],[UnitCost]]</f>
        <v>13.100000000000001</v>
      </c>
    </row>
    <row r="10" spans="1:7" hidden="1" x14ac:dyDescent="0.35">
      <c r="A10" t="s">
        <v>25</v>
      </c>
      <c r="B10" t="s">
        <v>26</v>
      </c>
      <c r="C10" t="s">
        <v>14</v>
      </c>
      <c r="D10" s="3">
        <v>18.95</v>
      </c>
      <c r="E10" s="3">
        <v>25.58</v>
      </c>
      <c r="F10" t="s">
        <v>9</v>
      </c>
      <c r="G10" s="19">
        <f>ProductList[[#This Row],[UnitPrice]]-ProductList[[#This Row],[UnitCost]]</f>
        <v>6.629999999999999</v>
      </c>
    </row>
    <row r="11" spans="1:7" hidden="1" x14ac:dyDescent="0.35">
      <c r="A11" t="s">
        <v>27</v>
      </c>
      <c r="B11" t="s">
        <v>28</v>
      </c>
      <c r="C11" t="s">
        <v>29</v>
      </c>
      <c r="D11" s="3">
        <v>33.06</v>
      </c>
      <c r="E11" s="3">
        <v>47.94</v>
      </c>
      <c r="F11" t="s">
        <v>9</v>
      </c>
      <c r="G11" s="19">
        <f>ProductList[[#This Row],[UnitPrice]]-ProductList[[#This Row],[UnitCost]]</f>
        <v>14.879999999999995</v>
      </c>
    </row>
    <row r="12" spans="1:7" hidden="1" x14ac:dyDescent="0.35">
      <c r="A12" t="s">
        <v>30</v>
      </c>
      <c r="B12" t="s">
        <v>31</v>
      </c>
      <c r="C12" t="s">
        <v>14</v>
      </c>
      <c r="D12" s="3">
        <v>19.010000000000002</v>
      </c>
      <c r="E12" s="3">
        <v>27.56</v>
      </c>
      <c r="F12" t="s">
        <v>9</v>
      </c>
      <c r="G12" s="19">
        <f>ProductList[[#This Row],[UnitPrice]]-ProductList[[#This Row],[UnitCost]]</f>
        <v>8.5499999999999972</v>
      </c>
    </row>
    <row r="13" spans="1:7" hidden="1" x14ac:dyDescent="0.35">
      <c r="A13" t="s">
        <v>32</v>
      </c>
      <c r="B13" t="s">
        <v>33</v>
      </c>
      <c r="C13" t="s">
        <v>29</v>
      </c>
      <c r="D13" s="3">
        <v>18.989999999999998</v>
      </c>
      <c r="E13" s="3">
        <v>25.64</v>
      </c>
      <c r="F13" t="s">
        <v>15</v>
      </c>
      <c r="G13" s="19">
        <f>ProductList[[#This Row],[UnitPrice]]-ProductList[[#This Row],[UnitCost]]</f>
        <v>6.6500000000000021</v>
      </c>
    </row>
    <row r="14" spans="1:7" hidden="1" x14ac:dyDescent="0.35">
      <c r="A14" t="s">
        <v>34</v>
      </c>
      <c r="B14" t="s">
        <v>35</v>
      </c>
      <c r="C14" t="s">
        <v>20</v>
      </c>
      <c r="D14" s="3">
        <v>28.02</v>
      </c>
      <c r="E14" s="3">
        <v>36.43</v>
      </c>
      <c r="F14" t="s">
        <v>15</v>
      </c>
      <c r="G14" s="19">
        <f>ProductList[[#This Row],[UnitPrice]]-ProductList[[#This Row],[UnitCost]]</f>
        <v>8.41</v>
      </c>
    </row>
    <row r="15" spans="1:7" hidden="1" x14ac:dyDescent="0.35">
      <c r="A15" t="s">
        <v>36</v>
      </c>
      <c r="B15" t="s">
        <v>37</v>
      </c>
      <c r="C15" t="s">
        <v>38</v>
      </c>
      <c r="D15" s="3">
        <v>8.57</v>
      </c>
      <c r="E15" s="3">
        <v>11.14</v>
      </c>
      <c r="F15" t="s">
        <v>9</v>
      </c>
      <c r="G15" s="19">
        <f>ProductList[[#This Row],[UnitPrice]]-ProductList[[#This Row],[UnitCost]]</f>
        <v>2.5700000000000003</v>
      </c>
    </row>
    <row r="16" spans="1:7" hidden="1" x14ac:dyDescent="0.35">
      <c r="A16" t="s">
        <v>39</v>
      </c>
      <c r="B16" t="s">
        <v>40</v>
      </c>
      <c r="C16" t="s">
        <v>20</v>
      </c>
      <c r="D16" s="3">
        <v>9.5</v>
      </c>
      <c r="E16" s="3">
        <v>12.83</v>
      </c>
      <c r="F16" t="s">
        <v>9</v>
      </c>
      <c r="G16" s="19">
        <f>ProductList[[#This Row],[UnitPrice]]-ProductList[[#This Row],[UnitCost]]</f>
        <v>3.33</v>
      </c>
    </row>
    <row r="17" spans="1:7" hidden="1" x14ac:dyDescent="0.35">
      <c r="A17" t="s">
        <v>41</v>
      </c>
      <c r="B17" t="s">
        <v>42</v>
      </c>
      <c r="C17" t="s">
        <v>43</v>
      </c>
      <c r="D17" s="3">
        <v>18.010000000000002</v>
      </c>
      <c r="E17" s="3">
        <v>22.51</v>
      </c>
      <c r="F17" t="s">
        <v>9</v>
      </c>
      <c r="G17" s="19">
        <f>ProductList[[#This Row],[UnitPrice]]-ProductList[[#This Row],[UnitCost]]</f>
        <v>4.5</v>
      </c>
    </row>
    <row r="18" spans="1:7" x14ac:dyDescent="0.35">
      <c r="A18" t="s">
        <v>44</v>
      </c>
      <c r="B18" t="s">
        <v>45</v>
      </c>
      <c r="C18" t="s">
        <v>43</v>
      </c>
      <c r="D18" s="3">
        <v>14.05</v>
      </c>
      <c r="E18" s="3">
        <v>19.670000000000002</v>
      </c>
      <c r="F18" t="s">
        <v>15</v>
      </c>
      <c r="G18" s="19">
        <f>ProductList[[#This Row],[UnitPrice]]-ProductList[[#This Row],[UnitCost]]</f>
        <v>5.620000000000001</v>
      </c>
    </row>
    <row r="19" spans="1:7" hidden="1" x14ac:dyDescent="0.35">
      <c r="A19" t="s">
        <v>46</v>
      </c>
      <c r="B19" t="s">
        <v>47</v>
      </c>
      <c r="C19" t="s">
        <v>48</v>
      </c>
      <c r="D19" s="3">
        <v>29.16</v>
      </c>
      <c r="E19" s="3">
        <v>36.450000000000003</v>
      </c>
      <c r="F19" t="s">
        <v>9</v>
      </c>
      <c r="G19" s="19">
        <f>ProductList[[#This Row],[UnitPrice]]-ProductList[[#This Row],[UnitCost]]</f>
        <v>7.2900000000000027</v>
      </c>
    </row>
    <row r="20" spans="1:7" hidden="1" x14ac:dyDescent="0.35">
      <c r="A20" t="s">
        <v>49</v>
      </c>
      <c r="B20" t="s">
        <v>50</v>
      </c>
      <c r="C20" t="s">
        <v>29</v>
      </c>
      <c r="D20" s="3">
        <v>14.89</v>
      </c>
      <c r="E20" s="3">
        <v>20.85</v>
      </c>
      <c r="F20" t="s">
        <v>9</v>
      </c>
      <c r="G20" s="19">
        <f>ProductList[[#This Row],[UnitPrice]]-ProductList[[#This Row],[UnitCost]]</f>
        <v>5.9600000000000009</v>
      </c>
    </row>
    <row r="21" spans="1:7" hidden="1" x14ac:dyDescent="0.35">
      <c r="A21" t="s">
        <v>51</v>
      </c>
      <c r="B21" t="s">
        <v>52</v>
      </c>
      <c r="C21" t="s">
        <v>20</v>
      </c>
      <c r="D21" s="3">
        <v>11.28</v>
      </c>
      <c r="E21" s="3">
        <v>15.23</v>
      </c>
      <c r="F21" t="s">
        <v>9</v>
      </c>
      <c r="G21" s="19">
        <f>ProductList[[#This Row],[UnitPrice]]-ProductList[[#This Row],[UnitCost]]</f>
        <v>3.9500000000000011</v>
      </c>
    </row>
    <row r="22" spans="1:7" hidden="1" x14ac:dyDescent="0.35">
      <c r="A22" t="s">
        <v>53</v>
      </c>
      <c r="B22" t="s">
        <v>45</v>
      </c>
      <c r="C22" t="s">
        <v>43</v>
      </c>
      <c r="D22" s="3">
        <v>54.93</v>
      </c>
      <c r="E22" s="3">
        <v>79.650000000000006</v>
      </c>
      <c r="F22" t="s">
        <v>9</v>
      </c>
      <c r="G22" s="19">
        <f>ProductList[[#This Row],[UnitPrice]]-ProductList[[#This Row],[UnitCost]]</f>
        <v>24.720000000000006</v>
      </c>
    </row>
    <row r="23" spans="1:7" hidden="1" x14ac:dyDescent="0.35">
      <c r="A23" t="s">
        <v>54</v>
      </c>
      <c r="B23" t="s">
        <v>55</v>
      </c>
      <c r="C23" t="s">
        <v>48</v>
      </c>
      <c r="D23" s="3">
        <v>21.67</v>
      </c>
      <c r="E23" s="3">
        <v>28.17</v>
      </c>
      <c r="F23" t="s">
        <v>9</v>
      </c>
      <c r="G23" s="19">
        <f>ProductList[[#This Row],[UnitPrice]]-ProductList[[#This Row],[UnitCost]]</f>
        <v>6.5</v>
      </c>
    </row>
    <row r="24" spans="1:7" hidden="1" x14ac:dyDescent="0.35">
      <c r="A24" t="s">
        <v>56</v>
      </c>
      <c r="B24" t="s">
        <v>57</v>
      </c>
      <c r="C24" t="s">
        <v>14</v>
      </c>
      <c r="D24" s="3">
        <v>25.46</v>
      </c>
      <c r="E24" s="3">
        <v>31.83</v>
      </c>
      <c r="F24" t="s">
        <v>9</v>
      </c>
      <c r="G24" s="19">
        <f>ProductList[[#This Row],[UnitPrice]]-ProductList[[#This Row],[UnitCost]]</f>
        <v>6.3699999999999974</v>
      </c>
    </row>
    <row r="25" spans="1:7" x14ac:dyDescent="0.35">
      <c r="A25" t="s">
        <v>58</v>
      </c>
      <c r="B25" t="s">
        <v>59</v>
      </c>
      <c r="C25" t="s">
        <v>43</v>
      </c>
      <c r="D25" s="3">
        <v>11.21</v>
      </c>
      <c r="E25" s="3">
        <v>15.13</v>
      </c>
      <c r="F25" t="s">
        <v>15</v>
      </c>
      <c r="G25" s="19">
        <f>ProductList[[#This Row],[UnitPrice]]-ProductList[[#This Row],[UnitCost]]</f>
        <v>3.92</v>
      </c>
    </row>
    <row r="26" spans="1:7" hidden="1" x14ac:dyDescent="0.35">
      <c r="A26" t="s">
        <v>60</v>
      </c>
      <c r="B26" t="s">
        <v>26</v>
      </c>
      <c r="C26" t="s">
        <v>14</v>
      </c>
      <c r="D26" s="3">
        <v>18.18</v>
      </c>
      <c r="E26" s="3">
        <v>24.54</v>
      </c>
      <c r="F26" t="s">
        <v>15</v>
      </c>
      <c r="G26" s="19">
        <f>ProductList[[#This Row],[UnitPrice]]-ProductList[[#This Row],[UnitCost]]</f>
        <v>6.3599999999999994</v>
      </c>
    </row>
    <row r="27" spans="1:7" hidden="1" x14ac:dyDescent="0.35">
      <c r="A27" t="s">
        <v>61</v>
      </c>
      <c r="B27" t="s">
        <v>62</v>
      </c>
      <c r="C27" t="s">
        <v>48</v>
      </c>
      <c r="D27" s="3">
        <v>26.08</v>
      </c>
      <c r="E27" s="3">
        <v>35.21</v>
      </c>
      <c r="F27" t="s">
        <v>9</v>
      </c>
      <c r="G27" s="19">
        <f>ProductList[[#This Row],[UnitPrice]]-ProductList[[#This Row],[UnitCost]]</f>
        <v>9.1300000000000026</v>
      </c>
    </row>
    <row r="28" spans="1:7" hidden="1" x14ac:dyDescent="0.35">
      <c r="A28" t="s">
        <v>63</v>
      </c>
      <c r="B28" t="s">
        <v>64</v>
      </c>
      <c r="C28" t="s">
        <v>14</v>
      </c>
      <c r="D28" s="3">
        <v>13.03</v>
      </c>
      <c r="E28" s="3">
        <v>16.29</v>
      </c>
      <c r="F28" t="s">
        <v>9</v>
      </c>
      <c r="G28" s="19">
        <f>ProductList[[#This Row],[UnitPrice]]-ProductList[[#This Row],[UnitCost]]</f>
        <v>3.26</v>
      </c>
    </row>
    <row r="29" spans="1:7" hidden="1" x14ac:dyDescent="0.35">
      <c r="A29" t="s">
        <v>65</v>
      </c>
      <c r="B29" t="s">
        <v>66</v>
      </c>
      <c r="C29" t="s">
        <v>8</v>
      </c>
      <c r="D29" s="3">
        <v>30.16</v>
      </c>
      <c r="E29" s="3">
        <v>40.72</v>
      </c>
      <c r="F29" t="s">
        <v>15</v>
      </c>
      <c r="G29" s="19">
        <f>ProductList[[#This Row],[UnitPrice]]-ProductList[[#This Row],[UnitCost]]</f>
        <v>10.559999999999999</v>
      </c>
    </row>
    <row r="30" spans="1:7" hidden="1" x14ac:dyDescent="0.35">
      <c r="A30" t="s">
        <v>67</v>
      </c>
      <c r="B30" t="s">
        <v>68</v>
      </c>
      <c r="C30" t="s">
        <v>14</v>
      </c>
      <c r="D30" s="3">
        <v>17.63</v>
      </c>
      <c r="E30" s="3">
        <v>22.92</v>
      </c>
      <c r="F30" t="s">
        <v>15</v>
      </c>
      <c r="G30" s="19">
        <f>ProductList[[#This Row],[UnitPrice]]-ProductList[[#This Row],[UnitCost]]</f>
        <v>5.2900000000000027</v>
      </c>
    </row>
    <row r="31" spans="1:7" hidden="1" x14ac:dyDescent="0.35">
      <c r="A31" t="s">
        <v>69</v>
      </c>
      <c r="B31" t="s">
        <v>70</v>
      </c>
      <c r="C31" t="s">
        <v>38</v>
      </c>
      <c r="D31" s="3">
        <v>20.9</v>
      </c>
      <c r="E31" s="3">
        <v>28.21</v>
      </c>
      <c r="F31" t="s">
        <v>15</v>
      </c>
      <c r="G31" s="19">
        <f>ProductList[[#This Row],[UnitPrice]]-ProductList[[#This Row],[UnitCost]]</f>
        <v>7.3100000000000023</v>
      </c>
    </row>
    <row r="32" spans="1:7" hidden="1" x14ac:dyDescent="0.35">
      <c r="A32" t="s">
        <v>71</v>
      </c>
      <c r="B32" t="s">
        <v>72</v>
      </c>
      <c r="C32" t="s">
        <v>38</v>
      </c>
      <c r="D32" s="3">
        <v>17.62</v>
      </c>
      <c r="E32" s="3">
        <v>24.67</v>
      </c>
      <c r="F32" t="s">
        <v>9</v>
      </c>
      <c r="G32" s="19">
        <f>ProductList[[#This Row],[UnitPrice]]-ProductList[[#This Row],[UnitCost]]</f>
        <v>7.0500000000000007</v>
      </c>
    </row>
    <row r="33" spans="1:7" hidden="1" x14ac:dyDescent="0.35">
      <c r="A33" t="s">
        <v>73</v>
      </c>
      <c r="B33" t="s">
        <v>74</v>
      </c>
      <c r="C33" t="s">
        <v>8</v>
      </c>
      <c r="D33" s="3">
        <v>67.95</v>
      </c>
      <c r="E33" s="3">
        <v>88.34</v>
      </c>
      <c r="F33" t="s">
        <v>15</v>
      </c>
      <c r="G33" s="19">
        <f>ProductList[[#This Row],[UnitPrice]]-ProductList[[#This Row],[UnitCost]]</f>
        <v>20.39</v>
      </c>
    </row>
    <row r="34" spans="1:7" hidden="1" x14ac:dyDescent="0.35">
      <c r="A34" t="s">
        <v>75</v>
      </c>
      <c r="B34" t="s">
        <v>76</v>
      </c>
      <c r="C34" t="s">
        <v>43</v>
      </c>
      <c r="D34" s="3">
        <v>24.35</v>
      </c>
      <c r="E34" s="3">
        <v>34.090000000000003</v>
      </c>
      <c r="F34" t="s">
        <v>9</v>
      </c>
      <c r="G34" s="19">
        <f>ProductList[[#This Row],[UnitPrice]]-ProductList[[#This Row],[UnitCost]]</f>
        <v>9.740000000000002</v>
      </c>
    </row>
    <row r="35" spans="1:7" hidden="1" x14ac:dyDescent="0.35">
      <c r="A35" t="s">
        <v>77</v>
      </c>
      <c r="B35" t="s">
        <v>78</v>
      </c>
      <c r="C35" t="s">
        <v>79</v>
      </c>
      <c r="D35" s="3">
        <v>13.71</v>
      </c>
      <c r="E35" s="3">
        <v>17.82</v>
      </c>
      <c r="F35" t="s">
        <v>9</v>
      </c>
      <c r="G35" s="19">
        <f>ProductList[[#This Row],[UnitPrice]]-ProductList[[#This Row],[UnitCost]]</f>
        <v>4.1099999999999994</v>
      </c>
    </row>
    <row r="36" spans="1:7" hidden="1" x14ac:dyDescent="0.35">
      <c r="A36" t="s">
        <v>80</v>
      </c>
      <c r="B36" t="s">
        <v>81</v>
      </c>
      <c r="C36" t="s">
        <v>38</v>
      </c>
      <c r="D36" s="3">
        <v>38.57</v>
      </c>
      <c r="E36" s="3">
        <v>48.21</v>
      </c>
      <c r="F36" t="s">
        <v>9</v>
      </c>
      <c r="G36" s="19">
        <f>ProductList[[#This Row],[UnitPrice]]-ProductList[[#This Row],[UnitCost]]</f>
        <v>9.64</v>
      </c>
    </row>
    <row r="37" spans="1:7" hidden="1" x14ac:dyDescent="0.35">
      <c r="A37" t="s">
        <v>82</v>
      </c>
      <c r="B37" t="s">
        <v>83</v>
      </c>
      <c r="C37" t="s">
        <v>38</v>
      </c>
      <c r="D37" s="3">
        <v>12.54</v>
      </c>
      <c r="E37" s="3">
        <v>16.93</v>
      </c>
      <c r="F37" t="s">
        <v>15</v>
      </c>
      <c r="G37" s="19">
        <f>ProductList[[#This Row],[UnitPrice]]-ProductList[[#This Row],[UnitCost]]</f>
        <v>4.3900000000000006</v>
      </c>
    </row>
    <row r="38" spans="1:7" hidden="1" x14ac:dyDescent="0.35">
      <c r="A38" t="s">
        <v>84</v>
      </c>
      <c r="B38" t="s">
        <v>85</v>
      </c>
      <c r="C38" t="s">
        <v>48</v>
      </c>
      <c r="D38" s="3">
        <v>27.52</v>
      </c>
      <c r="E38" s="3">
        <v>34.4</v>
      </c>
      <c r="F38" t="s">
        <v>9</v>
      </c>
      <c r="G38" s="19">
        <f>ProductList[[#This Row],[UnitPrice]]-ProductList[[#This Row],[UnitCost]]</f>
        <v>6.879999999999999</v>
      </c>
    </row>
    <row r="39" spans="1:7" hidden="1" x14ac:dyDescent="0.35">
      <c r="A39" t="s">
        <v>86</v>
      </c>
      <c r="B39" t="s">
        <v>87</v>
      </c>
      <c r="C39" t="s">
        <v>29</v>
      </c>
      <c r="D39" s="3">
        <v>8.35</v>
      </c>
      <c r="E39" s="3">
        <v>12.11</v>
      </c>
      <c r="F39" t="s">
        <v>9</v>
      </c>
      <c r="G39" s="19">
        <f>ProductList[[#This Row],[UnitPrice]]-ProductList[[#This Row],[UnitCost]]</f>
        <v>3.76</v>
      </c>
    </row>
    <row r="40" spans="1:7" hidden="1" x14ac:dyDescent="0.35">
      <c r="A40" t="s">
        <v>88</v>
      </c>
      <c r="B40" t="s">
        <v>89</v>
      </c>
      <c r="C40" t="s">
        <v>79</v>
      </c>
      <c r="D40" s="3">
        <v>11.82</v>
      </c>
      <c r="E40" s="3">
        <v>17.14</v>
      </c>
      <c r="F40" t="s">
        <v>9</v>
      </c>
      <c r="G40" s="19">
        <f>ProductList[[#This Row],[UnitPrice]]-ProductList[[#This Row],[UnitCost]]</f>
        <v>5.32</v>
      </c>
    </row>
    <row r="41" spans="1:7" hidden="1" x14ac:dyDescent="0.35">
      <c r="A41" t="s">
        <v>90</v>
      </c>
      <c r="B41" t="s">
        <v>13</v>
      </c>
      <c r="C41" t="s">
        <v>14</v>
      </c>
      <c r="D41" s="3">
        <v>27.34</v>
      </c>
      <c r="E41" s="3">
        <v>39.64</v>
      </c>
      <c r="F41" t="s">
        <v>9</v>
      </c>
      <c r="G41" s="19">
        <f>ProductList[[#This Row],[UnitPrice]]-ProductList[[#This Row],[UnitCost]]</f>
        <v>12.3</v>
      </c>
    </row>
    <row r="42" spans="1:7" hidden="1" x14ac:dyDescent="0.35">
      <c r="A42" t="s">
        <v>91</v>
      </c>
      <c r="B42" t="s">
        <v>92</v>
      </c>
      <c r="C42" t="s">
        <v>8</v>
      </c>
      <c r="D42" s="3">
        <v>36.82</v>
      </c>
      <c r="E42" s="3">
        <v>47.87</v>
      </c>
      <c r="F42" t="s">
        <v>9</v>
      </c>
      <c r="G42" s="19">
        <f>ProductList[[#This Row],[UnitPrice]]-ProductList[[#This Row],[UnitCost]]</f>
        <v>11.049999999999997</v>
      </c>
    </row>
    <row r="43" spans="1:7" hidden="1" x14ac:dyDescent="0.35">
      <c r="A43" t="s">
        <v>93</v>
      </c>
      <c r="B43" t="s">
        <v>94</v>
      </c>
      <c r="C43" t="s">
        <v>14</v>
      </c>
      <c r="D43" s="3">
        <v>26.96</v>
      </c>
      <c r="E43" s="3">
        <v>37.74</v>
      </c>
      <c r="F43" t="s">
        <v>9</v>
      </c>
      <c r="G43" s="19">
        <f>ProductList[[#This Row],[UnitPrice]]-ProductList[[#This Row],[UnitCost]]</f>
        <v>10.780000000000001</v>
      </c>
    </row>
    <row r="44" spans="1:7" hidden="1" x14ac:dyDescent="0.35">
      <c r="A44" t="s">
        <v>95</v>
      </c>
      <c r="B44" t="s">
        <v>96</v>
      </c>
      <c r="C44" t="s">
        <v>8</v>
      </c>
      <c r="D44" s="3">
        <v>23.02</v>
      </c>
      <c r="E44" s="3">
        <v>28.77</v>
      </c>
      <c r="F44" t="s">
        <v>9</v>
      </c>
      <c r="G44" s="19">
        <f>ProductList[[#This Row],[UnitPrice]]-ProductList[[#This Row],[UnitCost]]</f>
        <v>5.75</v>
      </c>
    </row>
    <row r="45" spans="1:7" hidden="1" x14ac:dyDescent="0.35">
      <c r="A45" t="s">
        <v>97</v>
      </c>
      <c r="B45" t="s">
        <v>98</v>
      </c>
      <c r="C45" t="s">
        <v>20</v>
      </c>
      <c r="D45" s="3">
        <v>20.79</v>
      </c>
      <c r="E45" s="3">
        <v>28.07</v>
      </c>
      <c r="F45" t="s">
        <v>9</v>
      </c>
      <c r="G45" s="19">
        <f>ProductList[[#This Row],[UnitPrice]]-ProductList[[#This Row],[UnitCost]]</f>
        <v>7.2800000000000011</v>
      </c>
    </row>
    <row r="46" spans="1:7" hidden="1" x14ac:dyDescent="0.35">
      <c r="A46" t="s">
        <v>99</v>
      </c>
      <c r="B46" t="s">
        <v>100</v>
      </c>
      <c r="C46" t="s">
        <v>43</v>
      </c>
      <c r="D46" s="3">
        <v>10.88</v>
      </c>
      <c r="E46" s="3">
        <v>15.78</v>
      </c>
      <c r="F46" t="s">
        <v>9</v>
      </c>
      <c r="G46" s="19">
        <f>ProductList[[#This Row],[UnitPrice]]-ProductList[[#This Row],[UnitCost]]</f>
        <v>4.8999999999999986</v>
      </c>
    </row>
    <row r="47" spans="1:7" hidden="1" x14ac:dyDescent="0.35">
      <c r="A47" t="s">
        <v>101</v>
      </c>
      <c r="B47" t="s">
        <v>11</v>
      </c>
      <c r="C47" t="s">
        <v>8</v>
      </c>
      <c r="D47" s="3">
        <v>16.510000000000002</v>
      </c>
      <c r="E47" s="3">
        <v>23.94</v>
      </c>
      <c r="F47" t="s">
        <v>9</v>
      </c>
      <c r="G47" s="19">
        <f>ProductList[[#This Row],[UnitPrice]]-ProductList[[#This Row],[UnitCost]]</f>
        <v>7.43</v>
      </c>
    </row>
    <row r="48" spans="1:7" hidden="1" x14ac:dyDescent="0.35">
      <c r="A48" t="s">
        <v>102</v>
      </c>
      <c r="B48" t="s">
        <v>103</v>
      </c>
      <c r="C48" t="s">
        <v>20</v>
      </c>
      <c r="D48" s="3">
        <v>19.04</v>
      </c>
      <c r="E48" s="3">
        <v>25.7</v>
      </c>
      <c r="F48" t="s">
        <v>15</v>
      </c>
      <c r="G48" s="19">
        <f>ProductList[[#This Row],[UnitPrice]]-ProductList[[#This Row],[UnitCost]]</f>
        <v>6.66</v>
      </c>
    </row>
    <row r="49" spans="1:7" hidden="1" x14ac:dyDescent="0.35">
      <c r="A49" t="s">
        <v>104</v>
      </c>
      <c r="B49" t="s">
        <v>105</v>
      </c>
      <c r="C49" t="s">
        <v>20</v>
      </c>
      <c r="D49" s="3">
        <v>43.88</v>
      </c>
      <c r="E49" s="3">
        <v>54.85</v>
      </c>
      <c r="F49" t="s">
        <v>9</v>
      </c>
      <c r="G49" s="19">
        <f>ProductList[[#This Row],[UnitPrice]]-ProductList[[#This Row],[UnitCost]]</f>
        <v>10.969999999999999</v>
      </c>
    </row>
    <row r="50" spans="1:7" hidden="1" x14ac:dyDescent="0.35">
      <c r="A50" t="s">
        <v>106</v>
      </c>
      <c r="B50" t="s">
        <v>107</v>
      </c>
      <c r="C50" t="s">
        <v>29</v>
      </c>
      <c r="D50" s="3">
        <v>29.64</v>
      </c>
      <c r="E50" s="3">
        <v>41.5</v>
      </c>
      <c r="F50" t="s">
        <v>15</v>
      </c>
      <c r="G50" s="19">
        <f>ProductList[[#This Row],[UnitPrice]]-ProductList[[#This Row],[UnitCost]]</f>
        <v>11.86</v>
      </c>
    </row>
    <row r="51" spans="1:7" hidden="1" x14ac:dyDescent="0.35">
      <c r="A51" t="s">
        <v>108</v>
      </c>
      <c r="B51" t="s">
        <v>89</v>
      </c>
      <c r="C51" t="s">
        <v>79</v>
      </c>
      <c r="D51" s="3">
        <v>9.3000000000000007</v>
      </c>
      <c r="E51" s="3">
        <v>12.56</v>
      </c>
      <c r="F51" t="s">
        <v>9</v>
      </c>
      <c r="G51" s="19">
        <f>ProductList[[#This Row],[UnitPrice]]-ProductList[[#This Row],[UnitCost]]</f>
        <v>3.26</v>
      </c>
    </row>
    <row r="52" spans="1:7" hidden="1" x14ac:dyDescent="0.35">
      <c r="A52" t="s">
        <v>109</v>
      </c>
      <c r="B52" t="s">
        <v>110</v>
      </c>
      <c r="C52" t="s">
        <v>38</v>
      </c>
      <c r="D52" s="3">
        <v>29.32</v>
      </c>
      <c r="E52" s="3">
        <v>36.65</v>
      </c>
      <c r="F52" t="s">
        <v>9</v>
      </c>
      <c r="G52" s="19">
        <f>ProductList[[#This Row],[UnitPrice]]-ProductList[[#This Row],[UnitCost]]</f>
        <v>7.3299999999999983</v>
      </c>
    </row>
    <row r="53" spans="1:7" hidden="1" x14ac:dyDescent="0.35">
      <c r="A53" t="s">
        <v>111</v>
      </c>
      <c r="B53" t="s">
        <v>112</v>
      </c>
      <c r="C53" t="s">
        <v>14</v>
      </c>
      <c r="D53" s="3">
        <v>19.850000000000001</v>
      </c>
      <c r="E53" s="3">
        <v>28.78</v>
      </c>
      <c r="F53" t="s">
        <v>15</v>
      </c>
      <c r="G53" s="19">
        <f>ProductList[[#This Row],[UnitPrice]]-ProductList[[#This Row],[UnitCost]]</f>
        <v>8.93</v>
      </c>
    </row>
    <row r="54" spans="1:7" hidden="1" x14ac:dyDescent="0.35">
      <c r="A54" t="s">
        <v>113</v>
      </c>
      <c r="B54" t="s">
        <v>114</v>
      </c>
      <c r="C54" t="s">
        <v>43</v>
      </c>
      <c r="D54" s="3">
        <v>16.91</v>
      </c>
      <c r="E54" s="3">
        <v>21.14</v>
      </c>
      <c r="F54" t="s">
        <v>9</v>
      </c>
      <c r="G54" s="19">
        <f>ProductList[[#This Row],[UnitPrice]]-ProductList[[#This Row],[UnitCost]]</f>
        <v>4.2300000000000004</v>
      </c>
    </row>
    <row r="55" spans="1:7" hidden="1" x14ac:dyDescent="0.35">
      <c r="A55" t="s">
        <v>115</v>
      </c>
      <c r="B55" t="s">
        <v>116</v>
      </c>
      <c r="C55" t="s">
        <v>29</v>
      </c>
      <c r="D55" s="3">
        <v>34.340000000000003</v>
      </c>
      <c r="E55" s="3">
        <v>44.64</v>
      </c>
      <c r="F55" t="s">
        <v>9</v>
      </c>
      <c r="G55" s="19">
        <f>ProductList[[#This Row],[UnitPrice]]-ProductList[[#This Row],[UnitCost]]</f>
        <v>10.299999999999997</v>
      </c>
    </row>
    <row r="56" spans="1:7" hidden="1" x14ac:dyDescent="0.35">
      <c r="A56" t="s">
        <v>117</v>
      </c>
      <c r="B56" t="s">
        <v>118</v>
      </c>
      <c r="C56" t="s">
        <v>38</v>
      </c>
      <c r="D56" s="3">
        <v>43.25</v>
      </c>
      <c r="E56" s="3">
        <v>60.55</v>
      </c>
      <c r="F56" t="s">
        <v>9</v>
      </c>
      <c r="G56" s="19">
        <f>ProductList[[#This Row],[UnitPrice]]-ProductList[[#This Row],[UnitCost]]</f>
        <v>17.299999999999997</v>
      </c>
    </row>
    <row r="57" spans="1:7" hidden="1" x14ac:dyDescent="0.35">
      <c r="A57" t="s">
        <v>119</v>
      </c>
      <c r="B57" t="s">
        <v>120</v>
      </c>
      <c r="C57" t="s">
        <v>20</v>
      </c>
      <c r="D57" s="3">
        <v>40.94</v>
      </c>
      <c r="E57" s="3">
        <v>53.22</v>
      </c>
      <c r="F57" t="s">
        <v>15</v>
      </c>
      <c r="G57" s="19">
        <f>ProductList[[#This Row],[UnitPrice]]-ProductList[[#This Row],[UnitCost]]</f>
        <v>12.280000000000001</v>
      </c>
    </row>
    <row r="58" spans="1:7" hidden="1" x14ac:dyDescent="0.35">
      <c r="A58" t="s">
        <v>121</v>
      </c>
      <c r="B58" t="s">
        <v>122</v>
      </c>
      <c r="C58" t="s">
        <v>29</v>
      </c>
      <c r="D58" s="3">
        <v>15.46</v>
      </c>
      <c r="E58" s="3">
        <v>22.42</v>
      </c>
      <c r="F58" t="s">
        <v>15</v>
      </c>
      <c r="G58" s="19">
        <f>ProductList[[#This Row],[UnitPrice]]-ProductList[[#This Row],[UnitCost]]</f>
        <v>6.9600000000000009</v>
      </c>
    </row>
    <row r="59" spans="1:7" hidden="1" x14ac:dyDescent="0.35">
      <c r="A59" t="s">
        <v>123</v>
      </c>
      <c r="B59" t="s">
        <v>107</v>
      </c>
      <c r="C59" t="s">
        <v>29</v>
      </c>
      <c r="D59" s="3">
        <v>20.7</v>
      </c>
      <c r="E59" s="3">
        <v>30.01</v>
      </c>
      <c r="F59" t="s">
        <v>9</v>
      </c>
      <c r="G59" s="19">
        <f>ProductList[[#This Row],[UnitPrice]]-ProductList[[#This Row],[UnitCost]]</f>
        <v>9.3100000000000023</v>
      </c>
    </row>
    <row r="60" spans="1:7" hidden="1" x14ac:dyDescent="0.35">
      <c r="A60" t="s">
        <v>124</v>
      </c>
      <c r="B60" t="s">
        <v>125</v>
      </c>
      <c r="C60" t="s">
        <v>79</v>
      </c>
      <c r="D60" s="3">
        <v>29.44</v>
      </c>
      <c r="E60" s="3">
        <v>41.22</v>
      </c>
      <c r="F60" t="s">
        <v>9</v>
      </c>
      <c r="G60" s="19">
        <f>ProductList[[#This Row],[UnitPrice]]-ProductList[[#This Row],[UnitCost]]</f>
        <v>11.779999999999998</v>
      </c>
    </row>
    <row r="61" spans="1:7" hidden="1" x14ac:dyDescent="0.35">
      <c r="A61" t="s">
        <v>126</v>
      </c>
      <c r="B61" t="s">
        <v>127</v>
      </c>
      <c r="C61" t="s">
        <v>38</v>
      </c>
      <c r="D61" s="3">
        <v>41.95</v>
      </c>
      <c r="E61" s="3">
        <v>58.73</v>
      </c>
      <c r="F61" t="s">
        <v>9</v>
      </c>
      <c r="G61" s="19">
        <f>ProductList[[#This Row],[UnitPrice]]-ProductList[[#This Row],[UnitCost]]</f>
        <v>16.779999999999994</v>
      </c>
    </row>
    <row r="62" spans="1:7" hidden="1" x14ac:dyDescent="0.35">
      <c r="A62" t="s">
        <v>128</v>
      </c>
      <c r="B62" t="s">
        <v>112</v>
      </c>
      <c r="C62" t="s">
        <v>14</v>
      </c>
      <c r="D62" s="3">
        <v>18.850000000000001</v>
      </c>
      <c r="E62" s="3">
        <v>27.33</v>
      </c>
      <c r="F62" t="s">
        <v>9</v>
      </c>
      <c r="G62" s="19">
        <f>ProductList[[#This Row],[UnitPrice]]-ProductList[[#This Row],[UnitCost]]</f>
        <v>8.4799999999999969</v>
      </c>
    </row>
    <row r="63" spans="1:7" hidden="1" x14ac:dyDescent="0.35">
      <c r="A63" t="s">
        <v>129</v>
      </c>
      <c r="B63" t="s">
        <v>22</v>
      </c>
      <c r="C63" t="s">
        <v>8</v>
      </c>
      <c r="D63" s="3">
        <v>22.15</v>
      </c>
      <c r="E63" s="3">
        <v>31.01</v>
      </c>
      <c r="F63" t="s">
        <v>9</v>
      </c>
      <c r="G63" s="19">
        <f>ProductList[[#This Row],[UnitPrice]]-ProductList[[#This Row],[UnitCost]]</f>
        <v>8.860000000000003</v>
      </c>
    </row>
    <row r="64" spans="1:7" hidden="1" x14ac:dyDescent="0.35">
      <c r="A64" t="s">
        <v>130</v>
      </c>
      <c r="B64" t="s">
        <v>131</v>
      </c>
      <c r="C64" t="s">
        <v>38</v>
      </c>
      <c r="D64" s="3">
        <v>13.35</v>
      </c>
      <c r="E64" s="3">
        <v>17.36</v>
      </c>
      <c r="F64" t="s">
        <v>15</v>
      </c>
      <c r="G64" s="19">
        <f>ProductList[[#This Row],[UnitPrice]]-ProductList[[#This Row],[UnitCost]]</f>
        <v>4.01</v>
      </c>
    </row>
    <row r="65" spans="1:7" hidden="1" x14ac:dyDescent="0.35">
      <c r="A65" t="s">
        <v>132</v>
      </c>
      <c r="B65" t="s">
        <v>133</v>
      </c>
      <c r="C65" t="s">
        <v>38</v>
      </c>
      <c r="D65" s="3">
        <v>12.71</v>
      </c>
      <c r="E65" s="3">
        <v>17.79</v>
      </c>
      <c r="F65" t="s">
        <v>9</v>
      </c>
      <c r="G65" s="19">
        <f>ProductList[[#This Row],[UnitPrice]]-ProductList[[#This Row],[UnitCost]]</f>
        <v>5.0799999999999983</v>
      </c>
    </row>
    <row r="66" spans="1:7" hidden="1" x14ac:dyDescent="0.35">
      <c r="A66" t="s">
        <v>134</v>
      </c>
      <c r="B66" t="s">
        <v>105</v>
      </c>
      <c r="C66" t="s">
        <v>20</v>
      </c>
      <c r="D66" s="3">
        <v>38.36</v>
      </c>
      <c r="E66" s="3">
        <v>53.7</v>
      </c>
      <c r="F66" t="s">
        <v>15</v>
      </c>
      <c r="G66" s="19">
        <f>ProductList[[#This Row],[UnitPrice]]-ProductList[[#This Row],[UnitCost]]</f>
        <v>15.340000000000003</v>
      </c>
    </row>
    <row r="67" spans="1:7" hidden="1" x14ac:dyDescent="0.35">
      <c r="A67" t="s">
        <v>135</v>
      </c>
      <c r="B67" t="s">
        <v>136</v>
      </c>
      <c r="C67" t="s">
        <v>48</v>
      </c>
      <c r="D67" s="3">
        <v>51.72</v>
      </c>
      <c r="E67" s="3">
        <v>67.239999999999995</v>
      </c>
      <c r="F67" t="s">
        <v>9</v>
      </c>
      <c r="G67" s="19">
        <f>ProductList[[#This Row],[UnitPrice]]-ProductList[[#This Row],[UnitCost]]</f>
        <v>15.519999999999996</v>
      </c>
    </row>
    <row r="68" spans="1:7" hidden="1" x14ac:dyDescent="0.35">
      <c r="A68" t="s">
        <v>137</v>
      </c>
      <c r="B68" t="s">
        <v>98</v>
      </c>
      <c r="C68" t="s">
        <v>20</v>
      </c>
      <c r="D68" s="3">
        <v>23.58</v>
      </c>
      <c r="E68" s="3">
        <v>31.83</v>
      </c>
      <c r="F68" t="s">
        <v>9</v>
      </c>
      <c r="G68" s="19">
        <f>ProductList[[#This Row],[UnitPrice]]-ProductList[[#This Row],[UnitCost]]</f>
        <v>8.25</v>
      </c>
    </row>
    <row r="69" spans="1:7" hidden="1" x14ac:dyDescent="0.35">
      <c r="A69" t="s">
        <v>138</v>
      </c>
      <c r="B69" t="s">
        <v>17</v>
      </c>
      <c r="C69" t="s">
        <v>14</v>
      </c>
      <c r="D69" s="3">
        <v>42.6</v>
      </c>
      <c r="E69" s="3">
        <v>59.64</v>
      </c>
      <c r="F69" t="s">
        <v>9</v>
      </c>
      <c r="G69" s="19">
        <f>ProductList[[#This Row],[UnitPrice]]-ProductList[[#This Row],[UnitCost]]</f>
        <v>17.04</v>
      </c>
    </row>
    <row r="70" spans="1:7" hidden="1" x14ac:dyDescent="0.35">
      <c r="A70" t="s">
        <v>139</v>
      </c>
      <c r="B70" t="s">
        <v>140</v>
      </c>
      <c r="C70" t="s">
        <v>48</v>
      </c>
      <c r="D70" s="3">
        <v>29.93</v>
      </c>
      <c r="E70" s="3">
        <v>41.9</v>
      </c>
      <c r="F70" t="s">
        <v>9</v>
      </c>
      <c r="G70" s="19">
        <f>ProductList[[#This Row],[UnitPrice]]-ProductList[[#This Row],[UnitCost]]</f>
        <v>11.969999999999999</v>
      </c>
    </row>
    <row r="71" spans="1:7" hidden="1" x14ac:dyDescent="0.35">
      <c r="A71" t="s">
        <v>141</v>
      </c>
      <c r="B71" t="s">
        <v>142</v>
      </c>
      <c r="C71" t="s">
        <v>43</v>
      </c>
      <c r="D71" s="3">
        <v>17.2</v>
      </c>
      <c r="E71" s="3">
        <v>22.36</v>
      </c>
      <c r="F71" t="s">
        <v>9</v>
      </c>
      <c r="G71" s="19">
        <f>ProductList[[#This Row],[UnitPrice]]-ProductList[[#This Row],[UnitCost]]</f>
        <v>5.16</v>
      </c>
    </row>
    <row r="72" spans="1:7" hidden="1" x14ac:dyDescent="0.35">
      <c r="A72" t="s">
        <v>143</v>
      </c>
      <c r="B72" t="s">
        <v>144</v>
      </c>
      <c r="C72" t="s">
        <v>48</v>
      </c>
      <c r="D72" s="3">
        <v>29.93</v>
      </c>
      <c r="E72" s="3">
        <v>38.909999999999997</v>
      </c>
      <c r="F72" t="s">
        <v>15</v>
      </c>
      <c r="G72" s="19">
        <f>ProductList[[#This Row],[UnitPrice]]-ProductList[[#This Row],[UnitCost]]</f>
        <v>8.9799999999999969</v>
      </c>
    </row>
    <row r="73" spans="1:7" hidden="1" x14ac:dyDescent="0.35">
      <c r="A73" t="s">
        <v>145</v>
      </c>
      <c r="B73" t="s">
        <v>87</v>
      </c>
      <c r="C73" t="s">
        <v>29</v>
      </c>
      <c r="D73" s="3">
        <v>57.16</v>
      </c>
      <c r="E73" s="3">
        <v>82.88</v>
      </c>
      <c r="F73" t="s">
        <v>15</v>
      </c>
      <c r="G73" s="19">
        <f>ProductList[[#This Row],[UnitPrice]]-ProductList[[#This Row],[UnitCost]]</f>
        <v>25.72</v>
      </c>
    </row>
    <row r="74" spans="1:7" hidden="1" x14ac:dyDescent="0.35">
      <c r="A74" t="s">
        <v>146</v>
      </c>
      <c r="B74" t="s">
        <v>147</v>
      </c>
      <c r="C74" t="s">
        <v>43</v>
      </c>
      <c r="D74" s="3">
        <v>24.05</v>
      </c>
      <c r="E74" s="3">
        <v>31.27</v>
      </c>
      <c r="F74" t="s">
        <v>9</v>
      </c>
      <c r="G74" s="19">
        <f>ProductList[[#This Row],[UnitPrice]]-ProductList[[#This Row],[UnitCost]]</f>
        <v>7.2199999999999989</v>
      </c>
    </row>
    <row r="75" spans="1:7" hidden="1" x14ac:dyDescent="0.35">
      <c r="A75" t="s">
        <v>148</v>
      </c>
      <c r="B75" t="s">
        <v>149</v>
      </c>
      <c r="C75" t="s">
        <v>48</v>
      </c>
      <c r="D75" s="3">
        <v>58.01</v>
      </c>
      <c r="E75" s="3">
        <v>72.510000000000005</v>
      </c>
      <c r="F75" t="s">
        <v>9</v>
      </c>
      <c r="G75" s="19">
        <f>ProductList[[#This Row],[UnitPrice]]-ProductList[[#This Row],[UnitCost]]</f>
        <v>14.500000000000007</v>
      </c>
    </row>
    <row r="76" spans="1:7" hidden="1" x14ac:dyDescent="0.35">
      <c r="A76" t="s">
        <v>150</v>
      </c>
      <c r="B76" t="s">
        <v>151</v>
      </c>
      <c r="C76" t="s">
        <v>14</v>
      </c>
      <c r="D76" s="3">
        <v>5.81</v>
      </c>
      <c r="E76" s="3">
        <v>7.55</v>
      </c>
      <c r="F76" t="s">
        <v>9</v>
      </c>
      <c r="G76" s="19">
        <f>ProductList[[#This Row],[UnitPrice]]-ProductList[[#This Row],[UnitCost]]</f>
        <v>1.7400000000000002</v>
      </c>
    </row>
    <row r="77" spans="1:7" hidden="1" x14ac:dyDescent="0.35">
      <c r="A77" t="s">
        <v>152</v>
      </c>
      <c r="B77" t="s">
        <v>153</v>
      </c>
      <c r="C77" t="s">
        <v>14</v>
      </c>
      <c r="D77" s="3">
        <v>38.549999999999997</v>
      </c>
      <c r="E77" s="3">
        <v>53.97</v>
      </c>
      <c r="F77" t="s">
        <v>15</v>
      </c>
      <c r="G77" s="19">
        <f>ProductList[[#This Row],[UnitPrice]]-ProductList[[#This Row],[UnitCost]]</f>
        <v>15.420000000000002</v>
      </c>
    </row>
    <row r="78" spans="1:7" hidden="1" x14ac:dyDescent="0.35">
      <c r="A78" t="s">
        <v>154</v>
      </c>
      <c r="B78" t="s">
        <v>155</v>
      </c>
      <c r="C78" t="s">
        <v>29</v>
      </c>
      <c r="D78" s="3">
        <v>25.74</v>
      </c>
      <c r="E78" s="3">
        <v>33.46</v>
      </c>
      <c r="F78" t="s">
        <v>15</v>
      </c>
      <c r="G78" s="19">
        <f>ProductList[[#This Row],[UnitPrice]]-ProductList[[#This Row],[UnitCost]]</f>
        <v>7.7200000000000024</v>
      </c>
    </row>
    <row r="79" spans="1:7" hidden="1" x14ac:dyDescent="0.35">
      <c r="A79" t="s">
        <v>156</v>
      </c>
      <c r="B79" t="s">
        <v>157</v>
      </c>
      <c r="C79" t="s">
        <v>38</v>
      </c>
      <c r="D79" s="3">
        <v>20.81</v>
      </c>
      <c r="E79" s="3">
        <v>29.13</v>
      </c>
      <c r="F79" t="s">
        <v>9</v>
      </c>
      <c r="G79" s="19">
        <f>ProductList[[#This Row],[UnitPrice]]-ProductList[[#This Row],[UnitCost]]</f>
        <v>8.32</v>
      </c>
    </row>
    <row r="80" spans="1:7" hidden="1" x14ac:dyDescent="0.35">
      <c r="A80" t="s">
        <v>158</v>
      </c>
      <c r="B80" t="s">
        <v>50</v>
      </c>
      <c r="C80" t="s">
        <v>29</v>
      </c>
      <c r="D80" s="3">
        <v>25.8</v>
      </c>
      <c r="E80" s="3">
        <v>36.119999999999997</v>
      </c>
      <c r="F80" t="s">
        <v>9</v>
      </c>
      <c r="G80" s="19">
        <f>ProductList[[#This Row],[UnitPrice]]-ProductList[[#This Row],[UnitCost]]</f>
        <v>10.319999999999997</v>
      </c>
    </row>
    <row r="81" spans="1:7" hidden="1" x14ac:dyDescent="0.35">
      <c r="A81" t="s">
        <v>159</v>
      </c>
      <c r="B81" t="s">
        <v>160</v>
      </c>
      <c r="C81" t="s">
        <v>20</v>
      </c>
      <c r="D81" s="3">
        <v>8.2200000000000006</v>
      </c>
      <c r="E81" s="3">
        <v>11.1</v>
      </c>
      <c r="F81" t="s">
        <v>15</v>
      </c>
      <c r="G81" s="19">
        <f>ProductList[[#This Row],[UnitPrice]]-ProductList[[#This Row],[UnitCost]]</f>
        <v>2.879999999999999</v>
      </c>
    </row>
    <row r="82" spans="1:7" hidden="1" x14ac:dyDescent="0.35">
      <c r="A82" t="s">
        <v>161</v>
      </c>
      <c r="B82" t="s">
        <v>45</v>
      </c>
      <c r="C82" t="s">
        <v>43</v>
      </c>
      <c r="D82" s="3">
        <v>21.74</v>
      </c>
      <c r="E82" s="3">
        <v>30.44</v>
      </c>
      <c r="F82" t="s">
        <v>9</v>
      </c>
      <c r="G82" s="19">
        <f>ProductList[[#This Row],[UnitPrice]]-ProductList[[#This Row],[UnitCost]]</f>
        <v>8.7000000000000028</v>
      </c>
    </row>
    <row r="83" spans="1:7" hidden="1" x14ac:dyDescent="0.35">
      <c r="A83" t="s">
        <v>162</v>
      </c>
      <c r="B83" t="s">
        <v>74</v>
      </c>
      <c r="C83" t="s">
        <v>8</v>
      </c>
      <c r="D83" s="3">
        <v>29.86</v>
      </c>
      <c r="E83" s="3">
        <v>38.82</v>
      </c>
      <c r="F83" t="s">
        <v>9</v>
      </c>
      <c r="G83" s="19">
        <f>ProductList[[#This Row],[UnitPrice]]-ProductList[[#This Row],[UnitCost]]</f>
        <v>8.9600000000000009</v>
      </c>
    </row>
    <row r="84" spans="1:7" hidden="1" x14ac:dyDescent="0.35">
      <c r="A84" t="s">
        <v>163</v>
      </c>
      <c r="B84" t="s">
        <v>164</v>
      </c>
      <c r="C84" t="s">
        <v>20</v>
      </c>
      <c r="D84" s="3">
        <v>55.3</v>
      </c>
      <c r="E84" s="3">
        <v>74.66</v>
      </c>
      <c r="F84" t="s">
        <v>9</v>
      </c>
      <c r="G84" s="19">
        <f>ProductList[[#This Row],[UnitPrice]]-ProductList[[#This Row],[UnitCost]]</f>
        <v>19.36</v>
      </c>
    </row>
    <row r="85" spans="1:7" hidden="1" x14ac:dyDescent="0.35">
      <c r="A85" t="s">
        <v>165</v>
      </c>
      <c r="B85" t="s">
        <v>127</v>
      </c>
      <c r="C85" t="s">
        <v>38</v>
      </c>
      <c r="D85" s="3">
        <v>18.45</v>
      </c>
      <c r="E85" s="3">
        <v>25.83</v>
      </c>
      <c r="F85" t="s">
        <v>9</v>
      </c>
      <c r="G85" s="19">
        <f>ProductList[[#This Row],[UnitPrice]]-ProductList[[#This Row],[UnitCost]]</f>
        <v>7.379999999999999</v>
      </c>
    </row>
    <row r="86" spans="1:7" hidden="1" x14ac:dyDescent="0.35">
      <c r="A86" t="s">
        <v>166</v>
      </c>
      <c r="B86" t="s">
        <v>78</v>
      </c>
      <c r="C86" t="s">
        <v>79</v>
      </c>
      <c r="D86" s="3">
        <v>15.73</v>
      </c>
      <c r="E86" s="3">
        <v>19.66</v>
      </c>
      <c r="F86" t="s">
        <v>9</v>
      </c>
      <c r="G86" s="19">
        <f>ProductList[[#This Row],[UnitPrice]]-ProductList[[#This Row],[UnitCost]]</f>
        <v>3.9299999999999997</v>
      </c>
    </row>
    <row r="87" spans="1:7" hidden="1" x14ac:dyDescent="0.35">
      <c r="A87" t="s">
        <v>167</v>
      </c>
      <c r="B87" t="s">
        <v>168</v>
      </c>
      <c r="C87" t="s">
        <v>14</v>
      </c>
      <c r="D87" s="3">
        <v>18.62</v>
      </c>
      <c r="E87" s="3">
        <v>26.07</v>
      </c>
      <c r="F87" t="s">
        <v>9</v>
      </c>
      <c r="G87" s="19">
        <f>ProductList[[#This Row],[UnitPrice]]-ProductList[[#This Row],[UnitCost]]</f>
        <v>7.4499999999999993</v>
      </c>
    </row>
    <row r="88" spans="1:7" hidden="1" x14ac:dyDescent="0.35">
      <c r="A88" t="s">
        <v>169</v>
      </c>
      <c r="B88" t="s">
        <v>170</v>
      </c>
      <c r="C88" t="s">
        <v>14</v>
      </c>
      <c r="D88" s="3">
        <v>40.590000000000003</v>
      </c>
      <c r="E88" s="3">
        <v>58.86</v>
      </c>
      <c r="F88" t="s">
        <v>9</v>
      </c>
      <c r="G88" s="19">
        <f>ProductList[[#This Row],[UnitPrice]]-ProductList[[#This Row],[UnitCost]]</f>
        <v>18.269999999999996</v>
      </c>
    </row>
    <row r="89" spans="1:7" x14ac:dyDescent="0.35">
      <c r="A89" t="s">
        <v>171</v>
      </c>
      <c r="B89" t="s">
        <v>45</v>
      </c>
      <c r="C89" t="s">
        <v>43</v>
      </c>
      <c r="D89" s="3">
        <v>29.39</v>
      </c>
      <c r="E89" s="3">
        <v>39.68</v>
      </c>
      <c r="F89" t="s">
        <v>15</v>
      </c>
      <c r="G89" s="19">
        <f>ProductList[[#This Row],[UnitPrice]]-ProductList[[#This Row],[UnitCost]]</f>
        <v>10.29</v>
      </c>
    </row>
    <row r="90" spans="1:7" hidden="1" x14ac:dyDescent="0.35">
      <c r="A90" t="s">
        <v>172</v>
      </c>
      <c r="B90" t="s">
        <v>173</v>
      </c>
      <c r="C90" t="s">
        <v>38</v>
      </c>
      <c r="D90" s="3">
        <v>18.329999999999998</v>
      </c>
      <c r="E90" s="3">
        <v>22.91</v>
      </c>
      <c r="F90" t="s">
        <v>9</v>
      </c>
      <c r="G90" s="19">
        <f>ProductList[[#This Row],[UnitPrice]]-ProductList[[#This Row],[UnitCost]]</f>
        <v>4.5800000000000018</v>
      </c>
    </row>
    <row r="91" spans="1:7" hidden="1" x14ac:dyDescent="0.35">
      <c r="A91" t="s">
        <v>174</v>
      </c>
      <c r="B91" t="s">
        <v>175</v>
      </c>
      <c r="C91" t="s">
        <v>8</v>
      </c>
      <c r="D91" s="3">
        <v>32.53</v>
      </c>
      <c r="E91" s="3">
        <v>43.92</v>
      </c>
      <c r="F91" t="s">
        <v>9</v>
      </c>
      <c r="G91" s="19">
        <f>ProductList[[#This Row],[UnitPrice]]-ProductList[[#This Row],[UnitCost]]</f>
        <v>11.39</v>
      </c>
    </row>
    <row r="92" spans="1:7" hidden="1" x14ac:dyDescent="0.35">
      <c r="A92" t="s">
        <v>176</v>
      </c>
      <c r="B92" t="s">
        <v>155</v>
      </c>
      <c r="C92" t="s">
        <v>29</v>
      </c>
      <c r="D92" s="3">
        <v>25.88</v>
      </c>
      <c r="E92" s="3">
        <v>36.229999999999997</v>
      </c>
      <c r="F92" t="s">
        <v>9</v>
      </c>
      <c r="G92" s="19">
        <f>ProductList[[#This Row],[UnitPrice]]-ProductList[[#This Row],[UnitCost]]</f>
        <v>10.349999999999998</v>
      </c>
    </row>
    <row r="93" spans="1:7" hidden="1" x14ac:dyDescent="0.35">
      <c r="A93" t="s">
        <v>177</v>
      </c>
      <c r="B93" t="s">
        <v>178</v>
      </c>
      <c r="C93" t="s">
        <v>48</v>
      </c>
      <c r="D93" s="3">
        <v>41.79</v>
      </c>
      <c r="E93" s="3">
        <v>60.6</v>
      </c>
      <c r="F93" t="s">
        <v>9</v>
      </c>
      <c r="G93" s="19">
        <f>ProductList[[#This Row],[UnitPrice]]-ProductList[[#This Row],[UnitCost]]</f>
        <v>18.810000000000002</v>
      </c>
    </row>
    <row r="94" spans="1:7" hidden="1" x14ac:dyDescent="0.35">
      <c r="A94" t="s">
        <v>179</v>
      </c>
      <c r="B94" t="s">
        <v>180</v>
      </c>
      <c r="C94" t="s">
        <v>48</v>
      </c>
      <c r="D94" s="3">
        <v>16.670000000000002</v>
      </c>
      <c r="E94" s="3">
        <v>22.5</v>
      </c>
      <c r="F94" t="s">
        <v>9</v>
      </c>
      <c r="G94" s="19">
        <f>ProductList[[#This Row],[UnitPrice]]-ProductList[[#This Row],[UnitCost]]</f>
        <v>5.8299999999999983</v>
      </c>
    </row>
    <row r="95" spans="1:7" hidden="1" x14ac:dyDescent="0.35">
      <c r="A95" t="s">
        <v>181</v>
      </c>
      <c r="B95" t="s">
        <v>74</v>
      </c>
      <c r="C95" t="s">
        <v>8</v>
      </c>
      <c r="D95" s="3">
        <v>20.49</v>
      </c>
      <c r="E95" s="3">
        <v>29.71</v>
      </c>
      <c r="F95" t="s">
        <v>15</v>
      </c>
      <c r="G95" s="19">
        <f>ProductList[[#This Row],[UnitPrice]]-ProductList[[#This Row],[UnitCost]]</f>
        <v>9.2200000000000024</v>
      </c>
    </row>
    <row r="96" spans="1:7" hidden="1" x14ac:dyDescent="0.35">
      <c r="A96" t="s">
        <v>182</v>
      </c>
      <c r="B96" t="s">
        <v>107</v>
      </c>
      <c r="C96" t="s">
        <v>29</v>
      </c>
      <c r="D96" s="3">
        <v>19.77</v>
      </c>
      <c r="E96" s="3">
        <v>27.68</v>
      </c>
      <c r="F96" t="s">
        <v>9</v>
      </c>
      <c r="G96" s="19">
        <f>ProductList[[#This Row],[UnitPrice]]-ProductList[[#This Row],[UnitCost]]</f>
        <v>7.91</v>
      </c>
    </row>
    <row r="97" spans="1:7" hidden="1" x14ac:dyDescent="0.35">
      <c r="A97" t="s">
        <v>183</v>
      </c>
      <c r="B97" t="s">
        <v>122</v>
      </c>
      <c r="C97" t="s">
        <v>29</v>
      </c>
      <c r="D97" s="3">
        <v>10.97</v>
      </c>
      <c r="E97" s="3">
        <v>15.91</v>
      </c>
      <c r="F97" t="s">
        <v>9</v>
      </c>
      <c r="G97" s="19">
        <f>ProductList[[#This Row],[UnitPrice]]-ProductList[[#This Row],[UnitCost]]</f>
        <v>4.9399999999999995</v>
      </c>
    </row>
    <row r="98" spans="1:7" hidden="1" x14ac:dyDescent="0.35">
      <c r="A98" t="s">
        <v>184</v>
      </c>
      <c r="B98" t="s">
        <v>185</v>
      </c>
      <c r="C98" t="s">
        <v>79</v>
      </c>
      <c r="D98" s="3">
        <v>28.87</v>
      </c>
      <c r="E98" s="3">
        <v>40.42</v>
      </c>
      <c r="F98" t="s">
        <v>15</v>
      </c>
      <c r="G98" s="19">
        <f>ProductList[[#This Row],[UnitPrice]]-ProductList[[#This Row],[UnitCost]]</f>
        <v>11.55</v>
      </c>
    </row>
    <row r="99" spans="1:7" hidden="1" x14ac:dyDescent="0.35">
      <c r="A99" t="s">
        <v>186</v>
      </c>
      <c r="B99" t="s">
        <v>187</v>
      </c>
      <c r="C99" t="s">
        <v>14</v>
      </c>
      <c r="D99" s="3">
        <v>28.32</v>
      </c>
      <c r="E99" s="3">
        <v>35.4</v>
      </c>
      <c r="F99" t="s">
        <v>9</v>
      </c>
      <c r="G99" s="19">
        <f>ProductList[[#This Row],[UnitPrice]]-ProductList[[#This Row],[UnitCost]]</f>
        <v>7.0799999999999983</v>
      </c>
    </row>
    <row r="100" spans="1:7" hidden="1" x14ac:dyDescent="0.35">
      <c r="A100" t="s">
        <v>188</v>
      </c>
      <c r="B100" t="s">
        <v>189</v>
      </c>
      <c r="C100" t="s">
        <v>20</v>
      </c>
      <c r="D100" s="3">
        <v>24.6</v>
      </c>
      <c r="E100" s="3">
        <v>35.67</v>
      </c>
      <c r="F100" t="s">
        <v>9</v>
      </c>
      <c r="G100" s="19">
        <f>ProductList[[#This Row],[UnitPrice]]-ProductList[[#This Row],[UnitCost]]</f>
        <v>11.07</v>
      </c>
    </row>
    <row r="101" spans="1:7" hidden="1" x14ac:dyDescent="0.35">
      <c r="A101" t="s">
        <v>190</v>
      </c>
      <c r="B101" t="s">
        <v>149</v>
      </c>
      <c r="C101" t="s">
        <v>48</v>
      </c>
      <c r="D101" s="3">
        <v>21.56</v>
      </c>
      <c r="E101" s="3">
        <v>31.26</v>
      </c>
      <c r="F101" t="s">
        <v>9</v>
      </c>
      <c r="G101" s="19">
        <f>ProductList[[#This Row],[UnitPrice]]-ProductList[[#This Row],[UnitCost]]</f>
        <v>9.7000000000000028</v>
      </c>
    </row>
    <row r="102" spans="1:7" hidden="1" x14ac:dyDescent="0.35">
      <c r="A102" t="s">
        <v>191</v>
      </c>
      <c r="B102" t="s">
        <v>122</v>
      </c>
      <c r="C102" t="s">
        <v>29</v>
      </c>
      <c r="D102" s="3">
        <v>11.26</v>
      </c>
      <c r="E102" s="3">
        <v>15.2</v>
      </c>
      <c r="F102" t="s">
        <v>9</v>
      </c>
      <c r="G102" s="19">
        <f>ProductList[[#This Row],[UnitPrice]]-ProductList[[#This Row],[UnitCost]]</f>
        <v>3.9399999999999995</v>
      </c>
    </row>
    <row r="103" spans="1:7" hidden="1" x14ac:dyDescent="0.35">
      <c r="A103" t="s">
        <v>192</v>
      </c>
      <c r="B103" t="s">
        <v>193</v>
      </c>
      <c r="C103" t="s">
        <v>8</v>
      </c>
      <c r="D103" s="3">
        <v>19.47</v>
      </c>
      <c r="E103" s="3">
        <v>28.23</v>
      </c>
      <c r="F103" t="s">
        <v>9</v>
      </c>
      <c r="G103" s="19">
        <f>ProductList[[#This Row],[UnitPrice]]-ProductList[[#This Row],[UnitCost]]</f>
        <v>8.7600000000000016</v>
      </c>
    </row>
    <row r="104" spans="1:7" hidden="1" x14ac:dyDescent="0.35">
      <c r="A104" t="s">
        <v>194</v>
      </c>
      <c r="B104" t="s">
        <v>195</v>
      </c>
      <c r="C104" t="s">
        <v>14</v>
      </c>
      <c r="D104" s="3">
        <v>20.32</v>
      </c>
      <c r="E104" s="3">
        <v>25.4</v>
      </c>
      <c r="F104" t="s">
        <v>9</v>
      </c>
      <c r="G104" s="19">
        <f>ProductList[[#This Row],[UnitPrice]]-ProductList[[#This Row],[UnitCost]]</f>
        <v>5.0799999999999983</v>
      </c>
    </row>
    <row r="105" spans="1:7" hidden="1" x14ac:dyDescent="0.35">
      <c r="A105" t="s">
        <v>196</v>
      </c>
      <c r="B105" t="s">
        <v>189</v>
      </c>
      <c r="C105" t="s">
        <v>20</v>
      </c>
      <c r="D105" s="3">
        <v>15.78</v>
      </c>
      <c r="E105" s="3">
        <v>19.72</v>
      </c>
      <c r="F105" t="s">
        <v>9</v>
      </c>
      <c r="G105" s="19">
        <f>ProductList[[#This Row],[UnitPrice]]-ProductList[[#This Row],[UnitCost]]</f>
        <v>3.9399999999999995</v>
      </c>
    </row>
    <row r="106" spans="1:7" hidden="1" x14ac:dyDescent="0.35">
      <c r="A106" t="s">
        <v>197</v>
      </c>
      <c r="B106" t="s">
        <v>35</v>
      </c>
      <c r="C106" t="s">
        <v>20</v>
      </c>
      <c r="D106" s="3">
        <v>22.45</v>
      </c>
      <c r="E106" s="3">
        <v>29.18</v>
      </c>
      <c r="F106" t="s">
        <v>15</v>
      </c>
      <c r="G106" s="19">
        <f>ProductList[[#This Row],[UnitPrice]]-ProductList[[#This Row],[UnitCost]]</f>
        <v>6.73</v>
      </c>
    </row>
    <row r="107" spans="1:7" hidden="1" x14ac:dyDescent="0.35">
      <c r="A107" t="s">
        <v>198</v>
      </c>
      <c r="B107" t="s">
        <v>199</v>
      </c>
      <c r="C107" t="s">
        <v>8</v>
      </c>
      <c r="D107" s="3">
        <v>30.64</v>
      </c>
      <c r="E107" s="3">
        <v>42.9</v>
      </c>
      <c r="F107" t="s">
        <v>9</v>
      </c>
      <c r="G107" s="19">
        <f>ProductList[[#This Row],[UnitPrice]]-ProductList[[#This Row],[UnitCost]]</f>
        <v>12.259999999999998</v>
      </c>
    </row>
    <row r="108" spans="1:7" x14ac:dyDescent="0.35">
      <c r="A108" t="s">
        <v>200</v>
      </c>
      <c r="B108" t="s">
        <v>201</v>
      </c>
      <c r="C108" t="s">
        <v>43</v>
      </c>
      <c r="D108" s="3">
        <v>69.23</v>
      </c>
      <c r="E108" s="3">
        <v>86.54</v>
      </c>
      <c r="F108" t="s">
        <v>15</v>
      </c>
      <c r="G108" s="19">
        <f>ProductList[[#This Row],[UnitPrice]]-ProductList[[#This Row],[UnitCost]]</f>
        <v>17.310000000000002</v>
      </c>
    </row>
    <row r="109" spans="1:7" hidden="1" x14ac:dyDescent="0.35">
      <c r="A109" t="s">
        <v>202</v>
      </c>
      <c r="B109" t="s">
        <v>203</v>
      </c>
      <c r="C109" t="s">
        <v>48</v>
      </c>
      <c r="D109" s="3">
        <v>27</v>
      </c>
      <c r="E109" s="3">
        <v>39.15</v>
      </c>
      <c r="F109" t="s">
        <v>9</v>
      </c>
      <c r="G109" s="19">
        <f>ProductList[[#This Row],[UnitPrice]]-ProductList[[#This Row],[UnitCost]]</f>
        <v>12.149999999999999</v>
      </c>
    </row>
    <row r="110" spans="1:7" hidden="1" x14ac:dyDescent="0.35">
      <c r="A110" t="s">
        <v>204</v>
      </c>
      <c r="B110" t="s">
        <v>205</v>
      </c>
      <c r="C110" t="s">
        <v>8</v>
      </c>
      <c r="D110" s="3">
        <v>28.27</v>
      </c>
      <c r="E110" s="3">
        <v>40.99</v>
      </c>
      <c r="F110" t="s">
        <v>9</v>
      </c>
      <c r="G110" s="19">
        <f>ProductList[[#This Row],[UnitPrice]]-ProductList[[#This Row],[UnitCost]]</f>
        <v>12.720000000000002</v>
      </c>
    </row>
    <row r="111" spans="1:7" hidden="1" x14ac:dyDescent="0.35">
      <c r="A111" t="s">
        <v>206</v>
      </c>
      <c r="B111" t="s">
        <v>83</v>
      </c>
      <c r="C111" t="s">
        <v>38</v>
      </c>
      <c r="D111" s="3">
        <v>23.55</v>
      </c>
      <c r="E111" s="3">
        <v>31.79</v>
      </c>
      <c r="F111" t="s">
        <v>9</v>
      </c>
      <c r="G111" s="19">
        <f>ProductList[[#This Row],[UnitPrice]]-ProductList[[#This Row],[UnitCost]]</f>
        <v>8.2399999999999984</v>
      </c>
    </row>
    <row r="112" spans="1:7" hidden="1" x14ac:dyDescent="0.35">
      <c r="A112" t="s">
        <v>207</v>
      </c>
      <c r="B112" t="s">
        <v>208</v>
      </c>
      <c r="C112" t="s">
        <v>8</v>
      </c>
      <c r="D112" s="3">
        <v>8.5399999999999991</v>
      </c>
      <c r="E112" s="3">
        <v>10.67</v>
      </c>
      <c r="F112" t="s">
        <v>9</v>
      </c>
      <c r="G112" s="19">
        <f>ProductList[[#This Row],[UnitPrice]]-ProductList[[#This Row],[UnitCost]]</f>
        <v>2.1300000000000008</v>
      </c>
    </row>
    <row r="113" spans="1:7" hidden="1" x14ac:dyDescent="0.35">
      <c r="A113" t="s">
        <v>209</v>
      </c>
      <c r="B113" t="s">
        <v>153</v>
      </c>
      <c r="C113" t="s">
        <v>14</v>
      </c>
      <c r="D113" s="3">
        <v>24.18</v>
      </c>
      <c r="E113" s="3">
        <v>33.85</v>
      </c>
      <c r="F113" t="s">
        <v>15</v>
      </c>
      <c r="G113" s="19">
        <f>ProductList[[#This Row],[UnitPrice]]-ProductList[[#This Row],[UnitCost]]</f>
        <v>9.6700000000000017</v>
      </c>
    </row>
    <row r="114" spans="1:7" hidden="1" x14ac:dyDescent="0.35">
      <c r="A114" t="s">
        <v>210</v>
      </c>
      <c r="B114" t="s">
        <v>211</v>
      </c>
      <c r="C114" t="s">
        <v>48</v>
      </c>
      <c r="D114" s="3">
        <v>25.36</v>
      </c>
      <c r="E114" s="3">
        <v>34.24</v>
      </c>
      <c r="F114" t="s">
        <v>15</v>
      </c>
      <c r="G114" s="19">
        <f>ProductList[[#This Row],[UnitPrice]]-ProductList[[#This Row],[UnitCost]]</f>
        <v>8.8800000000000026</v>
      </c>
    </row>
    <row r="115" spans="1:7" hidden="1" x14ac:dyDescent="0.35">
      <c r="A115" t="s">
        <v>212</v>
      </c>
      <c r="B115" t="s">
        <v>213</v>
      </c>
      <c r="C115" t="s">
        <v>8</v>
      </c>
      <c r="D115" s="3">
        <v>95.09</v>
      </c>
      <c r="E115" s="3">
        <v>133.13</v>
      </c>
      <c r="F115" t="s">
        <v>9</v>
      </c>
      <c r="G115" s="19">
        <f>ProductList[[#This Row],[UnitPrice]]-ProductList[[#This Row],[UnitCost]]</f>
        <v>38.039999999999992</v>
      </c>
    </row>
    <row r="116" spans="1:7" hidden="1" x14ac:dyDescent="0.35">
      <c r="A116" t="s">
        <v>214</v>
      </c>
      <c r="B116" t="s">
        <v>170</v>
      </c>
      <c r="C116" t="s">
        <v>14</v>
      </c>
      <c r="D116" s="3">
        <v>22.07</v>
      </c>
      <c r="E116" s="3">
        <v>27.59</v>
      </c>
      <c r="F116" t="s">
        <v>9</v>
      </c>
      <c r="G116" s="19">
        <f>ProductList[[#This Row],[UnitPrice]]-ProductList[[#This Row],[UnitCost]]</f>
        <v>5.52</v>
      </c>
    </row>
    <row r="117" spans="1:7" hidden="1" x14ac:dyDescent="0.35">
      <c r="A117" t="s">
        <v>215</v>
      </c>
      <c r="B117" t="s">
        <v>216</v>
      </c>
      <c r="C117" t="s">
        <v>43</v>
      </c>
      <c r="D117" s="3">
        <v>28.96</v>
      </c>
      <c r="E117" s="3">
        <v>40.54</v>
      </c>
      <c r="F117" t="s">
        <v>9</v>
      </c>
      <c r="G117" s="19">
        <f>ProductList[[#This Row],[UnitPrice]]-ProductList[[#This Row],[UnitCost]]</f>
        <v>11.579999999999998</v>
      </c>
    </row>
    <row r="118" spans="1:7" hidden="1" x14ac:dyDescent="0.35">
      <c r="A118" t="s">
        <v>217</v>
      </c>
      <c r="B118" t="s">
        <v>218</v>
      </c>
      <c r="C118" t="s">
        <v>48</v>
      </c>
      <c r="D118" s="3">
        <v>24.07</v>
      </c>
      <c r="E118" s="3">
        <v>34.9</v>
      </c>
      <c r="F118" t="s">
        <v>15</v>
      </c>
      <c r="G118" s="19">
        <f>ProductList[[#This Row],[UnitPrice]]-ProductList[[#This Row],[UnitCost]]</f>
        <v>10.829999999999998</v>
      </c>
    </row>
    <row r="119" spans="1:7" hidden="1" x14ac:dyDescent="0.35">
      <c r="A119" t="s">
        <v>219</v>
      </c>
      <c r="B119" t="s">
        <v>218</v>
      </c>
      <c r="C119" t="s">
        <v>48</v>
      </c>
      <c r="D119" s="3">
        <v>12.9</v>
      </c>
      <c r="E119" s="3">
        <v>18.7</v>
      </c>
      <c r="F119" t="s">
        <v>9</v>
      </c>
      <c r="G119" s="19">
        <f>ProductList[[#This Row],[UnitPrice]]-ProductList[[#This Row],[UnitCost]]</f>
        <v>5.7999999999999989</v>
      </c>
    </row>
    <row r="120" spans="1:7" hidden="1" x14ac:dyDescent="0.35">
      <c r="A120" t="s">
        <v>220</v>
      </c>
      <c r="B120" t="s">
        <v>221</v>
      </c>
      <c r="C120" t="s">
        <v>79</v>
      </c>
      <c r="D120" s="3">
        <v>46</v>
      </c>
      <c r="E120" s="3">
        <v>62.1</v>
      </c>
      <c r="F120" t="s">
        <v>9</v>
      </c>
      <c r="G120" s="19">
        <f>ProductList[[#This Row],[UnitPrice]]-ProductList[[#This Row],[UnitCost]]</f>
        <v>16.100000000000001</v>
      </c>
    </row>
    <row r="121" spans="1:7" x14ac:dyDescent="0.35">
      <c r="A121" t="s">
        <v>222</v>
      </c>
      <c r="B121" t="s">
        <v>147</v>
      </c>
      <c r="C121" t="s">
        <v>43</v>
      </c>
      <c r="D121" s="3">
        <v>37.1</v>
      </c>
      <c r="E121" s="3">
        <v>48.23</v>
      </c>
      <c r="F121" t="s">
        <v>15</v>
      </c>
      <c r="G121" s="19">
        <f>ProductList[[#This Row],[UnitPrice]]-ProductList[[#This Row],[UnitCost]]</f>
        <v>11.129999999999995</v>
      </c>
    </row>
    <row r="122" spans="1:7" x14ac:dyDescent="0.35">
      <c r="A122" t="s">
        <v>3586</v>
      </c>
      <c r="B122" t="s">
        <v>147</v>
      </c>
      <c r="C122" t="s">
        <v>43</v>
      </c>
      <c r="D122" s="3">
        <v>37.1</v>
      </c>
      <c r="E122" s="3">
        <v>48.23</v>
      </c>
      <c r="F122" t="s">
        <v>15</v>
      </c>
      <c r="G122" s="19">
        <f>ProductList[[#This Row],[UnitPrice]]-ProductList[[#This Row],[UnitCost]]</f>
        <v>11.129999999999995</v>
      </c>
    </row>
    <row r="123" spans="1:7" x14ac:dyDescent="0.35">
      <c r="A123" t="s">
        <v>3474</v>
      </c>
      <c r="D123" s="28">
        <f>SUBTOTAL(103,ProductList[UnitCost])</f>
        <v>6</v>
      </c>
      <c r="E123" s="29">
        <f>SUBTOTAL(101,ProductList[UnitPrice])</f>
        <v>42.913333333333334</v>
      </c>
      <c r="F123">
        <f>SUBTOTAL(103,ProductList[Status])</f>
        <v>6</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0856-82B9-45CB-9E4F-5D6299B54F43}">
  <dimension ref="A1:H200"/>
  <sheetViews>
    <sheetView workbookViewId="0">
      <selection activeCell="A4" sqref="A4"/>
    </sheetView>
  </sheetViews>
  <sheetFormatPr defaultRowHeight="14.5" x14ac:dyDescent="0.35"/>
  <cols>
    <col min="1" max="1" width="15.90625" bestFit="1" customWidth="1"/>
    <col min="2" max="2" width="26" customWidth="1"/>
    <col min="3" max="3" width="17.1796875" customWidth="1"/>
    <col min="4" max="4" width="15.453125" customWidth="1"/>
    <col min="5" max="5" width="10" customWidth="1"/>
    <col min="6" max="6" width="11.54296875" customWidth="1"/>
    <col min="7" max="7" width="16.54296875" customWidth="1"/>
    <col min="8" max="8" width="10" customWidth="1"/>
  </cols>
  <sheetData>
    <row r="1" spans="1:8" ht="19" thickBot="1" x14ac:dyDescent="0.5">
      <c r="A1" s="4" t="s">
        <v>223</v>
      </c>
      <c r="B1" s="4" t="s">
        <v>224</v>
      </c>
      <c r="C1" s="4" t="s">
        <v>225</v>
      </c>
      <c r="D1" s="4" t="s">
        <v>226</v>
      </c>
      <c r="E1" s="4" t="s">
        <v>227</v>
      </c>
      <c r="F1" s="4" t="s">
        <v>228</v>
      </c>
      <c r="G1" s="4" t="s">
        <v>229</v>
      </c>
      <c r="H1" s="4" t="s">
        <v>9</v>
      </c>
    </row>
    <row r="2" spans="1:8" x14ac:dyDescent="0.35">
      <c r="A2" t="s">
        <v>230</v>
      </c>
      <c r="B2" t="s">
        <v>231</v>
      </c>
      <c r="C2" t="s">
        <v>232</v>
      </c>
      <c r="D2" t="s">
        <v>233</v>
      </c>
      <c r="E2" t="s">
        <v>234</v>
      </c>
      <c r="F2" t="s">
        <v>235</v>
      </c>
      <c r="G2" t="s">
        <v>236</v>
      </c>
      <c r="H2" t="s">
        <v>237</v>
      </c>
    </row>
    <row r="3" spans="1:8" x14ac:dyDescent="0.35">
      <c r="A3" t="s">
        <v>238</v>
      </c>
      <c r="B3" t="s">
        <v>239</v>
      </c>
      <c r="C3" t="s">
        <v>240</v>
      </c>
      <c r="D3" t="s">
        <v>241</v>
      </c>
      <c r="E3" t="s">
        <v>242</v>
      </c>
      <c r="F3" t="s">
        <v>243</v>
      </c>
      <c r="G3" t="s">
        <v>236</v>
      </c>
      <c r="H3" t="s">
        <v>237</v>
      </c>
    </row>
    <row r="4" spans="1:8" x14ac:dyDescent="0.35">
      <c r="A4" t="s">
        <v>244</v>
      </c>
      <c r="B4" t="s">
        <v>245</v>
      </c>
      <c r="C4" t="s">
        <v>240</v>
      </c>
      <c r="D4" t="s">
        <v>246</v>
      </c>
      <c r="E4" t="s">
        <v>247</v>
      </c>
      <c r="F4" t="s">
        <v>235</v>
      </c>
      <c r="G4" t="s">
        <v>236</v>
      </c>
      <c r="H4" t="s">
        <v>237</v>
      </c>
    </row>
    <row r="5" spans="1:8" x14ac:dyDescent="0.35">
      <c r="A5" t="s">
        <v>248</v>
      </c>
      <c r="B5" t="s">
        <v>249</v>
      </c>
      <c r="C5" t="s">
        <v>240</v>
      </c>
      <c r="D5" t="s">
        <v>250</v>
      </c>
      <c r="E5" t="s">
        <v>251</v>
      </c>
      <c r="G5" t="s">
        <v>236</v>
      </c>
      <c r="H5" t="s">
        <v>237</v>
      </c>
    </row>
    <row r="6" spans="1:8" x14ac:dyDescent="0.35">
      <c r="A6" t="s">
        <v>252</v>
      </c>
      <c r="B6" t="s">
        <v>253</v>
      </c>
      <c r="C6" t="s">
        <v>254</v>
      </c>
      <c r="D6" t="s">
        <v>255</v>
      </c>
      <c r="E6" t="s">
        <v>256</v>
      </c>
      <c r="F6" t="s">
        <v>243</v>
      </c>
      <c r="G6" t="s">
        <v>236</v>
      </c>
      <c r="H6" t="s">
        <v>237</v>
      </c>
    </row>
    <row r="7" spans="1:8" x14ac:dyDescent="0.35">
      <c r="A7" t="s">
        <v>257</v>
      </c>
      <c r="B7" t="s">
        <v>258</v>
      </c>
      <c r="C7" t="s">
        <v>254</v>
      </c>
      <c r="D7" t="s">
        <v>246</v>
      </c>
      <c r="E7" t="s">
        <v>259</v>
      </c>
      <c r="F7" t="s">
        <v>235</v>
      </c>
      <c r="G7" t="s">
        <v>236</v>
      </c>
      <c r="H7" t="s">
        <v>237</v>
      </c>
    </row>
    <row r="8" spans="1:8" x14ac:dyDescent="0.35">
      <c r="A8" t="s">
        <v>260</v>
      </c>
      <c r="B8" t="s">
        <v>261</v>
      </c>
      <c r="C8" t="s">
        <v>254</v>
      </c>
      <c r="D8" t="s">
        <v>262</v>
      </c>
      <c r="E8" t="s">
        <v>263</v>
      </c>
      <c r="F8" t="s">
        <v>264</v>
      </c>
      <c r="G8" t="s">
        <v>236</v>
      </c>
      <c r="H8" t="s">
        <v>265</v>
      </c>
    </row>
    <row r="9" spans="1:8" x14ac:dyDescent="0.35">
      <c r="A9" t="s">
        <v>266</v>
      </c>
      <c r="B9" t="s">
        <v>267</v>
      </c>
      <c r="C9" t="s">
        <v>240</v>
      </c>
      <c r="D9" t="s">
        <v>268</v>
      </c>
      <c r="E9" t="s">
        <v>269</v>
      </c>
      <c r="F9" t="s">
        <v>243</v>
      </c>
      <c r="G9" t="s">
        <v>236</v>
      </c>
      <c r="H9" t="s">
        <v>237</v>
      </c>
    </row>
    <row r="10" spans="1:8" x14ac:dyDescent="0.35">
      <c r="A10" t="s">
        <v>270</v>
      </c>
      <c r="B10" t="s">
        <v>231</v>
      </c>
      <c r="C10" t="s">
        <v>240</v>
      </c>
      <c r="D10" t="s">
        <v>233</v>
      </c>
      <c r="E10" t="s">
        <v>271</v>
      </c>
      <c r="F10" t="s">
        <v>235</v>
      </c>
      <c r="G10" t="s">
        <v>236</v>
      </c>
      <c r="H10" t="s">
        <v>237</v>
      </c>
    </row>
    <row r="11" spans="1:8" x14ac:dyDescent="0.35">
      <c r="A11" t="s">
        <v>272</v>
      </c>
      <c r="B11" t="s">
        <v>3408</v>
      </c>
      <c r="C11" t="s">
        <v>274</v>
      </c>
      <c r="D11" t="s">
        <v>275</v>
      </c>
      <c r="E11" t="s">
        <v>256</v>
      </c>
      <c r="F11" t="s">
        <v>243</v>
      </c>
      <c r="G11" t="s">
        <v>236</v>
      </c>
      <c r="H11" t="s">
        <v>237</v>
      </c>
    </row>
    <row r="12" spans="1:8" x14ac:dyDescent="0.35">
      <c r="A12" t="s">
        <v>276</v>
      </c>
      <c r="B12" t="s">
        <v>277</v>
      </c>
      <c r="C12" t="s">
        <v>254</v>
      </c>
      <c r="D12" t="s">
        <v>246</v>
      </c>
      <c r="E12" t="s">
        <v>242</v>
      </c>
      <c r="F12" t="s">
        <v>243</v>
      </c>
      <c r="G12" t="s">
        <v>236</v>
      </c>
      <c r="H12" t="s">
        <v>237</v>
      </c>
    </row>
    <row r="13" spans="1:8" x14ac:dyDescent="0.35">
      <c r="A13" t="s">
        <v>278</v>
      </c>
      <c r="B13" t="s">
        <v>279</v>
      </c>
      <c r="C13" t="s">
        <v>280</v>
      </c>
      <c r="D13" t="s">
        <v>262</v>
      </c>
      <c r="E13" t="s">
        <v>259</v>
      </c>
      <c r="F13" t="s">
        <v>235</v>
      </c>
      <c r="G13" t="s">
        <v>236</v>
      </c>
      <c r="H13" t="s">
        <v>237</v>
      </c>
    </row>
    <row r="14" spans="1:8" x14ac:dyDescent="0.35">
      <c r="A14" t="s">
        <v>281</v>
      </c>
      <c r="B14" t="s">
        <v>282</v>
      </c>
      <c r="C14" t="s">
        <v>274</v>
      </c>
      <c r="D14" t="s">
        <v>275</v>
      </c>
      <c r="E14" t="s">
        <v>269</v>
      </c>
      <c r="F14" t="s">
        <v>243</v>
      </c>
      <c r="G14" t="s">
        <v>236</v>
      </c>
      <c r="H14" t="s">
        <v>237</v>
      </c>
    </row>
    <row r="15" spans="1:8" x14ac:dyDescent="0.35">
      <c r="A15" t="s">
        <v>283</v>
      </c>
      <c r="B15" t="s">
        <v>284</v>
      </c>
      <c r="C15" t="s">
        <v>240</v>
      </c>
      <c r="D15" t="s">
        <v>241</v>
      </c>
      <c r="E15" t="s">
        <v>285</v>
      </c>
      <c r="F15" t="s">
        <v>264</v>
      </c>
      <c r="G15" t="s">
        <v>236</v>
      </c>
      <c r="H15" t="s">
        <v>237</v>
      </c>
    </row>
    <row r="16" spans="1:8" x14ac:dyDescent="0.35">
      <c r="A16" t="s">
        <v>286</v>
      </c>
      <c r="B16" t="s">
        <v>287</v>
      </c>
      <c r="C16" t="s">
        <v>288</v>
      </c>
      <c r="D16" t="s">
        <v>289</v>
      </c>
      <c r="E16" t="s">
        <v>290</v>
      </c>
      <c r="F16" t="s">
        <v>264</v>
      </c>
      <c r="G16" t="s">
        <v>236</v>
      </c>
      <c r="H16" t="s">
        <v>237</v>
      </c>
    </row>
    <row r="17" spans="1:8" x14ac:dyDescent="0.35">
      <c r="A17" t="s">
        <v>291</v>
      </c>
      <c r="B17" t="s">
        <v>292</v>
      </c>
      <c r="C17" t="s">
        <v>254</v>
      </c>
      <c r="D17" t="s">
        <v>293</v>
      </c>
      <c r="E17" t="s">
        <v>294</v>
      </c>
      <c r="F17" t="s">
        <v>243</v>
      </c>
      <c r="G17" t="s">
        <v>236</v>
      </c>
      <c r="H17" t="s">
        <v>237</v>
      </c>
    </row>
    <row r="18" spans="1:8" x14ac:dyDescent="0.35">
      <c r="A18" t="s">
        <v>295</v>
      </c>
      <c r="B18" t="s">
        <v>296</v>
      </c>
      <c r="C18" t="s">
        <v>297</v>
      </c>
      <c r="D18" t="s">
        <v>246</v>
      </c>
      <c r="E18" t="s">
        <v>298</v>
      </c>
      <c r="F18" t="s">
        <v>264</v>
      </c>
      <c r="G18" t="s">
        <v>236</v>
      </c>
      <c r="H18" t="s">
        <v>237</v>
      </c>
    </row>
    <row r="19" spans="1:8" x14ac:dyDescent="0.35">
      <c r="A19" t="s">
        <v>299</v>
      </c>
      <c r="B19" t="s">
        <v>300</v>
      </c>
      <c r="C19" t="s">
        <v>301</v>
      </c>
      <c r="D19" t="s">
        <v>268</v>
      </c>
      <c r="E19" t="s">
        <v>263</v>
      </c>
      <c r="F19" t="s">
        <v>264</v>
      </c>
      <c r="G19" t="s">
        <v>302</v>
      </c>
      <c r="H19" t="s">
        <v>237</v>
      </c>
    </row>
    <row r="20" spans="1:8" x14ac:dyDescent="0.35">
      <c r="A20" t="s">
        <v>303</v>
      </c>
      <c r="B20" t="s">
        <v>304</v>
      </c>
      <c r="C20" t="s">
        <v>301</v>
      </c>
      <c r="D20" t="s">
        <v>233</v>
      </c>
      <c r="E20" t="s">
        <v>305</v>
      </c>
      <c r="F20" t="s">
        <v>243</v>
      </c>
      <c r="G20" t="s">
        <v>236</v>
      </c>
      <c r="H20" t="s">
        <v>237</v>
      </c>
    </row>
    <row r="21" spans="1:8" x14ac:dyDescent="0.35">
      <c r="A21" t="s">
        <v>306</v>
      </c>
      <c r="B21" t="s">
        <v>307</v>
      </c>
      <c r="C21" t="s">
        <v>274</v>
      </c>
      <c r="D21" t="s">
        <v>308</v>
      </c>
      <c r="E21" t="s">
        <v>309</v>
      </c>
      <c r="G21" t="s">
        <v>236</v>
      </c>
      <c r="H21" t="s">
        <v>237</v>
      </c>
    </row>
    <row r="22" spans="1:8" x14ac:dyDescent="0.35">
      <c r="A22" t="s">
        <v>310</v>
      </c>
      <c r="B22" t="s">
        <v>311</v>
      </c>
      <c r="C22" t="s">
        <v>301</v>
      </c>
      <c r="D22" t="s">
        <v>241</v>
      </c>
      <c r="E22" t="s">
        <v>285</v>
      </c>
      <c r="F22" t="s">
        <v>264</v>
      </c>
      <c r="G22" t="s">
        <v>302</v>
      </c>
      <c r="H22" t="s">
        <v>237</v>
      </c>
    </row>
    <row r="23" spans="1:8" x14ac:dyDescent="0.35">
      <c r="A23" t="s">
        <v>312</v>
      </c>
      <c r="B23" t="s">
        <v>313</v>
      </c>
      <c r="C23" t="s">
        <v>288</v>
      </c>
      <c r="D23" t="s">
        <v>246</v>
      </c>
      <c r="E23" t="s">
        <v>271</v>
      </c>
      <c r="F23" t="s">
        <v>235</v>
      </c>
      <c r="G23" t="s">
        <v>314</v>
      </c>
      <c r="H23" t="s">
        <v>237</v>
      </c>
    </row>
    <row r="24" spans="1:8" x14ac:dyDescent="0.35">
      <c r="A24" t="s">
        <v>315</v>
      </c>
      <c r="B24" t="s">
        <v>316</v>
      </c>
      <c r="C24" t="s">
        <v>301</v>
      </c>
      <c r="D24" t="s">
        <v>268</v>
      </c>
      <c r="E24" t="s">
        <v>234</v>
      </c>
      <c r="F24" t="s">
        <v>235</v>
      </c>
      <c r="G24" t="s">
        <v>236</v>
      </c>
      <c r="H24" t="s">
        <v>237</v>
      </c>
    </row>
    <row r="25" spans="1:8" x14ac:dyDescent="0.35">
      <c r="A25" t="s">
        <v>317</v>
      </c>
      <c r="B25" t="s">
        <v>318</v>
      </c>
      <c r="C25" t="s">
        <v>301</v>
      </c>
      <c r="D25" t="s">
        <v>268</v>
      </c>
      <c r="E25" t="s">
        <v>319</v>
      </c>
      <c r="F25" t="s">
        <v>264</v>
      </c>
      <c r="G25" t="s">
        <v>302</v>
      </c>
      <c r="H25" t="s">
        <v>237</v>
      </c>
    </row>
    <row r="26" spans="1:8" x14ac:dyDescent="0.35">
      <c r="A26" t="s">
        <v>320</v>
      </c>
      <c r="B26" t="s">
        <v>321</v>
      </c>
      <c r="C26" t="s">
        <v>288</v>
      </c>
      <c r="D26" t="s">
        <v>233</v>
      </c>
      <c r="E26" t="s">
        <v>259</v>
      </c>
      <c r="F26" t="s">
        <v>235</v>
      </c>
      <c r="G26" t="s">
        <v>236</v>
      </c>
      <c r="H26" t="s">
        <v>265</v>
      </c>
    </row>
    <row r="27" spans="1:8" x14ac:dyDescent="0.35">
      <c r="A27" t="s">
        <v>322</v>
      </c>
      <c r="B27" t="s">
        <v>245</v>
      </c>
      <c r="C27" t="s">
        <v>274</v>
      </c>
      <c r="D27" t="s">
        <v>323</v>
      </c>
      <c r="E27" t="s">
        <v>294</v>
      </c>
      <c r="F27" t="s">
        <v>243</v>
      </c>
      <c r="G27" t="s">
        <v>236</v>
      </c>
      <c r="H27" t="s">
        <v>237</v>
      </c>
    </row>
    <row r="28" spans="1:8" x14ac:dyDescent="0.35">
      <c r="A28" t="s">
        <v>324</v>
      </c>
      <c r="B28" t="s">
        <v>296</v>
      </c>
      <c r="C28" t="s">
        <v>288</v>
      </c>
      <c r="D28" t="s">
        <v>325</v>
      </c>
      <c r="E28" t="s">
        <v>326</v>
      </c>
      <c r="F28" t="s">
        <v>264</v>
      </c>
      <c r="G28" t="s">
        <v>302</v>
      </c>
      <c r="H28" t="s">
        <v>237</v>
      </c>
    </row>
    <row r="29" spans="1:8" x14ac:dyDescent="0.35">
      <c r="A29" t="s">
        <v>327</v>
      </c>
      <c r="B29" t="s">
        <v>328</v>
      </c>
      <c r="C29" t="s">
        <v>280</v>
      </c>
      <c r="D29" t="s">
        <v>323</v>
      </c>
      <c r="E29" t="s">
        <v>326</v>
      </c>
      <c r="F29" t="s">
        <v>264</v>
      </c>
      <c r="G29" t="s">
        <v>314</v>
      </c>
      <c r="H29" t="s">
        <v>237</v>
      </c>
    </row>
    <row r="30" spans="1:8" x14ac:dyDescent="0.35">
      <c r="A30" t="s">
        <v>329</v>
      </c>
      <c r="B30" t="s">
        <v>330</v>
      </c>
      <c r="C30" t="s">
        <v>297</v>
      </c>
      <c r="D30" t="s">
        <v>323</v>
      </c>
      <c r="E30" t="s">
        <v>259</v>
      </c>
      <c r="F30" t="s">
        <v>235</v>
      </c>
      <c r="G30" t="s">
        <v>302</v>
      </c>
      <c r="H30" t="s">
        <v>237</v>
      </c>
    </row>
    <row r="31" spans="1:8" x14ac:dyDescent="0.35">
      <c r="A31" t="s">
        <v>331</v>
      </c>
      <c r="B31" t="s">
        <v>332</v>
      </c>
      <c r="C31" t="s">
        <v>254</v>
      </c>
      <c r="D31" t="s">
        <v>255</v>
      </c>
      <c r="E31" t="s">
        <v>333</v>
      </c>
      <c r="F31" t="s">
        <v>264</v>
      </c>
      <c r="G31" t="s">
        <v>302</v>
      </c>
      <c r="H31" t="s">
        <v>237</v>
      </c>
    </row>
    <row r="32" spans="1:8" x14ac:dyDescent="0.35">
      <c r="A32" t="s">
        <v>334</v>
      </c>
      <c r="B32" t="s">
        <v>335</v>
      </c>
      <c r="C32" t="s">
        <v>280</v>
      </c>
      <c r="D32" t="s">
        <v>336</v>
      </c>
      <c r="E32" t="s">
        <v>294</v>
      </c>
      <c r="F32" t="s">
        <v>243</v>
      </c>
      <c r="G32" t="s">
        <v>236</v>
      </c>
      <c r="H32" t="s">
        <v>237</v>
      </c>
    </row>
    <row r="33" spans="1:8" x14ac:dyDescent="0.35">
      <c r="A33" t="s">
        <v>337</v>
      </c>
      <c r="B33" t="s">
        <v>338</v>
      </c>
      <c r="C33" t="s">
        <v>274</v>
      </c>
      <c r="D33" t="s">
        <v>308</v>
      </c>
      <c r="E33" t="s">
        <v>294</v>
      </c>
      <c r="F33" t="s">
        <v>243</v>
      </c>
      <c r="G33" t="s">
        <v>236</v>
      </c>
      <c r="H33" t="s">
        <v>265</v>
      </c>
    </row>
    <row r="34" spans="1:8" x14ac:dyDescent="0.35">
      <c r="A34" t="s">
        <v>339</v>
      </c>
      <c r="B34" t="s">
        <v>340</v>
      </c>
      <c r="C34" t="s">
        <v>341</v>
      </c>
      <c r="D34" t="s">
        <v>275</v>
      </c>
      <c r="E34" t="s">
        <v>326</v>
      </c>
      <c r="F34" t="s">
        <v>264</v>
      </c>
      <c r="G34" t="s">
        <v>236</v>
      </c>
      <c r="H34" t="s">
        <v>237</v>
      </c>
    </row>
    <row r="35" spans="1:8" x14ac:dyDescent="0.35">
      <c r="A35" t="s">
        <v>342</v>
      </c>
      <c r="B35" t="s">
        <v>245</v>
      </c>
      <c r="C35" t="s">
        <v>297</v>
      </c>
      <c r="D35" t="s">
        <v>275</v>
      </c>
      <c r="E35" t="s">
        <v>251</v>
      </c>
      <c r="F35" t="s">
        <v>235</v>
      </c>
      <c r="G35" t="s">
        <v>302</v>
      </c>
      <c r="H35" t="s">
        <v>237</v>
      </c>
    </row>
    <row r="36" spans="1:8" x14ac:dyDescent="0.35">
      <c r="A36" t="s">
        <v>343</v>
      </c>
      <c r="B36" t="s">
        <v>344</v>
      </c>
      <c r="C36" t="s">
        <v>301</v>
      </c>
      <c r="D36" t="s">
        <v>262</v>
      </c>
      <c r="E36" t="s">
        <v>271</v>
      </c>
      <c r="F36" t="s">
        <v>235</v>
      </c>
      <c r="G36" t="s">
        <v>302</v>
      </c>
      <c r="H36" t="s">
        <v>237</v>
      </c>
    </row>
    <row r="37" spans="1:8" x14ac:dyDescent="0.35">
      <c r="A37" t="s">
        <v>345</v>
      </c>
      <c r="B37" t="s">
        <v>346</v>
      </c>
      <c r="C37" t="s">
        <v>341</v>
      </c>
      <c r="D37" t="s">
        <v>325</v>
      </c>
      <c r="E37" t="s">
        <v>333</v>
      </c>
      <c r="F37" t="s">
        <v>264</v>
      </c>
      <c r="G37" t="s">
        <v>236</v>
      </c>
      <c r="H37" t="s">
        <v>237</v>
      </c>
    </row>
    <row r="38" spans="1:8" x14ac:dyDescent="0.35">
      <c r="A38" t="s">
        <v>347</v>
      </c>
      <c r="B38" t="s">
        <v>348</v>
      </c>
      <c r="C38" t="s">
        <v>349</v>
      </c>
      <c r="D38" t="s">
        <v>350</v>
      </c>
      <c r="E38" t="s">
        <v>294</v>
      </c>
      <c r="F38" t="s">
        <v>243</v>
      </c>
      <c r="G38" t="s">
        <v>236</v>
      </c>
      <c r="H38" t="s">
        <v>237</v>
      </c>
    </row>
    <row r="39" spans="1:8" x14ac:dyDescent="0.35">
      <c r="A39" t="s">
        <v>351</v>
      </c>
      <c r="B39" t="s">
        <v>352</v>
      </c>
      <c r="C39" t="s">
        <v>280</v>
      </c>
      <c r="D39" t="s">
        <v>250</v>
      </c>
      <c r="E39" t="s">
        <v>319</v>
      </c>
      <c r="F39" t="s">
        <v>264</v>
      </c>
      <c r="G39" t="s">
        <v>236</v>
      </c>
      <c r="H39" t="s">
        <v>237</v>
      </c>
    </row>
    <row r="40" spans="1:8" x14ac:dyDescent="0.35">
      <c r="A40" t="s">
        <v>353</v>
      </c>
      <c r="B40" t="s">
        <v>258</v>
      </c>
      <c r="C40" t="s">
        <v>288</v>
      </c>
      <c r="D40" t="s">
        <v>323</v>
      </c>
      <c r="E40" t="s">
        <v>263</v>
      </c>
      <c r="F40" t="s">
        <v>264</v>
      </c>
      <c r="G40" t="s">
        <v>236</v>
      </c>
      <c r="H40" t="s">
        <v>237</v>
      </c>
    </row>
    <row r="41" spans="1:8" x14ac:dyDescent="0.35">
      <c r="A41" t="s">
        <v>354</v>
      </c>
      <c r="B41" t="s">
        <v>321</v>
      </c>
      <c r="C41" t="s">
        <v>240</v>
      </c>
      <c r="D41" t="s">
        <v>275</v>
      </c>
      <c r="E41" t="s">
        <v>242</v>
      </c>
      <c r="F41" t="s">
        <v>243</v>
      </c>
      <c r="G41" t="s">
        <v>236</v>
      </c>
      <c r="H41" t="s">
        <v>237</v>
      </c>
    </row>
    <row r="42" spans="1:8" x14ac:dyDescent="0.35">
      <c r="A42" t="s">
        <v>355</v>
      </c>
      <c r="B42" t="s">
        <v>356</v>
      </c>
      <c r="C42" t="s">
        <v>297</v>
      </c>
      <c r="D42" t="s">
        <v>255</v>
      </c>
      <c r="E42" t="s">
        <v>357</v>
      </c>
      <c r="F42" t="s">
        <v>264</v>
      </c>
      <c r="G42" t="s">
        <v>236</v>
      </c>
      <c r="H42" t="s">
        <v>237</v>
      </c>
    </row>
    <row r="43" spans="1:8" x14ac:dyDescent="0.35">
      <c r="A43" t="s">
        <v>358</v>
      </c>
      <c r="B43" t="s">
        <v>287</v>
      </c>
      <c r="C43" t="s">
        <v>232</v>
      </c>
      <c r="D43" t="s">
        <v>293</v>
      </c>
      <c r="E43" t="s">
        <v>269</v>
      </c>
      <c r="F43" t="s">
        <v>243</v>
      </c>
      <c r="G43" t="s">
        <v>302</v>
      </c>
      <c r="H43" t="s">
        <v>237</v>
      </c>
    </row>
    <row r="44" spans="1:8" x14ac:dyDescent="0.35">
      <c r="A44" t="s">
        <v>359</v>
      </c>
      <c r="B44" t="s">
        <v>360</v>
      </c>
      <c r="C44" t="s">
        <v>288</v>
      </c>
      <c r="D44" t="s">
        <v>361</v>
      </c>
      <c r="E44" t="s">
        <v>234</v>
      </c>
      <c r="F44" t="s">
        <v>235</v>
      </c>
      <c r="G44" t="s">
        <v>302</v>
      </c>
      <c r="H44" t="s">
        <v>237</v>
      </c>
    </row>
    <row r="45" spans="1:8" x14ac:dyDescent="0.35">
      <c r="A45" t="s">
        <v>362</v>
      </c>
      <c r="B45" t="s">
        <v>363</v>
      </c>
      <c r="C45" t="s">
        <v>232</v>
      </c>
      <c r="D45" t="s">
        <v>293</v>
      </c>
      <c r="E45" t="s">
        <v>259</v>
      </c>
      <c r="F45" t="s">
        <v>235</v>
      </c>
      <c r="G45" t="s">
        <v>302</v>
      </c>
      <c r="H45" t="s">
        <v>265</v>
      </c>
    </row>
    <row r="46" spans="1:8" x14ac:dyDescent="0.35">
      <c r="A46" t="s">
        <v>364</v>
      </c>
      <c r="B46" t="s">
        <v>365</v>
      </c>
      <c r="C46" t="s">
        <v>288</v>
      </c>
      <c r="D46" t="s">
        <v>325</v>
      </c>
      <c r="E46" t="s">
        <v>309</v>
      </c>
      <c r="F46" t="s">
        <v>243</v>
      </c>
      <c r="G46" t="s">
        <v>236</v>
      </c>
      <c r="H46" t="s">
        <v>237</v>
      </c>
    </row>
    <row r="47" spans="1:8" x14ac:dyDescent="0.35">
      <c r="A47" t="s">
        <v>366</v>
      </c>
      <c r="B47" t="s">
        <v>245</v>
      </c>
      <c r="C47" t="s">
        <v>301</v>
      </c>
      <c r="D47" t="s">
        <v>323</v>
      </c>
      <c r="E47" t="s">
        <v>294</v>
      </c>
      <c r="F47" t="s">
        <v>243</v>
      </c>
      <c r="G47" t="s">
        <v>236</v>
      </c>
      <c r="H47" t="s">
        <v>237</v>
      </c>
    </row>
    <row r="48" spans="1:8" x14ac:dyDescent="0.35">
      <c r="A48" t="s">
        <v>367</v>
      </c>
      <c r="B48" t="s">
        <v>368</v>
      </c>
      <c r="C48" t="s">
        <v>341</v>
      </c>
      <c r="D48" t="s">
        <v>350</v>
      </c>
      <c r="E48" t="s">
        <v>326</v>
      </c>
      <c r="F48" t="s">
        <v>264</v>
      </c>
      <c r="G48" t="s">
        <v>236</v>
      </c>
      <c r="H48" t="s">
        <v>237</v>
      </c>
    </row>
    <row r="49" spans="1:8" x14ac:dyDescent="0.35">
      <c r="A49" t="s">
        <v>369</v>
      </c>
      <c r="B49" t="s">
        <v>282</v>
      </c>
      <c r="C49" t="s">
        <v>341</v>
      </c>
      <c r="D49" t="s">
        <v>325</v>
      </c>
      <c r="E49" t="s">
        <v>269</v>
      </c>
      <c r="F49" t="s">
        <v>243</v>
      </c>
      <c r="G49" t="s">
        <v>236</v>
      </c>
      <c r="H49" t="s">
        <v>237</v>
      </c>
    </row>
    <row r="50" spans="1:8" x14ac:dyDescent="0.35">
      <c r="A50" t="s">
        <v>370</v>
      </c>
      <c r="B50" t="s">
        <v>371</v>
      </c>
      <c r="C50" t="s">
        <v>274</v>
      </c>
      <c r="D50" t="s">
        <v>336</v>
      </c>
      <c r="E50" t="s">
        <v>319</v>
      </c>
      <c r="F50" t="s">
        <v>264</v>
      </c>
      <c r="G50" t="s">
        <v>236</v>
      </c>
      <c r="H50" t="s">
        <v>237</v>
      </c>
    </row>
    <row r="51" spans="1:8" x14ac:dyDescent="0.35">
      <c r="A51" t="s">
        <v>372</v>
      </c>
      <c r="B51" t="s">
        <v>373</v>
      </c>
      <c r="C51" t="s">
        <v>341</v>
      </c>
      <c r="D51" t="s">
        <v>268</v>
      </c>
      <c r="E51" t="s">
        <v>234</v>
      </c>
      <c r="F51" t="s">
        <v>235</v>
      </c>
      <c r="G51" t="s">
        <v>236</v>
      </c>
      <c r="H51" t="s">
        <v>237</v>
      </c>
    </row>
    <row r="52" spans="1:8" x14ac:dyDescent="0.35">
      <c r="A52" t="s">
        <v>374</v>
      </c>
      <c r="B52" t="s">
        <v>375</v>
      </c>
      <c r="C52" t="s">
        <v>274</v>
      </c>
      <c r="D52" t="s">
        <v>233</v>
      </c>
      <c r="E52" t="s">
        <v>298</v>
      </c>
      <c r="F52" t="s">
        <v>264</v>
      </c>
      <c r="G52" t="s">
        <v>236</v>
      </c>
      <c r="H52" t="s">
        <v>237</v>
      </c>
    </row>
    <row r="53" spans="1:8" x14ac:dyDescent="0.35">
      <c r="A53" t="s">
        <v>376</v>
      </c>
      <c r="B53" t="s">
        <v>253</v>
      </c>
      <c r="C53" t="s">
        <v>301</v>
      </c>
      <c r="D53" t="s">
        <v>350</v>
      </c>
      <c r="E53" t="s">
        <v>285</v>
      </c>
      <c r="F53" t="s">
        <v>264</v>
      </c>
      <c r="G53" t="s">
        <v>236</v>
      </c>
      <c r="H53" t="s">
        <v>237</v>
      </c>
    </row>
    <row r="54" spans="1:8" x14ac:dyDescent="0.35">
      <c r="A54" t="s">
        <v>377</v>
      </c>
      <c r="B54" t="s">
        <v>378</v>
      </c>
      <c r="C54" t="s">
        <v>232</v>
      </c>
      <c r="D54" t="s">
        <v>250</v>
      </c>
      <c r="E54" t="s">
        <v>305</v>
      </c>
      <c r="F54" t="s">
        <v>243</v>
      </c>
      <c r="G54" t="s">
        <v>236</v>
      </c>
      <c r="H54" t="s">
        <v>237</v>
      </c>
    </row>
    <row r="55" spans="1:8" x14ac:dyDescent="0.35">
      <c r="A55" t="s">
        <v>379</v>
      </c>
      <c r="B55" t="s">
        <v>380</v>
      </c>
      <c r="C55" t="s">
        <v>232</v>
      </c>
      <c r="D55" t="s">
        <v>381</v>
      </c>
      <c r="E55" t="s">
        <v>357</v>
      </c>
      <c r="F55" t="s">
        <v>264</v>
      </c>
      <c r="G55" t="s">
        <v>236</v>
      </c>
      <c r="H55" t="s">
        <v>237</v>
      </c>
    </row>
    <row r="56" spans="1:8" x14ac:dyDescent="0.35">
      <c r="A56" t="s">
        <v>382</v>
      </c>
      <c r="B56" t="s">
        <v>383</v>
      </c>
      <c r="C56" t="s">
        <v>349</v>
      </c>
      <c r="D56" t="s">
        <v>293</v>
      </c>
      <c r="E56" t="s">
        <v>333</v>
      </c>
      <c r="F56" t="s">
        <v>264</v>
      </c>
      <c r="G56" t="s">
        <v>236</v>
      </c>
      <c r="H56" t="s">
        <v>237</v>
      </c>
    </row>
    <row r="57" spans="1:8" x14ac:dyDescent="0.35">
      <c r="A57" t="s">
        <v>384</v>
      </c>
      <c r="B57" t="s">
        <v>385</v>
      </c>
      <c r="C57" t="s">
        <v>232</v>
      </c>
      <c r="D57" t="s">
        <v>241</v>
      </c>
      <c r="E57" t="s">
        <v>263</v>
      </c>
      <c r="F57" t="s">
        <v>264</v>
      </c>
      <c r="G57" t="s">
        <v>236</v>
      </c>
      <c r="H57" t="s">
        <v>237</v>
      </c>
    </row>
    <row r="58" spans="1:8" x14ac:dyDescent="0.35">
      <c r="A58" t="s">
        <v>386</v>
      </c>
      <c r="B58" t="s">
        <v>387</v>
      </c>
      <c r="C58" t="s">
        <v>232</v>
      </c>
      <c r="D58" t="s">
        <v>336</v>
      </c>
      <c r="E58" t="s">
        <v>269</v>
      </c>
      <c r="F58" t="s">
        <v>243</v>
      </c>
      <c r="G58" t="s">
        <v>302</v>
      </c>
      <c r="H58" t="s">
        <v>237</v>
      </c>
    </row>
    <row r="59" spans="1:8" x14ac:dyDescent="0.35">
      <c r="A59" t="s">
        <v>388</v>
      </c>
      <c r="B59" t="s">
        <v>389</v>
      </c>
      <c r="C59" t="s">
        <v>254</v>
      </c>
      <c r="D59" t="s">
        <v>255</v>
      </c>
      <c r="E59" t="s">
        <v>294</v>
      </c>
      <c r="F59" t="s">
        <v>243</v>
      </c>
      <c r="G59" t="s">
        <v>236</v>
      </c>
      <c r="H59" t="s">
        <v>237</v>
      </c>
    </row>
    <row r="60" spans="1:8" x14ac:dyDescent="0.35">
      <c r="A60" t="s">
        <v>390</v>
      </c>
      <c r="B60" t="s">
        <v>391</v>
      </c>
      <c r="C60" t="s">
        <v>280</v>
      </c>
      <c r="D60" t="s">
        <v>392</v>
      </c>
      <c r="E60" t="s">
        <v>393</v>
      </c>
      <c r="F60" t="s">
        <v>235</v>
      </c>
      <c r="G60" t="s">
        <v>236</v>
      </c>
      <c r="H60" t="s">
        <v>237</v>
      </c>
    </row>
    <row r="61" spans="1:8" x14ac:dyDescent="0.35">
      <c r="A61" t="s">
        <v>394</v>
      </c>
      <c r="B61" t="s">
        <v>356</v>
      </c>
      <c r="C61" t="s">
        <v>232</v>
      </c>
      <c r="D61" t="s">
        <v>325</v>
      </c>
      <c r="E61" t="s">
        <v>298</v>
      </c>
      <c r="F61" t="s">
        <v>264</v>
      </c>
      <c r="G61" t="s">
        <v>236</v>
      </c>
      <c r="H61" t="s">
        <v>237</v>
      </c>
    </row>
    <row r="62" spans="1:8" x14ac:dyDescent="0.35">
      <c r="A62" t="s">
        <v>395</v>
      </c>
      <c r="B62" t="s">
        <v>396</v>
      </c>
      <c r="C62" t="s">
        <v>301</v>
      </c>
      <c r="D62" t="s">
        <v>323</v>
      </c>
      <c r="E62" t="s">
        <v>319</v>
      </c>
      <c r="F62" t="s">
        <v>264</v>
      </c>
      <c r="G62" t="s">
        <v>236</v>
      </c>
      <c r="H62" t="s">
        <v>237</v>
      </c>
    </row>
    <row r="63" spans="1:8" x14ac:dyDescent="0.35">
      <c r="A63" t="s">
        <v>397</v>
      </c>
      <c r="B63" t="s">
        <v>360</v>
      </c>
      <c r="C63" t="s">
        <v>240</v>
      </c>
      <c r="D63" t="s">
        <v>275</v>
      </c>
      <c r="E63" t="s">
        <v>298</v>
      </c>
      <c r="G63" t="s">
        <v>236</v>
      </c>
      <c r="H63" t="s">
        <v>237</v>
      </c>
    </row>
    <row r="64" spans="1:8" x14ac:dyDescent="0.35">
      <c r="A64" t="s">
        <v>398</v>
      </c>
      <c r="B64" t="s">
        <v>399</v>
      </c>
      <c r="C64" t="s">
        <v>232</v>
      </c>
      <c r="D64" t="s">
        <v>336</v>
      </c>
      <c r="E64" t="s">
        <v>326</v>
      </c>
      <c r="F64" t="s">
        <v>264</v>
      </c>
      <c r="G64" t="s">
        <v>236</v>
      </c>
      <c r="H64" t="s">
        <v>237</v>
      </c>
    </row>
    <row r="65" spans="1:8" x14ac:dyDescent="0.35">
      <c r="A65" t="s">
        <v>400</v>
      </c>
      <c r="B65" t="s">
        <v>383</v>
      </c>
      <c r="C65" t="s">
        <v>254</v>
      </c>
      <c r="D65" t="s">
        <v>262</v>
      </c>
      <c r="E65" t="s">
        <v>234</v>
      </c>
      <c r="F65" t="s">
        <v>235</v>
      </c>
      <c r="G65" t="s">
        <v>236</v>
      </c>
      <c r="H65" t="s">
        <v>237</v>
      </c>
    </row>
    <row r="66" spans="1:8" x14ac:dyDescent="0.35">
      <c r="A66" t="s">
        <v>401</v>
      </c>
      <c r="B66" t="s">
        <v>402</v>
      </c>
      <c r="C66" t="s">
        <v>274</v>
      </c>
      <c r="D66" t="s">
        <v>293</v>
      </c>
      <c r="E66" t="s">
        <v>309</v>
      </c>
      <c r="F66" t="s">
        <v>243</v>
      </c>
      <c r="G66" t="s">
        <v>302</v>
      </c>
      <c r="H66" t="s">
        <v>237</v>
      </c>
    </row>
    <row r="67" spans="1:8" x14ac:dyDescent="0.35">
      <c r="A67" t="s">
        <v>403</v>
      </c>
      <c r="B67" t="s">
        <v>404</v>
      </c>
      <c r="C67" t="s">
        <v>274</v>
      </c>
      <c r="D67" t="s">
        <v>246</v>
      </c>
      <c r="E67" t="s">
        <v>357</v>
      </c>
      <c r="F67" t="s">
        <v>264</v>
      </c>
      <c r="G67" t="s">
        <v>236</v>
      </c>
      <c r="H67" t="s">
        <v>237</v>
      </c>
    </row>
    <row r="68" spans="1:8" x14ac:dyDescent="0.35">
      <c r="A68" t="s">
        <v>405</v>
      </c>
      <c r="B68" t="s">
        <v>404</v>
      </c>
      <c r="C68" t="s">
        <v>254</v>
      </c>
      <c r="D68" t="s">
        <v>246</v>
      </c>
      <c r="E68" t="s">
        <v>333</v>
      </c>
      <c r="F68" t="s">
        <v>264</v>
      </c>
      <c r="G68" t="s">
        <v>314</v>
      </c>
      <c r="H68" t="s">
        <v>237</v>
      </c>
    </row>
    <row r="69" spans="1:8" x14ac:dyDescent="0.35">
      <c r="A69" t="s">
        <v>406</v>
      </c>
      <c r="B69" t="s">
        <v>287</v>
      </c>
      <c r="C69" t="s">
        <v>274</v>
      </c>
      <c r="D69" t="s">
        <v>262</v>
      </c>
      <c r="E69" t="s">
        <v>309</v>
      </c>
      <c r="F69" t="s">
        <v>243</v>
      </c>
      <c r="G69" t="s">
        <v>236</v>
      </c>
      <c r="H69" t="s">
        <v>237</v>
      </c>
    </row>
    <row r="70" spans="1:8" x14ac:dyDescent="0.35">
      <c r="A70" t="s">
        <v>407</v>
      </c>
      <c r="B70" t="s">
        <v>408</v>
      </c>
      <c r="C70" t="s">
        <v>274</v>
      </c>
      <c r="D70" t="s">
        <v>246</v>
      </c>
      <c r="E70" t="s">
        <v>234</v>
      </c>
      <c r="F70" t="s">
        <v>235</v>
      </c>
      <c r="G70" t="s">
        <v>236</v>
      </c>
      <c r="H70" t="s">
        <v>237</v>
      </c>
    </row>
    <row r="71" spans="1:8" x14ac:dyDescent="0.35">
      <c r="A71" t="s">
        <v>409</v>
      </c>
      <c r="B71" t="s">
        <v>410</v>
      </c>
      <c r="C71" t="s">
        <v>254</v>
      </c>
      <c r="D71" t="s">
        <v>336</v>
      </c>
      <c r="E71" t="s">
        <v>251</v>
      </c>
      <c r="F71" t="s">
        <v>235</v>
      </c>
      <c r="G71" t="s">
        <v>236</v>
      </c>
      <c r="H71" t="s">
        <v>237</v>
      </c>
    </row>
    <row r="72" spans="1:8" x14ac:dyDescent="0.35">
      <c r="A72" t="s">
        <v>411</v>
      </c>
      <c r="B72" t="s">
        <v>412</v>
      </c>
      <c r="C72" t="s">
        <v>232</v>
      </c>
      <c r="D72" t="s">
        <v>246</v>
      </c>
      <c r="E72" t="s">
        <v>413</v>
      </c>
      <c r="F72" t="s">
        <v>235</v>
      </c>
      <c r="G72" t="s">
        <v>302</v>
      </c>
      <c r="H72" t="s">
        <v>237</v>
      </c>
    </row>
    <row r="73" spans="1:8" x14ac:dyDescent="0.35">
      <c r="A73" t="s">
        <v>414</v>
      </c>
      <c r="B73" t="s">
        <v>415</v>
      </c>
      <c r="C73" t="s">
        <v>280</v>
      </c>
      <c r="D73" t="s">
        <v>255</v>
      </c>
      <c r="E73" t="s">
        <v>393</v>
      </c>
      <c r="F73" t="s">
        <v>235</v>
      </c>
      <c r="G73" t="s">
        <v>236</v>
      </c>
      <c r="H73" t="s">
        <v>237</v>
      </c>
    </row>
    <row r="74" spans="1:8" x14ac:dyDescent="0.35">
      <c r="A74" t="s">
        <v>416</v>
      </c>
      <c r="B74" t="s">
        <v>417</v>
      </c>
      <c r="C74" t="s">
        <v>240</v>
      </c>
      <c r="D74" t="s">
        <v>336</v>
      </c>
      <c r="E74" t="s">
        <v>263</v>
      </c>
      <c r="F74" t="s">
        <v>264</v>
      </c>
      <c r="G74" t="s">
        <v>236</v>
      </c>
      <c r="H74" t="s">
        <v>265</v>
      </c>
    </row>
    <row r="75" spans="1:8" x14ac:dyDescent="0.35">
      <c r="A75" t="s">
        <v>418</v>
      </c>
      <c r="B75" t="s">
        <v>253</v>
      </c>
      <c r="C75" t="s">
        <v>301</v>
      </c>
      <c r="D75" t="s">
        <v>233</v>
      </c>
      <c r="E75" t="s">
        <v>263</v>
      </c>
      <c r="F75" t="s">
        <v>264</v>
      </c>
      <c r="G75" t="s">
        <v>302</v>
      </c>
      <c r="H75" t="s">
        <v>237</v>
      </c>
    </row>
    <row r="76" spans="1:8" x14ac:dyDescent="0.35">
      <c r="A76" t="s">
        <v>419</v>
      </c>
      <c r="B76" t="s">
        <v>420</v>
      </c>
      <c r="C76" t="s">
        <v>280</v>
      </c>
      <c r="D76" t="s">
        <v>308</v>
      </c>
      <c r="E76" t="s">
        <v>305</v>
      </c>
      <c r="F76" t="s">
        <v>243</v>
      </c>
      <c r="G76" t="s">
        <v>302</v>
      </c>
      <c r="H76" t="s">
        <v>237</v>
      </c>
    </row>
    <row r="77" spans="1:8" x14ac:dyDescent="0.35">
      <c r="A77" t="s">
        <v>421</v>
      </c>
      <c r="B77" t="s">
        <v>422</v>
      </c>
      <c r="C77" t="s">
        <v>280</v>
      </c>
      <c r="D77" t="s">
        <v>250</v>
      </c>
      <c r="E77" t="s">
        <v>393</v>
      </c>
      <c r="F77" t="s">
        <v>235</v>
      </c>
      <c r="G77" t="s">
        <v>314</v>
      </c>
      <c r="H77" t="s">
        <v>237</v>
      </c>
    </row>
    <row r="78" spans="1:8" x14ac:dyDescent="0.35">
      <c r="A78" t="s">
        <v>423</v>
      </c>
      <c r="B78" t="s">
        <v>424</v>
      </c>
      <c r="C78" t="s">
        <v>341</v>
      </c>
      <c r="D78" t="s">
        <v>293</v>
      </c>
      <c r="E78" t="s">
        <v>247</v>
      </c>
      <c r="F78" t="s">
        <v>235</v>
      </c>
      <c r="G78" t="s">
        <v>236</v>
      </c>
      <c r="H78" t="s">
        <v>237</v>
      </c>
    </row>
    <row r="79" spans="1:8" x14ac:dyDescent="0.35">
      <c r="A79" t="s">
        <v>425</v>
      </c>
      <c r="B79" t="s">
        <v>404</v>
      </c>
      <c r="C79" t="s">
        <v>254</v>
      </c>
      <c r="D79" t="s">
        <v>325</v>
      </c>
      <c r="E79" t="s">
        <v>326</v>
      </c>
      <c r="F79" t="s">
        <v>264</v>
      </c>
      <c r="G79" t="s">
        <v>236</v>
      </c>
      <c r="H79" t="s">
        <v>237</v>
      </c>
    </row>
    <row r="80" spans="1:8" x14ac:dyDescent="0.35">
      <c r="A80" t="s">
        <v>426</v>
      </c>
      <c r="B80" t="s">
        <v>427</v>
      </c>
      <c r="C80" t="s">
        <v>341</v>
      </c>
      <c r="D80" t="s">
        <v>275</v>
      </c>
      <c r="E80" t="s">
        <v>263</v>
      </c>
      <c r="F80" t="s">
        <v>264</v>
      </c>
      <c r="G80" t="s">
        <v>314</v>
      </c>
      <c r="H80" t="s">
        <v>237</v>
      </c>
    </row>
    <row r="81" spans="1:8" x14ac:dyDescent="0.35">
      <c r="A81" t="s">
        <v>428</v>
      </c>
      <c r="B81" t="s">
        <v>429</v>
      </c>
      <c r="C81" t="s">
        <v>301</v>
      </c>
      <c r="D81" t="s">
        <v>323</v>
      </c>
      <c r="E81" t="s">
        <v>290</v>
      </c>
      <c r="F81" t="s">
        <v>264</v>
      </c>
      <c r="G81" t="s">
        <v>236</v>
      </c>
      <c r="H81" t="s">
        <v>237</v>
      </c>
    </row>
    <row r="82" spans="1:8" x14ac:dyDescent="0.35">
      <c r="A82" t="s">
        <v>430</v>
      </c>
      <c r="B82" t="s">
        <v>431</v>
      </c>
      <c r="C82" t="s">
        <v>240</v>
      </c>
      <c r="D82" t="s">
        <v>275</v>
      </c>
      <c r="E82" t="s">
        <v>285</v>
      </c>
      <c r="F82" t="s">
        <v>264</v>
      </c>
      <c r="G82" t="s">
        <v>236</v>
      </c>
      <c r="H82" t="s">
        <v>237</v>
      </c>
    </row>
    <row r="83" spans="1:8" x14ac:dyDescent="0.35">
      <c r="A83" t="s">
        <v>432</v>
      </c>
      <c r="B83" t="s">
        <v>433</v>
      </c>
      <c r="C83" t="s">
        <v>274</v>
      </c>
      <c r="D83" t="s">
        <v>275</v>
      </c>
      <c r="E83" t="s">
        <v>256</v>
      </c>
      <c r="F83" t="s">
        <v>243</v>
      </c>
      <c r="G83" t="s">
        <v>236</v>
      </c>
      <c r="H83" t="s">
        <v>237</v>
      </c>
    </row>
    <row r="84" spans="1:8" x14ac:dyDescent="0.35">
      <c r="A84" t="s">
        <v>434</v>
      </c>
      <c r="B84" t="s">
        <v>435</v>
      </c>
      <c r="C84" t="s">
        <v>341</v>
      </c>
      <c r="D84" t="s">
        <v>262</v>
      </c>
      <c r="E84" t="s">
        <v>319</v>
      </c>
      <c r="F84" t="s">
        <v>264</v>
      </c>
      <c r="G84" t="s">
        <v>236</v>
      </c>
      <c r="H84" t="s">
        <v>237</v>
      </c>
    </row>
    <row r="85" spans="1:8" x14ac:dyDescent="0.35">
      <c r="A85" t="s">
        <v>436</v>
      </c>
      <c r="B85" t="s">
        <v>396</v>
      </c>
      <c r="C85" t="s">
        <v>297</v>
      </c>
      <c r="D85" t="s">
        <v>325</v>
      </c>
      <c r="E85" t="s">
        <v>234</v>
      </c>
      <c r="F85" t="s">
        <v>235</v>
      </c>
      <c r="G85" t="s">
        <v>302</v>
      </c>
      <c r="H85" t="s">
        <v>237</v>
      </c>
    </row>
    <row r="86" spans="1:8" x14ac:dyDescent="0.35">
      <c r="A86" t="s">
        <v>437</v>
      </c>
      <c r="B86" t="s">
        <v>396</v>
      </c>
      <c r="C86" t="s">
        <v>254</v>
      </c>
      <c r="D86" t="s">
        <v>325</v>
      </c>
      <c r="E86" t="s">
        <v>357</v>
      </c>
      <c r="F86" t="s">
        <v>264</v>
      </c>
      <c r="G86" t="s">
        <v>302</v>
      </c>
      <c r="H86" t="s">
        <v>237</v>
      </c>
    </row>
    <row r="87" spans="1:8" x14ac:dyDescent="0.35">
      <c r="A87" t="s">
        <v>457</v>
      </c>
      <c r="B87" t="s">
        <v>458</v>
      </c>
      <c r="C87" t="s">
        <v>232</v>
      </c>
      <c r="D87" t="s">
        <v>246</v>
      </c>
      <c r="E87" t="s">
        <v>269</v>
      </c>
      <c r="F87" t="s">
        <v>243</v>
      </c>
      <c r="G87" t="s">
        <v>302</v>
      </c>
      <c r="H87" t="s">
        <v>237</v>
      </c>
    </row>
    <row r="88" spans="1:8" x14ac:dyDescent="0.35">
      <c r="A88" t="s">
        <v>440</v>
      </c>
      <c r="B88" t="s">
        <v>441</v>
      </c>
      <c r="C88" t="s">
        <v>341</v>
      </c>
      <c r="D88" t="s">
        <v>250</v>
      </c>
      <c r="E88" t="s">
        <v>285</v>
      </c>
      <c r="F88" t="s">
        <v>264</v>
      </c>
      <c r="G88" t="s">
        <v>302</v>
      </c>
      <c r="H88" t="s">
        <v>237</v>
      </c>
    </row>
    <row r="89" spans="1:8" x14ac:dyDescent="0.35">
      <c r="A89" t="s">
        <v>442</v>
      </c>
      <c r="B89" t="s">
        <v>443</v>
      </c>
      <c r="C89" t="s">
        <v>232</v>
      </c>
      <c r="D89" t="s">
        <v>392</v>
      </c>
      <c r="E89" t="s">
        <v>259</v>
      </c>
      <c r="F89" t="s">
        <v>235</v>
      </c>
      <c r="G89" t="s">
        <v>236</v>
      </c>
      <c r="H89" t="s">
        <v>237</v>
      </c>
    </row>
    <row r="90" spans="1:8" x14ac:dyDescent="0.35">
      <c r="A90" t="s">
        <v>444</v>
      </c>
      <c r="B90" t="s">
        <v>445</v>
      </c>
      <c r="C90" t="s">
        <v>240</v>
      </c>
      <c r="D90" t="s">
        <v>325</v>
      </c>
      <c r="E90" t="s">
        <v>285</v>
      </c>
      <c r="F90" t="s">
        <v>264</v>
      </c>
      <c r="G90" t="s">
        <v>236</v>
      </c>
      <c r="H90" t="s">
        <v>237</v>
      </c>
    </row>
    <row r="91" spans="1:8" x14ac:dyDescent="0.35">
      <c r="A91" t="s">
        <v>446</v>
      </c>
      <c r="B91" t="s">
        <v>447</v>
      </c>
      <c r="C91" t="s">
        <v>288</v>
      </c>
      <c r="D91" t="s">
        <v>325</v>
      </c>
      <c r="E91" t="s">
        <v>309</v>
      </c>
      <c r="F91" t="s">
        <v>243</v>
      </c>
      <c r="G91" t="s">
        <v>236</v>
      </c>
      <c r="H91" t="s">
        <v>237</v>
      </c>
    </row>
    <row r="92" spans="1:8" x14ac:dyDescent="0.35">
      <c r="A92" t="s">
        <v>448</v>
      </c>
      <c r="B92" t="s">
        <v>427</v>
      </c>
      <c r="C92" t="s">
        <v>341</v>
      </c>
      <c r="D92" t="s">
        <v>233</v>
      </c>
      <c r="E92" t="s">
        <v>294</v>
      </c>
      <c r="F92" t="s">
        <v>243</v>
      </c>
      <c r="G92" t="s">
        <v>302</v>
      </c>
      <c r="H92" t="s">
        <v>237</v>
      </c>
    </row>
    <row r="93" spans="1:8" x14ac:dyDescent="0.35">
      <c r="A93" t="s">
        <v>449</v>
      </c>
      <c r="B93" t="s">
        <v>450</v>
      </c>
      <c r="C93" t="s">
        <v>274</v>
      </c>
      <c r="D93" t="s">
        <v>246</v>
      </c>
      <c r="E93" t="s">
        <v>234</v>
      </c>
      <c r="F93" t="s">
        <v>235</v>
      </c>
      <c r="G93" t="s">
        <v>236</v>
      </c>
      <c r="H93" t="s">
        <v>237</v>
      </c>
    </row>
    <row r="94" spans="1:8" x14ac:dyDescent="0.35">
      <c r="A94" t="s">
        <v>451</v>
      </c>
      <c r="B94" t="s">
        <v>368</v>
      </c>
      <c r="C94" t="s">
        <v>254</v>
      </c>
      <c r="D94" t="s">
        <v>308</v>
      </c>
      <c r="E94" t="s">
        <v>263</v>
      </c>
      <c r="F94" t="s">
        <v>264</v>
      </c>
      <c r="G94" t="s">
        <v>236</v>
      </c>
      <c r="H94" t="s">
        <v>237</v>
      </c>
    </row>
    <row r="95" spans="1:8" x14ac:dyDescent="0.35">
      <c r="A95" t="s">
        <v>452</v>
      </c>
      <c r="B95" t="s">
        <v>420</v>
      </c>
      <c r="C95" t="s">
        <v>232</v>
      </c>
      <c r="D95" t="s">
        <v>325</v>
      </c>
      <c r="E95" t="s">
        <v>263</v>
      </c>
      <c r="F95" t="s">
        <v>264</v>
      </c>
      <c r="G95" t="s">
        <v>236</v>
      </c>
      <c r="H95" t="s">
        <v>237</v>
      </c>
    </row>
    <row r="96" spans="1:8" x14ac:dyDescent="0.35">
      <c r="A96" t="s">
        <v>453</v>
      </c>
      <c r="B96" t="s">
        <v>454</v>
      </c>
      <c r="C96" t="s">
        <v>254</v>
      </c>
      <c r="D96" t="s">
        <v>308</v>
      </c>
      <c r="E96" t="s">
        <v>259</v>
      </c>
      <c r="F96" t="s">
        <v>235</v>
      </c>
      <c r="G96" t="s">
        <v>236</v>
      </c>
      <c r="H96" t="s">
        <v>237</v>
      </c>
    </row>
    <row r="97" spans="1:8" x14ac:dyDescent="0.35">
      <c r="A97" t="s">
        <v>455</v>
      </c>
      <c r="B97" t="s">
        <v>456</v>
      </c>
      <c r="C97" t="s">
        <v>280</v>
      </c>
      <c r="D97" t="s">
        <v>250</v>
      </c>
      <c r="E97" t="s">
        <v>298</v>
      </c>
      <c r="F97" t="s">
        <v>264</v>
      </c>
      <c r="G97" t="s">
        <v>236</v>
      </c>
      <c r="H97" t="s">
        <v>237</v>
      </c>
    </row>
    <row r="98" spans="1:8" x14ac:dyDescent="0.35">
      <c r="A98" t="s">
        <v>459</v>
      </c>
      <c r="B98" t="s">
        <v>460</v>
      </c>
      <c r="C98" t="s">
        <v>232</v>
      </c>
      <c r="D98" t="s">
        <v>461</v>
      </c>
      <c r="E98" t="s">
        <v>326</v>
      </c>
      <c r="F98" t="s">
        <v>264</v>
      </c>
      <c r="G98" t="s">
        <v>236</v>
      </c>
      <c r="H98" t="s">
        <v>237</v>
      </c>
    </row>
    <row r="99" spans="1:8" x14ac:dyDescent="0.35">
      <c r="A99" t="s">
        <v>462</v>
      </c>
      <c r="B99" t="s">
        <v>396</v>
      </c>
      <c r="C99" t="s">
        <v>232</v>
      </c>
      <c r="D99" t="s">
        <v>275</v>
      </c>
      <c r="E99" t="s">
        <v>357</v>
      </c>
      <c r="F99" t="s">
        <v>264</v>
      </c>
      <c r="G99" t="s">
        <v>236</v>
      </c>
      <c r="H99" t="s">
        <v>265</v>
      </c>
    </row>
    <row r="100" spans="1:8" x14ac:dyDescent="0.35">
      <c r="A100" t="s">
        <v>463</v>
      </c>
      <c r="B100" t="s">
        <v>464</v>
      </c>
      <c r="C100" t="s">
        <v>274</v>
      </c>
      <c r="D100" t="s">
        <v>262</v>
      </c>
      <c r="E100" t="s">
        <v>285</v>
      </c>
      <c r="F100" t="s">
        <v>264</v>
      </c>
      <c r="G100" t="s">
        <v>302</v>
      </c>
      <c r="H100" t="s">
        <v>237</v>
      </c>
    </row>
    <row r="101" spans="1:8" x14ac:dyDescent="0.35">
      <c r="A101" t="s">
        <v>465</v>
      </c>
      <c r="B101" t="s">
        <v>348</v>
      </c>
      <c r="C101" t="s">
        <v>254</v>
      </c>
      <c r="D101" t="s">
        <v>325</v>
      </c>
      <c r="E101" t="s">
        <v>319</v>
      </c>
      <c r="F101" t="s">
        <v>264</v>
      </c>
      <c r="G101" t="s">
        <v>302</v>
      </c>
      <c r="H101" t="s">
        <v>237</v>
      </c>
    </row>
    <row r="102" spans="1:8" x14ac:dyDescent="0.35">
      <c r="A102" t="s">
        <v>466</v>
      </c>
      <c r="B102" t="s">
        <v>441</v>
      </c>
      <c r="C102" t="s">
        <v>288</v>
      </c>
      <c r="D102" t="s">
        <v>241</v>
      </c>
      <c r="E102" t="s">
        <v>413</v>
      </c>
      <c r="F102" t="s">
        <v>235</v>
      </c>
      <c r="G102" t="s">
        <v>236</v>
      </c>
      <c r="H102" t="s">
        <v>237</v>
      </c>
    </row>
    <row r="103" spans="1:8" x14ac:dyDescent="0.35">
      <c r="A103" t="s">
        <v>467</v>
      </c>
      <c r="B103" t="s">
        <v>468</v>
      </c>
      <c r="C103" t="s">
        <v>297</v>
      </c>
      <c r="D103" t="s">
        <v>250</v>
      </c>
      <c r="E103" t="s">
        <v>234</v>
      </c>
      <c r="F103" t="s">
        <v>235</v>
      </c>
      <c r="G103" t="s">
        <v>236</v>
      </c>
      <c r="H103" t="s">
        <v>237</v>
      </c>
    </row>
    <row r="104" spans="1:8" x14ac:dyDescent="0.35">
      <c r="A104" t="s">
        <v>469</v>
      </c>
      <c r="B104" t="s">
        <v>470</v>
      </c>
      <c r="C104" t="s">
        <v>349</v>
      </c>
      <c r="D104" t="s">
        <v>275</v>
      </c>
      <c r="E104" t="s">
        <v>393</v>
      </c>
      <c r="F104" t="s">
        <v>235</v>
      </c>
      <c r="G104" t="s">
        <v>236</v>
      </c>
      <c r="H104" t="s">
        <v>237</v>
      </c>
    </row>
    <row r="105" spans="1:8" x14ac:dyDescent="0.35">
      <c r="A105" t="s">
        <v>471</v>
      </c>
      <c r="B105" t="s">
        <v>472</v>
      </c>
      <c r="C105" t="s">
        <v>341</v>
      </c>
      <c r="D105" t="s">
        <v>323</v>
      </c>
      <c r="E105" t="s">
        <v>247</v>
      </c>
      <c r="F105" t="s">
        <v>235</v>
      </c>
      <c r="G105" t="s">
        <v>314</v>
      </c>
      <c r="H105" t="s">
        <v>237</v>
      </c>
    </row>
    <row r="106" spans="1:8" x14ac:dyDescent="0.35">
      <c r="A106" t="s">
        <v>473</v>
      </c>
      <c r="B106" t="s">
        <v>368</v>
      </c>
      <c r="C106" t="s">
        <v>240</v>
      </c>
      <c r="D106" t="s">
        <v>233</v>
      </c>
      <c r="E106" t="s">
        <v>247</v>
      </c>
      <c r="F106" t="s">
        <v>235</v>
      </c>
      <c r="G106" t="s">
        <v>236</v>
      </c>
      <c r="H106" t="s">
        <v>265</v>
      </c>
    </row>
    <row r="107" spans="1:8" x14ac:dyDescent="0.35">
      <c r="A107" t="s">
        <v>474</v>
      </c>
      <c r="B107" t="s">
        <v>330</v>
      </c>
      <c r="C107" t="s">
        <v>341</v>
      </c>
      <c r="D107" t="s">
        <v>255</v>
      </c>
      <c r="E107" t="s">
        <v>234</v>
      </c>
      <c r="F107" t="s">
        <v>235</v>
      </c>
      <c r="G107" t="s">
        <v>236</v>
      </c>
      <c r="H107" t="s">
        <v>237</v>
      </c>
    </row>
    <row r="108" spans="1:8" x14ac:dyDescent="0.35">
      <c r="A108" t="s">
        <v>475</v>
      </c>
      <c r="B108" t="s">
        <v>476</v>
      </c>
      <c r="C108" t="s">
        <v>232</v>
      </c>
      <c r="D108" t="s">
        <v>255</v>
      </c>
      <c r="E108" t="s">
        <v>269</v>
      </c>
      <c r="F108" t="s">
        <v>243</v>
      </c>
      <c r="G108" t="s">
        <v>314</v>
      </c>
      <c r="H108" t="s">
        <v>237</v>
      </c>
    </row>
    <row r="109" spans="1:8" x14ac:dyDescent="0.35">
      <c r="A109" t="s">
        <v>477</v>
      </c>
      <c r="B109" t="s">
        <v>478</v>
      </c>
      <c r="C109" t="s">
        <v>297</v>
      </c>
      <c r="D109" t="s">
        <v>233</v>
      </c>
      <c r="E109" t="s">
        <v>305</v>
      </c>
      <c r="F109" t="s">
        <v>243</v>
      </c>
      <c r="G109" t="s">
        <v>236</v>
      </c>
      <c r="H109" t="s">
        <v>237</v>
      </c>
    </row>
    <row r="110" spans="1:8" x14ac:dyDescent="0.35">
      <c r="A110" t="s">
        <v>479</v>
      </c>
      <c r="B110" t="s">
        <v>480</v>
      </c>
      <c r="C110" t="s">
        <v>349</v>
      </c>
      <c r="D110" t="s">
        <v>268</v>
      </c>
      <c r="E110" t="s">
        <v>269</v>
      </c>
      <c r="F110" t="s">
        <v>243</v>
      </c>
      <c r="G110" t="s">
        <v>302</v>
      </c>
      <c r="H110" t="s">
        <v>237</v>
      </c>
    </row>
    <row r="111" spans="1:8" x14ac:dyDescent="0.35">
      <c r="A111" t="s">
        <v>481</v>
      </c>
      <c r="B111" t="s">
        <v>482</v>
      </c>
      <c r="C111" t="s">
        <v>288</v>
      </c>
      <c r="D111" t="s">
        <v>308</v>
      </c>
      <c r="E111" t="s">
        <v>285</v>
      </c>
      <c r="F111" t="s">
        <v>264</v>
      </c>
      <c r="G111" t="s">
        <v>314</v>
      </c>
      <c r="H111" t="s">
        <v>237</v>
      </c>
    </row>
    <row r="112" spans="1:8" x14ac:dyDescent="0.35">
      <c r="A112" t="s">
        <v>483</v>
      </c>
      <c r="B112" t="s">
        <v>484</v>
      </c>
      <c r="C112" t="s">
        <v>280</v>
      </c>
      <c r="D112" t="s">
        <v>275</v>
      </c>
      <c r="E112" t="s">
        <v>285</v>
      </c>
      <c r="F112" t="s">
        <v>264</v>
      </c>
      <c r="G112" t="s">
        <v>236</v>
      </c>
      <c r="H112" t="s">
        <v>237</v>
      </c>
    </row>
    <row r="113" spans="1:8" x14ac:dyDescent="0.35">
      <c r="A113" t="s">
        <v>485</v>
      </c>
      <c r="B113" t="s">
        <v>486</v>
      </c>
      <c r="C113" t="s">
        <v>274</v>
      </c>
      <c r="D113" t="s">
        <v>308</v>
      </c>
      <c r="E113" t="s">
        <v>294</v>
      </c>
      <c r="F113" t="s">
        <v>243</v>
      </c>
      <c r="G113" t="s">
        <v>236</v>
      </c>
      <c r="H113" t="s">
        <v>237</v>
      </c>
    </row>
    <row r="114" spans="1:8" x14ac:dyDescent="0.35">
      <c r="A114" t="s">
        <v>487</v>
      </c>
      <c r="B114" t="s">
        <v>488</v>
      </c>
      <c r="C114" t="s">
        <v>349</v>
      </c>
      <c r="D114" t="s">
        <v>241</v>
      </c>
      <c r="E114" t="s">
        <v>305</v>
      </c>
      <c r="F114" t="s">
        <v>243</v>
      </c>
      <c r="G114" t="s">
        <v>302</v>
      </c>
      <c r="H114" t="s">
        <v>237</v>
      </c>
    </row>
    <row r="115" spans="1:8" x14ac:dyDescent="0.35">
      <c r="A115" t="s">
        <v>489</v>
      </c>
      <c r="B115" t="s">
        <v>318</v>
      </c>
      <c r="C115" t="s">
        <v>254</v>
      </c>
      <c r="D115" t="s">
        <v>490</v>
      </c>
      <c r="E115" t="s">
        <v>294</v>
      </c>
      <c r="F115" t="s">
        <v>243</v>
      </c>
      <c r="G115" t="s">
        <v>236</v>
      </c>
      <c r="H115" t="s">
        <v>237</v>
      </c>
    </row>
    <row r="116" spans="1:8" x14ac:dyDescent="0.35">
      <c r="A116" t="s">
        <v>491</v>
      </c>
      <c r="B116" t="s">
        <v>492</v>
      </c>
      <c r="C116" t="s">
        <v>254</v>
      </c>
      <c r="D116" t="s">
        <v>233</v>
      </c>
      <c r="E116" t="s">
        <v>319</v>
      </c>
      <c r="F116" t="s">
        <v>264</v>
      </c>
      <c r="G116" t="s">
        <v>236</v>
      </c>
      <c r="H116" t="s">
        <v>237</v>
      </c>
    </row>
    <row r="117" spans="1:8" x14ac:dyDescent="0.35">
      <c r="A117" t="s">
        <v>493</v>
      </c>
      <c r="B117" t="s">
        <v>311</v>
      </c>
      <c r="C117" t="s">
        <v>232</v>
      </c>
      <c r="D117" t="s">
        <v>275</v>
      </c>
      <c r="E117" t="s">
        <v>309</v>
      </c>
      <c r="F117" t="s">
        <v>243</v>
      </c>
      <c r="G117" t="s">
        <v>236</v>
      </c>
      <c r="H117" t="s">
        <v>237</v>
      </c>
    </row>
    <row r="118" spans="1:8" x14ac:dyDescent="0.35">
      <c r="A118" t="s">
        <v>494</v>
      </c>
      <c r="B118" t="s">
        <v>396</v>
      </c>
      <c r="C118" t="s">
        <v>288</v>
      </c>
      <c r="D118" t="s">
        <v>246</v>
      </c>
      <c r="E118" t="s">
        <v>269</v>
      </c>
      <c r="F118" t="s">
        <v>243</v>
      </c>
      <c r="G118" t="s">
        <v>314</v>
      </c>
      <c r="H118" t="s">
        <v>237</v>
      </c>
    </row>
    <row r="119" spans="1:8" x14ac:dyDescent="0.35">
      <c r="A119" t="s">
        <v>495</v>
      </c>
      <c r="B119" t="s">
        <v>496</v>
      </c>
      <c r="C119" t="s">
        <v>349</v>
      </c>
      <c r="D119" t="s">
        <v>250</v>
      </c>
      <c r="E119" t="s">
        <v>285</v>
      </c>
      <c r="F119" t="s">
        <v>264</v>
      </c>
      <c r="G119" t="s">
        <v>236</v>
      </c>
      <c r="H119" t="s">
        <v>237</v>
      </c>
    </row>
    <row r="120" spans="1:8" x14ac:dyDescent="0.35">
      <c r="A120" t="s">
        <v>497</v>
      </c>
      <c r="B120" t="s">
        <v>296</v>
      </c>
      <c r="C120" t="s">
        <v>297</v>
      </c>
      <c r="D120" t="s">
        <v>381</v>
      </c>
      <c r="E120" t="s">
        <v>271</v>
      </c>
      <c r="F120" t="s">
        <v>235</v>
      </c>
      <c r="G120" t="s">
        <v>236</v>
      </c>
      <c r="H120" t="s">
        <v>265</v>
      </c>
    </row>
    <row r="121" spans="1:8" x14ac:dyDescent="0.35">
      <c r="A121" t="s">
        <v>498</v>
      </c>
      <c r="B121" t="s">
        <v>499</v>
      </c>
      <c r="C121" t="s">
        <v>240</v>
      </c>
      <c r="D121" t="s">
        <v>293</v>
      </c>
      <c r="E121" t="s">
        <v>251</v>
      </c>
      <c r="F121" t="s">
        <v>235</v>
      </c>
      <c r="G121" t="s">
        <v>302</v>
      </c>
      <c r="H121" t="s">
        <v>265</v>
      </c>
    </row>
    <row r="122" spans="1:8" x14ac:dyDescent="0.35">
      <c r="A122" t="s">
        <v>500</v>
      </c>
      <c r="B122" t="s">
        <v>447</v>
      </c>
      <c r="C122" t="s">
        <v>232</v>
      </c>
      <c r="D122" t="s">
        <v>262</v>
      </c>
      <c r="E122" t="s">
        <v>251</v>
      </c>
      <c r="F122" t="s">
        <v>235</v>
      </c>
      <c r="G122" t="s">
        <v>314</v>
      </c>
      <c r="H122" t="s">
        <v>237</v>
      </c>
    </row>
    <row r="123" spans="1:8" x14ac:dyDescent="0.35">
      <c r="A123" t="s">
        <v>501</v>
      </c>
      <c r="B123" t="s">
        <v>363</v>
      </c>
      <c r="C123" t="s">
        <v>301</v>
      </c>
      <c r="D123" t="s">
        <v>325</v>
      </c>
      <c r="E123" t="s">
        <v>357</v>
      </c>
      <c r="F123" t="s">
        <v>264</v>
      </c>
      <c r="G123" t="s">
        <v>236</v>
      </c>
      <c r="H123" t="s">
        <v>237</v>
      </c>
    </row>
    <row r="124" spans="1:8" x14ac:dyDescent="0.35">
      <c r="A124" t="s">
        <v>502</v>
      </c>
      <c r="B124" t="s">
        <v>503</v>
      </c>
      <c r="C124" t="s">
        <v>280</v>
      </c>
      <c r="D124" t="s">
        <v>255</v>
      </c>
      <c r="E124" t="s">
        <v>251</v>
      </c>
      <c r="F124" t="s">
        <v>235</v>
      </c>
      <c r="G124" t="s">
        <v>236</v>
      </c>
      <c r="H124" t="s">
        <v>237</v>
      </c>
    </row>
    <row r="125" spans="1:8" x14ac:dyDescent="0.35">
      <c r="A125" t="s">
        <v>504</v>
      </c>
      <c r="B125" t="s">
        <v>505</v>
      </c>
      <c r="C125" t="s">
        <v>274</v>
      </c>
      <c r="D125" t="s">
        <v>293</v>
      </c>
      <c r="E125" t="s">
        <v>357</v>
      </c>
      <c r="F125" t="s">
        <v>264</v>
      </c>
      <c r="G125" t="s">
        <v>302</v>
      </c>
      <c r="H125" t="s">
        <v>265</v>
      </c>
    </row>
    <row r="126" spans="1:8" x14ac:dyDescent="0.35">
      <c r="A126" t="s">
        <v>506</v>
      </c>
      <c r="B126" t="s">
        <v>287</v>
      </c>
      <c r="C126" t="s">
        <v>280</v>
      </c>
      <c r="D126" t="s">
        <v>268</v>
      </c>
      <c r="E126" t="s">
        <v>294</v>
      </c>
      <c r="F126" t="s">
        <v>243</v>
      </c>
      <c r="G126" t="s">
        <v>302</v>
      </c>
      <c r="H126" t="s">
        <v>237</v>
      </c>
    </row>
    <row r="127" spans="1:8" x14ac:dyDescent="0.35">
      <c r="A127" t="s">
        <v>507</v>
      </c>
      <c r="B127" t="s">
        <v>508</v>
      </c>
      <c r="C127" t="s">
        <v>288</v>
      </c>
      <c r="D127" t="s">
        <v>461</v>
      </c>
      <c r="E127" t="s">
        <v>305</v>
      </c>
      <c r="F127" t="s">
        <v>243</v>
      </c>
      <c r="G127" t="s">
        <v>236</v>
      </c>
      <c r="H127" t="s">
        <v>237</v>
      </c>
    </row>
    <row r="128" spans="1:8" x14ac:dyDescent="0.35">
      <c r="A128" t="s">
        <v>509</v>
      </c>
      <c r="B128" t="s">
        <v>510</v>
      </c>
      <c r="C128" t="s">
        <v>274</v>
      </c>
      <c r="D128" t="s">
        <v>323</v>
      </c>
      <c r="E128" t="s">
        <v>413</v>
      </c>
      <c r="F128" t="s">
        <v>235</v>
      </c>
      <c r="G128" t="s">
        <v>236</v>
      </c>
      <c r="H128" t="s">
        <v>237</v>
      </c>
    </row>
    <row r="129" spans="1:8" x14ac:dyDescent="0.35">
      <c r="A129" t="s">
        <v>511</v>
      </c>
      <c r="B129" t="s">
        <v>512</v>
      </c>
      <c r="C129" t="s">
        <v>280</v>
      </c>
      <c r="D129" t="s">
        <v>246</v>
      </c>
      <c r="E129" t="s">
        <v>290</v>
      </c>
      <c r="F129" t="s">
        <v>264</v>
      </c>
      <c r="G129" t="s">
        <v>236</v>
      </c>
      <c r="H129" t="s">
        <v>237</v>
      </c>
    </row>
    <row r="130" spans="1:8" x14ac:dyDescent="0.35">
      <c r="A130" t="s">
        <v>513</v>
      </c>
      <c r="B130" t="s">
        <v>514</v>
      </c>
      <c r="C130" t="s">
        <v>297</v>
      </c>
      <c r="D130" t="s">
        <v>275</v>
      </c>
      <c r="E130" t="s">
        <v>326</v>
      </c>
      <c r="F130" t="s">
        <v>264</v>
      </c>
      <c r="G130" t="s">
        <v>236</v>
      </c>
      <c r="H130" t="s">
        <v>237</v>
      </c>
    </row>
    <row r="131" spans="1:8" x14ac:dyDescent="0.35">
      <c r="A131" t="s">
        <v>515</v>
      </c>
      <c r="B131" t="s">
        <v>512</v>
      </c>
      <c r="C131" t="s">
        <v>274</v>
      </c>
      <c r="D131" t="s">
        <v>241</v>
      </c>
      <c r="E131" t="s">
        <v>413</v>
      </c>
      <c r="F131" t="s">
        <v>235</v>
      </c>
      <c r="G131" t="s">
        <v>302</v>
      </c>
      <c r="H131" t="s">
        <v>237</v>
      </c>
    </row>
    <row r="132" spans="1:8" x14ac:dyDescent="0.35">
      <c r="A132" t="s">
        <v>516</v>
      </c>
      <c r="B132" t="s">
        <v>517</v>
      </c>
      <c r="C132" t="s">
        <v>349</v>
      </c>
      <c r="D132" t="s">
        <v>275</v>
      </c>
      <c r="E132" t="s">
        <v>309</v>
      </c>
      <c r="F132" t="s">
        <v>243</v>
      </c>
      <c r="G132" t="s">
        <v>236</v>
      </c>
      <c r="H132" t="s">
        <v>265</v>
      </c>
    </row>
    <row r="133" spans="1:8" x14ac:dyDescent="0.35">
      <c r="A133" t="s">
        <v>518</v>
      </c>
      <c r="B133" t="s">
        <v>519</v>
      </c>
      <c r="C133" t="s">
        <v>301</v>
      </c>
      <c r="D133" t="s">
        <v>233</v>
      </c>
      <c r="E133" t="s">
        <v>319</v>
      </c>
      <c r="F133" t="s">
        <v>264</v>
      </c>
      <c r="G133" t="s">
        <v>236</v>
      </c>
      <c r="H133" t="s">
        <v>237</v>
      </c>
    </row>
    <row r="134" spans="1:8" x14ac:dyDescent="0.35">
      <c r="A134" t="s">
        <v>520</v>
      </c>
      <c r="B134" t="s">
        <v>521</v>
      </c>
      <c r="C134" t="s">
        <v>301</v>
      </c>
      <c r="D134" t="s">
        <v>392</v>
      </c>
      <c r="E134" t="s">
        <v>269</v>
      </c>
      <c r="F134" t="s">
        <v>243</v>
      </c>
      <c r="G134" t="s">
        <v>236</v>
      </c>
      <c r="H134" t="s">
        <v>237</v>
      </c>
    </row>
    <row r="135" spans="1:8" x14ac:dyDescent="0.35">
      <c r="A135" t="s">
        <v>522</v>
      </c>
      <c r="B135" t="s">
        <v>523</v>
      </c>
      <c r="C135" t="s">
        <v>288</v>
      </c>
      <c r="D135" t="s">
        <v>325</v>
      </c>
      <c r="E135" t="s">
        <v>319</v>
      </c>
      <c r="F135" t="s">
        <v>264</v>
      </c>
      <c r="G135" t="s">
        <v>236</v>
      </c>
      <c r="H135" t="s">
        <v>237</v>
      </c>
    </row>
    <row r="136" spans="1:8" x14ac:dyDescent="0.35">
      <c r="A136" t="s">
        <v>524</v>
      </c>
      <c r="B136" t="s">
        <v>484</v>
      </c>
      <c r="C136" t="s">
        <v>280</v>
      </c>
      <c r="D136" t="s">
        <v>336</v>
      </c>
      <c r="E136" t="s">
        <v>242</v>
      </c>
      <c r="G136" t="s">
        <v>302</v>
      </c>
      <c r="H136" t="s">
        <v>265</v>
      </c>
    </row>
    <row r="137" spans="1:8" x14ac:dyDescent="0.35">
      <c r="A137" t="s">
        <v>525</v>
      </c>
      <c r="B137" t="s">
        <v>526</v>
      </c>
      <c r="C137" t="s">
        <v>288</v>
      </c>
      <c r="D137" t="s">
        <v>308</v>
      </c>
      <c r="E137" t="s">
        <v>256</v>
      </c>
      <c r="F137" t="s">
        <v>243</v>
      </c>
      <c r="G137" t="s">
        <v>236</v>
      </c>
      <c r="H137" t="s">
        <v>237</v>
      </c>
    </row>
    <row r="138" spans="1:8" x14ac:dyDescent="0.35">
      <c r="A138" t="s">
        <v>527</v>
      </c>
      <c r="B138" t="s">
        <v>282</v>
      </c>
      <c r="C138" t="s">
        <v>301</v>
      </c>
      <c r="D138" t="s">
        <v>246</v>
      </c>
      <c r="E138" t="s">
        <v>259</v>
      </c>
      <c r="F138" t="s">
        <v>235</v>
      </c>
      <c r="G138" t="s">
        <v>236</v>
      </c>
      <c r="H138" t="s">
        <v>237</v>
      </c>
    </row>
    <row r="139" spans="1:8" x14ac:dyDescent="0.35">
      <c r="A139" t="s">
        <v>528</v>
      </c>
      <c r="B139" t="s">
        <v>433</v>
      </c>
      <c r="C139" t="s">
        <v>240</v>
      </c>
      <c r="D139" t="s">
        <v>255</v>
      </c>
      <c r="E139" t="s">
        <v>290</v>
      </c>
      <c r="F139" t="s">
        <v>264</v>
      </c>
      <c r="G139" t="s">
        <v>314</v>
      </c>
      <c r="H139" t="s">
        <v>237</v>
      </c>
    </row>
    <row r="140" spans="1:8" x14ac:dyDescent="0.35">
      <c r="A140" t="s">
        <v>529</v>
      </c>
      <c r="B140" t="s">
        <v>253</v>
      </c>
      <c r="C140" t="s">
        <v>280</v>
      </c>
      <c r="D140" t="s">
        <v>262</v>
      </c>
      <c r="E140" t="s">
        <v>234</v>
      </c>
      <c r="F140" t="s">
        <v>235</v>
      </c>
      <c r="G140" t="s">
        <v>236</v>
      </c>
      <c r="H140" t="s">
        <v>237</v>
      </c>
    </row>
    <row r="141" spans="1:8" x14ac:dyDescent="0.35">
      <c r="A141" t="s">
        <v>530</v>
      </c>
      <c r="B141" t="s">
        <v>531</v>
      </c>
      <c r="C141" t="s">
        <v>240</v>
      </c>
      <c r="D141" t="s">
        <v>275</v>
      </c>
      <c r="E141" t="s">
        <v>251</v>
      </c>
      <c r="F141" t="s">
        <v>235</v>
      </c>
      <c r="G141" t="s">
        <v>236</v>
      </c>
      <c r="H141" t="s">
        <v>237</v>
      </c>
    </row>
    <row r="142" spans="1:8" x14ac:dyDescent="0.35">
      <c r="A142" t="s">
        <v>532</v>
      </c>
      <c r="B142" t="s">
        <v>533</v>
      </c>
      <c r="C142" t="s">
        <v>240</v>
      </c>
      <c r="D142" t="s">
        <v>268</v>
      </c>
      <c r="E142" t="s">
        <v>234</v>
      </c>
      <c r="F142" t="s">
        <v>235</v>
      </c>
      <c r="G142" t="s">
        <v>236</v>
      </c>
      <c r="H142" t="s">
        <v>237</v>
      </c>
    </row>
    <row r="143" spans="1:8" x14ac:dyDescent="0.35">
      <c r="A143" t="s">
        <v>534</v>
      </c>
      <c r="B143" t="s">
        <v>535</v>
      </c>
      <c r="C143" t="s">
        <v>341</v>
      </c>
      <c r="D143" t="s">
        <v>255</v>
      </c>
      <c r="E143" t="s">
        <v>309</v>
      </c>
      <c r="G143" t="s">
        <v>236</v>
      </c>
      <c r="H143" t="s">
        <v>237</v>
      </c>
    </row>
    <row r="144" spans="1:8" x14ac:dyDescent="0.35">
      <c r="A144" t="s">
        <v>536</v>
      </c>
      <c r="B144" t="s">
        <v>537</v>
      </c>
      <c r="C144" t="s">
        <v>341</v>
      </c>
      <c r="D144" t="s">
        <v>350</v>
      </c>
      <c r="E144" t="s">
        <v>234</v>
      </c>
      <c r="F144" t="s">
        <v>235</v>
      </c>
      <c r="G144" t="s">
        <v>314</v>
      </c>
      <c r="H144" t="s">
        <v>237</v>
      </c>
    </row>
    <row r="145" spans="1:8" x14ac:dyDescent="0.35">
      <c r="A145" t="s">
        <v>538</v>
      </c>
      <c r="B145" t="s">
        <v>539</v>
      </c>
      <c r="C145" t="s">
        <v>274</v>
      </c>
      <c r="D145" t="s">
        <v>255</v>
      </c>
      <c r="E145" t="s">
        <v>326</v>
      </c>
      <c r="F145" t="s">
        <v>264</v>
      </c>
      <c r="G145" t="s">
        <v>236</v>
      </c>
      <c r="H145" t="s">
        <v>237</v>
      </c>
    </row>
    <row r="146" spans="1:8" x14ac:dyDescent="0.35">
      <c r="A146" t="s">
        <v>540</v>
      </c>
      <c r="B146" t="s">
        <v>458</v>
      </c>
      <c r="C146" t="s">
        <v>232</v>
      </c>
      <c r="D146" t="s">
        <v>461</v>
      </c>
      <c r="E146" t="s">
        <v>357</v>
      </c>
      <c r="F146" t="s">
        <v>264</v>
      </c>
      <c r="G146" t="s">
        <v>236</v>
      </c>
      <c r="H146" t="s">
        <v>265</v>
      </c>
    </row>
    <row r="147" spans="1:8" x14ac:dyDescent="0.35">
      <c r="A147" t="s">
        <v>541</v>
      </c>
      <c r="B147" t="s">
        <v>542</v>
      </c>
      <c r="C147" t="s">
        <v>280</v>
      </c>
      <c r="D147" t="s">
        <v>250</v>
      </c>
      <c r="E147" t="s">
        <v>247</v>
      </c>
      <c r="F147" t="s">
        <v>235</v>
      </c>
      <c r="G147" t="s">
        <v>302</v>
      </c>
      <c r="H147" t="s">
        <v>237</v>
      </c>
    </row>
    <row r="148" spans="1:8" x14ac:dyDescent="0.35">
      <c r="A148" t="s">
        <v>543</v>
      </c>
      <c r="B148" t="s">
        <v>544</v>
      </c>
      <c r="C148" t="s">
        <v>288</v>
      </c>
      <c r="D148" t="s">
        <v>336</v>
      </c>
      <c r="E148" t="s">
        <v>305</v>
      </c>
      <c r="F148" t="s">
        <v>243</v>
      </c>
      <c r="G148" t="s">
        <v>236</v>
      </c>
      <c r="H148" t="s">
        <v>237</v>
      </c>
    </row>
    <row r="149" spans="1:8" x14ac:dyDescent="0.35">
      <c r="A149" t="s">
        <v>545</v>
      </c>
      <c r="B149" t="s">
        <v>546</v>
      </c>
      <c r="C149" t="s">
        <v>349</v>
      </c>
      <c r="D149" t="s">
        <v>289</v>
      </c>
      <c r="E149" t="s">
        <v>234</v>
      </c>
      <c r="F149" t="s">
        <v>235</v>
      </c>
      <c r="G149" t="s">
        <v>236</v>
      </c>
      <c r="H149" t="s">
        <v>237</v>
      </c>
    </row>
    <row r="150" spans="1:8" x14ac:dyDescent="0.35">
      <c r="A150" t="s">
        <v>547</v>
      </c>
      <c r="B150" t="s">
        <v>375</v>
      </c>
      <c r="C150" t="s">
        <v>297</v>
      </c>
      <c r="D150" t="s">
        <v>262</v>
      </c>
      <c r="E150" t="s">
        <v>256</v>
      </c>
      <c r="F150" t="s">
        <v>243</v>
      </c>
      <c r="G150" t="s">
        <v>302</v>
      </c>
      <c r="H150" t="s">
        <v>237</v>
      </c>
    </row>
    <row r="151" spans="1:8" x14ac:dyDescent="0.35">
      <c r="A151" t="s">
        <v>548</v>
      </c>
      <c r="B151" t="s">
        <v>549</v>
      </c>
      <c r="C151" t="s">
        <v>349</v>
      </c>
      <c r="D151" t="s">
        <v>325</v>
      </c>
      <c r="E151" t="s">
        <v>333</v>
      </c>
      <c r="F151" t="s">
        <v>264</v>
      </c>
      <c r="G151" t="s">
        <v>236</v>
      </c>
      <c r="H151" t="s">
        <v>237</v>
      </c>
    </row>
    <row r="152" spans="1:8" x14ac:dyDescent="0.35">
      <c r="A152" t="s">
        <v>550</v>
      </c>
      <c r="B152" t="s">
        <v>408</v>
      </c>
      <c r="C152" t="s">
        <v>301</v>
      </c>
      <c r="D152" t="s">
        <v>293</v>
      </c>
      <c r="E152" t="s">
        <v>256</v>
      </c>
      <c r="F152" t="s">
        <v>243</v>
      </c>
      <c r="G152" t="s">
        <v>236</v>
      </c>
      <c r="H152" t="s">
        <v>237</v>
      </c>
    </row>
    <row r="153" spans="1:8" x14ac:dyDescent="0.35">
      <c r="A153" t="s">
        <v>551</v>
      </c>
      <c r="B153" t="s">
        <v>304</v>
      </c>
      <c r="C153" t="s">
        <v>341</v>
      </c>
      <c r="D153" t="s">
        <v>233</v>
      </c>
      <c r="E153" t="s">
        <v>357</v>
      </c>
      <c r="F153" t="s">
        <v>264</v>
      </c>
      <c r="G153" t="s">
        <v>314</v>
      </c>
      <c r="H153" t="s">
        <v>265</v>
      </c>
    </row>
    <row r="154" spans="1:8" x14ac:dyDescent="0.35">
      <c r="A154" t="s">
        <v>552</v>
      </c>
      <c r="B154" t="s">
        <v>553</v>
      </c>
      <c r="C154" t="s">
        <v>274</v>
      </c>
      <c r="D154" t="s">
        <v>250</v>
      </c>
      <c r="E154" t="s">
        <v>271</v>
      </c>
      <c r="F154" t="s">
        <v>235</v>
      </c>
      <c r="G154" t="s">
        <v>236</v>
      </c>
      <c r="H154" t="s">
        <v>237</v>
      </c>
    </row>
    <row r="155" spans="1:8" x14ac:dyDescent="0.35">
      <c r="A155" t="s">
        <v>554</v>
      </c>
      <c r="B155" t="s">
        <v>445</v>
      </c>
      <c r="C155" t="s">
        <v>274</v>
      </c>
      <c r="D155" t="s">
        <v>262</v>
      </c>
      <c r="E155" t="s">
        <v>413</v>
      </c>
      <c r="F155" t="s">
        <v>235</v>
      </c>
      <c r="G155" t="s">
        <v>314</v>
      </c>
      <c r="H155" t="s">
        <v>237</v>
      </c>
    </row>
    <row r="156" spans="1:8" x14ac:dyDescent="0.35">
      <c r="A156" t="s">
        <v>555</v>
      </c>
      <c r="B156" t="s">
        <v>391</v>
      </c>
      <c r="C156" t="s">
        <v>232</v>
      </c>
      <c r="D156" t="s">
        <v>241</v>
      </c>
      <c r="E156" t="s">
        <v>263</v>
      </c>
      <c r="F156" t="s">
        <v>264</v>
      </c>
      <c r="G156" t="s">
        <v>236</v>
      </c>
      <c r="H156" t="s">
        <v>237</v>
      </c>
    </row>
    <row r="157" spans="1:8" x14ac:dyDescent="0.35">
      <c r="A157" t="s">
        <v>556</v>
      </c>
      <c r="B157" t="s">
        <v>472</v>
      </c>
      <c r="C157" t="s">
        <v>349</v>
      </c>
      <c r="D157" t="s">
        <v>336</v>
      </c>
      <c r="E157" t="s">
        <v>234</v>
      </c>
      <c r="F157" t="s">
        <v>235</v>
      </c>
      <c r="G157" t="s">
        <v>302</v>
      </c>
      <c r="H157" t="s">
        <v>237</v>
      </c>
    </row>
    <row r="158" spans="1:8" x14ac:dyDescent="0.35">
      <c r="A158" t="s">
        <v>557</v>
      </c>
      <c r="B158" t="s">
        <v>558</v>
      </c>
      <c r="C158" t="s">
        <v>297</v>
      </c>
      <c r="D158" t="s">
        <v>268</v>
      </c>
      <c r="E158" t="s">
        <v>251</v>
      </c>
      <c r="F158" t="s">
        <v>235</v>
      </c>
      <c r="G158" t="s">
        <v>314</v>
      </c>
      <c r="H158" t="s">
        <v>237</v>
      </c>
    </row>
    <row r="159" spans="1:8" x14ac:dyDescent="0.35">
      <c r="A159" t="s">
        <v>559</v>
      </c>
      <c r="B159" t="s">
        <v>311</v>
      </c>
      <c r="C159" t="s">
        <v>297</v>
      </c>
      <c r="D159" t="s">
        <v>293</v>
      </c>
      <c r="E159" t="s">
        <v>251</v>
      </c>
      <c r="F159" t="s">
        <v>235</v>
      </c>
      <c r="G159" t="s">
        <v>236</v>
      </c>
      <c r="H159" t="s">
        <v>237</v>
      </c>
    </row>
    <row r="160" spans="1:8" x14ac:dyDescent="0.35">
      <c r="A160" t="s">
        <v>560</v>
      </c>
      <c r="B160" t="s">
        <v>292</v>
      </c>
      <c r="C160" t="s">
        <v>280</v>
      </c>
      <c r="D160" t="s">
        <v>268</v>
      </c>
      <c r="E160" t="s">
        <v>319</v>
      </c>
      <c r="F160" t="s">
        <v>264</v>
      </c>
      <c r="G160" t="s">
        <v>236</v>
      </c>
      <c r="H160" t="s">
        <v>237</v>
      </c>
    </row>
    <row r="161" spans="1:8" x14ac:dyDescent="0.35">
      <c r="A161" t="s">
        <v>561</v>
      </c>
      <c r="B161" t="s">
        <v>562</v>
      </c>
      <c r="C161" t="s">
        <v>341</v>
      </c>
      <c r="D161" t="s">
        <v>293</v>
      </c>
      <c r="E161" t="s">
        <v>269</v>
      </c>
      <c r="F161" t="s">
        <v>243</v>
      </c>
      <c r="G161" t="s">
        <v>236</v>
      </c>
      <c r="H161" t="s">
        <v>237</v>
      </c>
    </row>
    <row r="162" spans="1:8" x14ac:dyDescent="0.35">
      <c r="A162" t="s">
        <v>563</v>
      </c>
      <c r="B162" t="s">
        <v>311</v>
      </c>
      <c r="C162" t="s">
        <v>254</v>
      </c>
      <c r="D162" t="s">
        <v>250</v>
      </c>
      <c r="E162" t="s">
        <v>290</v>
      </c>
      <c r="F162" t="s">
        <v>264</v>
      </c>
      <c r="G162" t="s">
        <v>236</v>
      </c>
      <c r="H162" t="s">
        <v>237</v>
      </c>
    </row>
    <row r="163" spans="1:8" x14ac:dyDescent="0.35">
      <c r="A163" t="s">
        <v>564</v>
      </c>
      <c r="B163" t="s">
        <v>526</v>
      </c>
      <c r="C163" t="s">
        <v>280</v>
      </c>
      <c r="D163" t="s">
        <v>392</v>
      </c>
      <c r="E163" t="s">
        <v>305</v>
      </c>
      <c r="F163" t="s">
        <v>243</v>
      </c>
      <c r="G163" t="s">
        <v>314</v>
      </c>
      <c r="H163" t="s">
        <v>237</v>
      </c>
    </row>
    <row r="164" spans="1:8" x14ac:dyDescent="0.35">
      <c r="A164" t="s">
        <v>565</v>
      </c>
      <c r="B164" t="s">
        <v>566</v>
      </c>
      <c r="C164" t="s">
        <v>254</v>
      </c>
      <c r="D164" t="s">
        <v>567</v>
      </c>
      <c r="E164" t="s">
        <v>357</v>
      </c>
      <c r="G164" t="s">
        <v>314</v>
      </c>
      <c r="H164" t="s">
        <v>237</v>
      </c>
    </row>
    <row r="165" spans="1:8" x14ac:dyDescent="0.35">
      <c r="A165" t="s">
        <v>568</v>
      </c>
      <c r="B165" t="s">
        <v>360</v>
      </c>
      <c r="C165" t="s">
        <v>341</v>
      </c>
      <c r="D165" t="s">
        <v>392</v>
      </c>
      <c r="E165" t="s">
        <v>413</v>
      </c>
      <c r="G165" t="s">
        <v>236</v>
      </c>
      <c r="H165" t="s">
        <v>237</v>
      </c>
    </row>
    <row r="166" spans="1:8" x14ac:dyDescent="0.35">
      <c r="A166" t="s">
        <v>569</v>
      </c>
      <c r="B166" t="s">
        <v>535</v>
      </c>
      <c r="C166" t="s">
        <v>349</v>
      </c>
      <c r="D166" t="s">
        <v>308</v>
      </c>
      <c r="E166" t="s">
        <v>294</v>
      </c>
      <c r="G166" t="s">
        <v>236</v>
      </c>
      <c r="H166" t="s">
        <v>265</v>
      </c>
    </row>
    <row r="167" spans="1:8" x14ac:dyDescent="0.35">
      <c r="A167" t="s">
        <v>570</v>
      </c>
      <c r="B167" t="s">
        <v>435</v>
      </c>
      <c r="C167" t="s">
        <v>341</v>
      </c>
      <c r="D167" t="s">
        <v>571</v>
      </c>
      <c r="E167" t="s">
        <v>290</v>
      </c>
      <c r="F167" t="s">
        <v>264</v>
      </c>
      <c r="G167" t="s">
        <v>236</v>
      </c>
      <c r="H167" t="s">
        <v>237</v>
      </c>
    </row>
    <row r="168" spans="1:8" x14ac:dyDescent="0.35">
      <c r="A168" t="s">
        <v>572</v>
      </c>
      <c r="B168" t="s">
        <v>304</v>
      </c>
      <c r="C168" t="s">
        <v>288</v>
      </c>
      <c r="D168" t="s">
        <v>323</v>
      </c>
      <c r="E168" t="s">
        <v>393</v>
      </c>
      <c r="F168" t="s">
        <v>235</v>
      </c>
      <c r="G168" t="s">
        <v>236</v>
      </c>
      <c r="H168" t="s">
        <v>237</v>
      </c>
    </row>
    <row r="169" spans="1:8" x14ac:dyDescent="0.35">
      <c r="A169" t="s">
        <v>573</v>
      </c>
      <c r="B169" t="s">
        <v>277</v>
      </c>
      <c r="C169" t="s">
        <v>274</v>
      </c>
      <c r="D169" t="s">
        <v>325</v>
      </c>
      <c r="E169" t="s">
        <v>234</v>
      </c>
      <c r="F169" t="s">
        <v>235</v>
      </c>
      <c r="G169" t="s">
        <v>236</v>
      </c>
      <c r="H169" t="s">
        <v>237</v>
      </c>
    </row>
    <row r="170" spans="1:8" x14ac:dyDescent="0.35">
      <c r="A170" t="s">
        <v>574</v>
      </c>
      <c r="B170" t="s">
        <v>458</v>
      </c>
      <c r="C170" t="s">
        <v>341</v>
      </c>
      <c r="D170" t="s">
        <v>490</v>
      </c>
      <c r="E170" t="s">
        <v>326</v>
      </c>
      <c r="G170" t="s">
        <v>236</v>
      </c>
      <c r="H170" t="s">
        <v>237</v>
      </c>
    </row>
    <row r="171" spans="1:8" x14ac:dyDescent="0.35">
      <c r="A171" t="s">
        <v>575</v>
      </c>
      <c r="B171" t="s">
        <v>439</v>
      </c>
      <c r="C171" t="s">
        <v>274</v>
      </c>
      <c r="D171" t="s">
        <v>241</v>
      </c>
      <c r="E171" t="s">
        <v>285</v>
      </c>
      <c r="F171" t="s">
        <v>264</v>
      </c>
      <c r="G171" t="s">
        <v>236</v>
      </c>
      <c r="H171" t="s">
        <v>237</v>
      </c>
    </row>
    <row r="172" spans="1:8" x14ac:dyDescent="0.35">
      <c r="A172" t="s">
        <v>576</v>
      </c>
      <c r="B172" t="s">
        <v>577</v>
      </c>
      <c r="C172" t="s">
        <v>349</v>
      </c>
      <c r="D172" t="s">
        <v>336</v>
      </c>
      <c r="E172" t="s">
        <v>256</v>
      </c>
      <c r="F172" t="s">
        <v>243</v>
      </c>
      <c r="G172" t="s">
        <v>236</v>
      </c>
      <c r="H172" t="s">
        <v>237</v>
      </c>
    </row>
    <row r="173" spans="1:8" x14ac:dyDescent="0.35">
      <c r="A173" t="s">
        <v>578</v>
      </c>
      <c r="B173" t="s">
        <v>368</v>
      </c>
      <c r="C173" t="s">
        <v>232</v>
      </c>
      <c r="D173" t="s">
        <v>461</v>
      </c>
      <c r="E173" t="s">
        <v>413</v>
      </c>
      <c r="F173" t="s">
        <v>235</v>
      </c>
      <c r="G173" t="s">
        <v>236</v>
      </c>
      <c r="H173" t="s">
        <v>237</v>
      </c>
    </row>
    <row r="174" spans="1:8" x14ac:dyDescent="0.35">
      <c r="A174" t="s">
        <v>579</v>
      </c>
      <c r="B174" t="s">
        <v>514</v>
      </c>
      <c r="C174" t="s">
        <v>349</v>
      </c>
      <c r="D174" t="s">
        <v>461</v>
      </c>
      <c r="E174" t="s">
        <v>309</v>
      </c>
      <c r="F174" t="s">
        <v>243</v>
      </c>
      <c r="G174" t="s">
        <v>236</v>
      </c>
      <c r="H174" t="s">
        <v>237</v>
      </c>
    </row>
    <row r="175" spans="1:8" x14ac:dyDescent="0.35">
      <c r="A175" t="s">
        <v>580</v>
      </c>
      <c r="B175" t="s">
        <v>581</v>
      </c>
      <c r="C175" t="s">
        <v>288</v>
      </c>
      <c r="D175" t="s">
        <v>392</v>
      </c>
      <c r="E175" t="s">
        <v>271</v>
      </c>
      <c r="F175" t="s">
        <v>235</v>
      </c>
      <c r="G175" t="s">
        <v>236</v>
      </c>
      <c r="H175" t="s">
        <v>265</v>
      </c>
    </row>
    <row r="176" spans="1:8" x14ac:dyDescent="0.35">
      <c r="A176" t="s">
        <v>582</v>
      </c>
      <c r="B176" t="s">
        <v>583</v>
      </c>
      <c r="C176" t="s">
        <v>274</v>
      </c>
      <c r="D176" t="s">
        <v>275</v>
      </c>
      <c r="E176" t="s">
        <v>298</v>
      </c>
      <c r="F176" t="s">
        <v>264</v>
      </c>
      <c r="G176" t="s">
        <v>314</v>
      </c>
      <c r="H176" t="s">
        <v>237</v>
      </c>
    </row>
    <row r="177" spans="1:8" x14ac:dyDescent="0.35">
      <c r="A177" t="s">
        <v>584</v>
      </c>
      <c r="B177" t="s">
        <v>562</v>
      </c>
      <c r="C177" t="s">
        <v>274</v>
      </c>
      <c r="D177" t="s">
        <v>293</v>
      </c>
      <c r="E177" t="s">
        <v>357</v>
      </c>
      <c r="F177" t="s">
        <v>264</v>
      </c>
      <c r="G177" t="s">
        <v>236</v>
      </c>
      <c r="H177" t="s">
        <v>237</v>
      </c>
    </row>
    <row r="178" spans="1:8" x14ac:dyDescent="0.35">
      <c r="A178" t="s">
        <v>585</v>
      </c>
      <c r="B178" t="s">
        <v>586</v>
      </c>
      <c r="C178" t="s">
        <v>301</v>
      </c>
      <c r="D178" t="s">
        <v>323</v>
      </c>
      <c r="E178" t="s">
        <v>234</v>
      </c>
      <c r="F178" t="s">
        <v>235</v>
      </c>
      <c r="G178" t="s">
        <v>236</v>
      </c>
      <c r="H178" t="s">
        <v>237</v>
      </c>
    </row>
    <row r="179" spans="1:8" x14ac:dyDescent="0.35">
      <c r="A179" t="s">
        <v>587</v>
      </c>
      <c r="B179" t="s">
        <v>431</v>
      </c>
      <c r="C179" t="s">
        <v>280</v>
      </c>
      <c r="D179" t="s">
        <v>250</v>
      </c>
      <c r="E179" t="s">
        <v>247</v>
      </c>
      <c r="F179" t="s">
        <v>235</v>
      </c>
      <c r="G179" t="s">
        <v>236</v>
      </c>
      <c r="H179" t="s">
        <v>237</v>
      </c>
    </row>
    <row r="180" spans="1:8" x14ac:dyDescent="0.35">
      <c r="A180" t="s">
        <v>588</v>
      </c>
      <c r="B180" t="s">
        <v>435</v>
      </c>
      <c r="C180" t="s">
        <v>341</v>
      </c>
      <c r="D180" t="s">
        <v>323</v>
      </c>
      <c r="E180" t="s">
        <v>290</v>
      </c>
      <c r="F180" t="s">
        <v>264</v>
      </c>
      <c r="G180" t="s">
        <v>236</v>
      </c>
      <c r="H180" t="s">
        <v>237</v>
      </c>
    </row>
    <row r="181" spans="1:8" x14ac:dyDescent="0.35">
      <c r="A181" t="s">
        <v>589</v>
      </c>
      <c r="B181" t="s">
        <v>484</v>
      </c>
      <c r="C181" t="s">
        <v>288</v>
      </c>
      <c r="D181" t="s">
        <v>293</v>
      </c>
      <c r="E181" t="s">
        <v>290</v>
      </c>
      <c r="F181" t="s">
        <v>264</v>
      </c>
      <c r="G181" t="s">
        <v>302</v>
      </c>
      <c r="H181" t="s">
        <v>237</v>
      </c>
    </row>
    <row r="182" spans="1:8" x14ac:dyDescent="0.35">
      <c r="A182" t="s">
        <v>590</v>
      </c>
      <c r="B182" t="s">
        <v>591</v>
      </c>
      <c r="C182" t="s">
        <v>301</v>
      </c>
      <c r="D182" t="s">
        <v>461</v>
      </c>
      <c r="E182" t="s">
        <v>393</v>
      </c>
      <c r="F182" t="s">
        <v>235</v>
      </c>
      <c r="G182" t="s">
        <v>236</v>
      </c>
      <c r="H182" t="s">
        <v>237</v>
      </c>
    </row>
    <row r="183" spans="1:8" x14ac:dyDescent="0.35">
      <c r="A183" t="s">
        <v>592</v>
      </c>
      <c r="B183" t="s">
        <v>478</v>
      </c>
      <c r="C183" t="s">
        <v>297</v>
      </c>
      <c r="D183" t="s">
        <v>250</v>
      </c>
      <c r="E183" t="s">
        <v>294</v>
      </c>
      <c r="F183" t="s">
        <v>243</v>
      </c>
      <c r="G183" t="s">
        <v>302</v>
      </c>
      <c r="H183" t="s">
        <v>237</v>
      </c>
    </row>
    <row r="184" spans="1:8" x14ac:dyDescent="0.35">
      <c r="A184" t="s">
        <v>593</v>
      </c>
      <c r="B184" t="s">
        <v>594</v>
      </c>
      <c r="C184" t="s">
        <v>349</v>
      </c>
      <c r="D184" t="s">
        <v>241</v>
      </c>
      <c r="E184" t="s">
        <v>269</v>
      </c>
      <c r="F184" t="s">
        <v>243</v>
      </c>
      <c r="G184" t="s">
        <v>236</v>
      </c>
      <c r="H184" t="s">
        <v>237</v>
      </c>
    </row>
    <row r="185" spans="1:8" x14ac:dyDescent="0.35">
      <c r="A185" t="s">
        <v>595</v>
      </c>
      <c r="B185" t="s">
        <v>253</v>
      </c>
      <c r="C185" t="s">
        <v>232</v>
      </c>
      <c r="D185" t="s">
        <v>250</v>
      </c>
      <c r="E185" t="s">
        <v>271</v>
      </c>
      <c r="F185" t="s">
        <v>235</v>
      </c>
      <c r="G185" t="s">
        <v>236</v>
      </c>
      <c r="H185" t="s">
        <v>237</v>
      </c>
    </row>
    <row r="186" spans="1:8" x14ac:dyDescent="0.35">
      <c r="A186" t="s">
        <v>596</v>
      </c>
      <c r="B186" t="s">
        <v>443</v>
      </c>
      <c r="C186" t="s">
        <v>349</v>
      </c>
      <c r="D186" t="s">
        <v>233</v>
      </c>
      <c r="E186" t="s">
        <v>326</v>
      </c>
      <c r="F186" t="s">
        <v>264</v>
      </c>
      <c r="G186" t="s">
        <v>302</v>
      </c>
      <c r="H186" t="s">
        <v>237</v>
      </c>
    </row>
    <row r="187" spans="1:8" x14ac:dyDescent="0.35">
      <c r="A187" t="s">
        <v>597</v>
      </c>
      <c r="B187" t="s">
        <v>598</v>
      </c>
      <c r="C187" t="s">
        <v>240</v>
      </c>
      <c r="D187" t="s">
        <v>275</v>
      </c>
      <c r="E187" t="s">
        <v>251</v>
      </c>
      <c r="F187" t="s">
        <v>235</v>
      </c>
      <c r="G187" t="s">
        <v>236</v>
      </c>
      <c r="H187" t="s">
        <v>237</v>
      </c>
    </row>
    <row r="188" spans="1:8" x14ac:dyDescent="0.35">
      <c r="A188" t="s">
        <v>599</v>
      </c>
      <c r="B188" t="s">
        <v>600</v>
      </c>
      <c r="C188" t="s">
        <v>288</v>
      </c>
      <c r="D188" t="s">
        <v>241</v>
      </c>
      <c r="E188" t="s">
        <v>309</v>
      </c>
      <c r="F188" t="s">
        <v>243</v>
      </c>
      <c r="G188" t="s">
        <v>302</v>
      </c>
      <c r="H188" t="s">
        <v>237</v>
      </c>
    </row>
    <row r="189" spans="1:8" x14ac:dyDescent="0.35">
      <c r="A189" t="s">
        <v>601</v>
      </c>
      <c r="B189" t="s">
        <v>602</v>
      </c>
      <c r="C189" t="s">
        <v>274</v>
      </c>
      <c r="D189" t="s">
        <v>255</v>
      </c>
      <c r="E189" t="s">
        <v>271</v>
      </c>
      <c r="F189" t="s">
        <v>235</v>
      </c>
      <c r="G189" t="s">
        <v>302</v>
      </c>
      <c r="H189" t="s">
        <v>237</v>
      </c>
    </row>
    <row r="190" spans="1:8" x14ac:dyDescent="0.35">
      <c r="A190" t="s">
        <v>603</v>
      </c>
      <c r="B190" t="s">
        <v>508</v>
      </c>
      <c r="C190" t="s">
        <v>341</v>
      </c>
      <c r="D190" t="s">
        <v>262</v>
      </c>
      <c r="E190" t="s">
        <v>290</v>
      </c>
      <c r="F190" t="s">
        <v>264</v>
      </c>
      <c r="G190" t="s">
        <v>302</v>
      </c>
      <c r="H190" t="s">
        <v>237</v>
      </c>
    </row>
    <row r="191" spans="1:8" x14ac:dyDescent="0.35">
      <c r="A191" t="s">
        <v>604</v>
      </c>
      <c r="B191" t="s">
        <v>431</v>
      </c>
      <c r="C191" t="s">
        <v>232</v>
      </c>
      <c r="D191" t="s">
        <v>246</v>
      </c>
      <c r="E191" t="s">
        <v>256</v>
      </c>
      <c r="F191" t="s">
        <v>243</v>
      </c>
      <c r="G191" t="s">
        <v>236</v>
      </c>
      <c r="H191" t="s">
        <v>237</v>
      </c>
    </row>
    <row r="192" spans="1:8" x14ac:dyDescent="0.35">
      <c r="A192" t="s">
        <v>605</v>
      </c>
      <c r="B192" t="s">
        <v>389</v>
      </c>
      <c r="C192" t="s">
        <v>341</v>
      </c>
      <c r="D192" t="s">
        <v>323</v>
      </c>
      <c r="E192" t="s">
        <v>290</v>
      </c>
      <c r="F192" t="s">
        <v>264</v>
      </c>
      <c r="G192" t="s">
        <v>236</v>
      </c>
      <c r="H192" t="s">
        <v>237</v>
      </c>
    </row>
    <row r="193" spans="1:8" x14ac:dyDescent="0.35">
      <c r="A193" t="s">
        <v>606</v>
      </c>
      <c r="B193" t="s">
        <v>600</v>
      </c>
      <c r="C193" t="s">
        <v>280</v>
      </c>
      <c r="D193" t="s">
        <v>293</v>
      </c>
      <c r="E193" t="s">
        <v>294</v>
      </c>
      <c r="G193" t="s">
        <v>302</v>
      </c>
      <c r="H193" t="s">
        <v>237</v>
      </c>
    </row>
    <row r="194" spans="1:8" x14ac:dyDescent="0.35">
      <c r="A194" t="s">
        <v>607</v>
      </c>
      <c r="B194" t="s">
        <v>608</v>
      </c>
      <c r="C194" t="s">
        <v>288</v>
      </c>
      <c r="D194" t="s">
        <v>268</v>
      </c>
      <c r="E194" t="s">
        <v>290</v>
      </c>
      <c r="F194" t="s">
        <v>264</v>
      </c>
      <c r="G194" t="s">
        <v>236</v>
      </c>
      <c r="H194" t="s">
        <v>265</v>
      </c>
    </row>
    <row r="195" spans="1:8" x14ac:dyDescent="0.35">
      <c r="A195" t="s">
        <v>609</v>
      </c>
      <c r="B195" t="s">
        <v>610</v>
      </c>
      <c r="C195" t="s">
        <v>280</v>
      </c>
      <c r="D195" t="s">
        <v>325</v>
      </c>
      <c r="E195" t="s">
        <v>285</v>
      </c>
      <c r="G195" t="s">
        <v>236</v>
      </c>
      <c r="H195" t="s">
        <v>237</v>
      </c>
    </row>
    <row r="196" spans="1:8" x14ac:dyDescent="0.35">
      <c r="A196" t="s">
        <v>611</v>
      </c>
      <c r="B196" t="s">
        <v>287</v>
      </c>
      <c r="C196" t="s">
        <v>232</v>
      </c>
      <c r="D196" t="s">
        <v>241</v>
      </c>
      <c r="E196" t="s">
        <v>247</v>
      </c>
      <c r="F196" t="s">
        <v>235</v>
      </c>
      <c r="G196" t="s">
        <v>236</v>
      </c>
      <c r="H196" t="s">
        <v>237</v>
      </c>
    </row>
    <row r="197" spans="1:8" x14ac:dyDescent="0.35">
      <c r="A197" t="s">
        <v>612</v>
      </c>
      <c r="B197" t="s">
        <v>447</v>
      </c>
      <c r="C197" t="s">
        <v>240</v>
      </c>
      <c r="D197" t="s">
        <v>325</v>
      </c>
      <c r="E197" t="s">
        <v>393</v>
      </c>
      <c r="F197" t="s">
        <v>235</v>
      </c>
      <c r="G197" t="s">
        <v>236</v>
      </c>
      <c r="H197" t="s">
        <v>237</v>
      </c>
    </row>
    <row r="198" spans="1:8" x14ac:dyDescent="0.35">
      <c r="A198" t="s">
        <v>613</v>
      </c>
      <c r="B198" t="s">
        <v>304</v>
      </c>
      <c r="C198" t="s">
        <v>349</v>
      </c>
      <c r="D198" t="s">
        <v>571</v>
      </c>
      <c r="E198" t="s">
        <v>242</v>
      </c>
      <c r="F198" t="s">
        <v>243</v>
      </c>
      <c r="G198" t="s">
        <v>302</v>
      </c>
      <c r="H198" t="s">
        <v>237</v>
      </c>
    </row>
    <row r="199" spans="1:8" x14ac:dyDescent="0.35">
      <c r="A199" t="s">
        <v>614</v>
      </c>
      <c r="B199" t="s">
        <v>615</v>
      </c>
      <c r="C199" t="s">
        <v>288</v>
      </c>
      <c r="D199" t="s">
        <v>275</v>
      </c>
      <c r="E199" t="s">
        <v>234</v>
      </c>
      <c r="F199" t="s">
        <v>235</v>
      </c>
      <c r="G199" t="s">
        <v>302</v>
      </c>
      <c r="H199" t="s">
        <v>237</v>
      </c>
    </row>
    <row r="200" spans="1:8" x14ac:dyDescent="0.35">
      <c r="A200" t="s">
        <v>616</v>
      </c>
      <c r="B200" t="s">
        <v>231</v>
      </c>
      <c r="C200" t="s">
        <v>232</v>
      </c>
      <c r="D200" t="s">
        <v>246</v>
      </c>
      <c r="E200" t="s">
        <v>319</v>
      </c>
      <c r="F200" t="s">
        <v>264</v>
      </c>
      <c r="G200" t="s">
        <v>236</v>
      </c>
      <c r="H200" t="s">
        <v>237</v>
      </c>
    </row>
  </sheetData>
  <autoFilter ref="A1:H200" xr:uid="{908A0856-82B9-45CB-9E4F-5D6299B54F43}"/>
  <conditionalFormatting sqref="A2">
    <cfRule type="duplicateValues" dxfId="4" priority="3"/>
  </conditionalFormatting>
  <conditionalFormatting sqref="A2:A200">
    <cfRule type="duplicateValues" dxfId="0" priority="2"/>
    <cfRule type="duplicateValues" dxfId="1"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FE145-AADF-4C73-8A24-AD0890CBFE89}">
  <dimension ref="A1:L181"/>
  <sheetViews>
    <sheetView zoomScale="110" zoomScaleNormal="110" workbookViewId="0">
      <selection activeCell="J14" sqref="J14"/>
    </sheetView>
  </sheetViews>
  <sheetFormatPr defaultRowHeight="14.5" x14ac:dyDescent="0.35"/>
  <cols>
    <col min="1" max="1" width="13" customWidth="1"/>
    <col min="2" max="2" width="18" customWidth="1"/>
    <col min="3" max="3" width="10" customWidth="1"/>
    <col min="4" max="4" width="11" customWidth="1"/>
    <col min="5" max="6" width="12" customWidth="1"/>
    <col min="7" max="7" width="12.81640625" customWidth="1"/>
    <col min="9" max="9" width="12.1796875" customWidth="1"/>
    <col min="10" max="10" width="15.26953125" bestFit="1" customWidth="1"/>
    <col min="11" max="12" width="12.1796875" customWidth="1"/>
  </cols>
  <sheetData>
    <row r="1" spans="1:12" x14ac:dyDescent="0.35">
      <c r="A1" s="1" t="s">
        <v>620</v>
      </c>
      <c r="B1" s="1" t="s">
        <v>2</v>
      </c>
      <c r="C1" s="1" t="s">
        <v>780</v>
      </c>
      <c r="D1" s="1" t="s">
        <v>4</v>
      </c>
      <c r="E1" s="1" t="s">
        <v>782</v>
      </c>
      <c r="F1" s="1" t="s">
        <v>3409</v>
      </c>
      <c r="G1" s="1" t="s">
        <v>3473</v>
      </c>
      <c r="J1" s="26" t="s">
        <v>3590</v>
      </c>
    </row>
    <row r="2" spans="1:12" x14ac:dyDescent="0.35">
      <c r="A2" t="s">
        <v>674</v>
      </c>
      <c r="B2" t="s">
        <v>8</v>
      </c>
      <c r="C2">
        <v>2</v>
      </c>
      <c r="D2" s="3">
        <v>47.87</v>
      </c>
      <c r="E2" s="3">
        <v>81.38</v>
      </c>
      <c r="F2" s="5">
        <v>46022</v>
      </c>
      <c r="G2" t="str">
        <f t="shared" ref="G2:G33" si="0">TEXT(F2,"YYYY")</f>
        <v>2025</v>
      </c>
      <c r="I2" s="7" t="s">
        <v>620</v>
      </c>
      <c r="J2" s="7" t="s">
        <v>3474</v>
      </c>
      <c r="K2" s="7" t="s">
        <v>3475</v>
      </c>
      <c r="L2" s="7" t="s">
        <v>3476</v>
      </c>
    </row>
    <row r="3" spans="1:12" x14ac:dyDescent="0.35">
      <c r="A3" t="s">
        <v>254</v>
      </c>
      <c r="B3" t="s">
        <v>8</v>
      </c>
      <c r="C3">
        <v>20</v>
      </c>
      <c r="D3" s="3">
        <v>28.42</v>
      </c>
      <c r="E3" s="3">
        <v>511.56</v>
      </c>
      <c r="F3" s="5">
        <v>45523</v>
      </c>
      <c r="G3" t="str">
        <f t="shared" si="0"/>
        <v>2024</v>
      </c>
      <c r="I3" t="s">
        <v>674</v>
      </c>
      <c r="J3">
        <f>DSUM(A1:G181,E1,I2:I4)</f>
        <v>8221.98</v>
      </c>
      <c r="K3">
        <f>DAVERAGE(A1:G181,E1,I2:I3)</f>
        <v>249.15090909090907</v>
      </c>
      <c r="L3">
        <f>DCOUNT(A1:G181,E1,I2:I3)</f>
        <v>33</v>
      </c>
    </row>
    <row r="4" spans="1:12" x14ac:dyDescent="0.35">
      <c r="A4" t="s">
        <v>637</v>
      </c>
      <c r="B4" t="s">
        <v>48</v>
      </c>
      <c r="C4">
        <v>1</v>
      </c>
      <c r="D4" s="3">
        <v>41.9</v>
      </c>
      <c r="E4" s="3">
        <v>41.9</v>
      </c>
      <c r="F4" s="5">
        <v>45704</v>
      </c>
      <c r="G4" t="str">
        <f t="shared" si="0"/>
        <v>2025</v>
      </c>
      <c r="I4" t="s">
        <v>674</v>
      </c>
    </row>
    <row r="5" spans="1:12" x14ac:dyDescent="0.35">
      <c r="A5" t="s">
        <v>674</v>
      </c>
      <c r="B5" t="s">
        <v>20</v>
      </c>
      <c r="C5">
        <v>3</v>
      </c>
      <c r="D5" s="3">
        <v>31.83</v>
      </c>
      <c r="E5" s="3">
        <v>95.49</v>
      </c>
      <c r="F5" s="5">
        <v>45598</v>
      </c>
      <c r="G5" t="str">
        <f t="shared" si="0"/>
        <v>2024</v>
      </c>
    </row>
    <row r="6" spans="1:12" x14ac:dyDescent="0.35">
      <c r="A6" t="s">
        <v>627</v>
      </c>
      <c r="B6" t="s">
        <v>8</v>
      </c>
      <c r="C6">
        <v>3</v>
      </c>
      <c r="D6" s="3">
        <v>28.23</v>
      </c>
      <c r="E6" s="3">
        <v>71.989999999999995</v>
      </c>
      <c r="F6" s="5">
        <v>45579</v>
      </c>
      <c r="G6" t="str">
        <f t="shared" si="0"/>
        <v>2024</v>
      </c>
      <c r="J6" s="26" t="s">
        <v>3591</v>
      </c>
    </row>
    <row r="7" spans="1:12" x14ac:dyDescent="0.35">
      <c r="A7" t="s">
        <v>637</v>
      </c>
      <c r="B7" t="s">
        <v>38</v>
      </c>
      <c r="C7">
        <v>10</v>
      </c>
      <c r="D7" s="3">
        <v>48.21</v>
      </c>
      <c r="E7" s="3">
        <v>458</v>
      </c>
      <c r="F7" s="5">
        <v>45846</v>
      </c>
      <c r="G7" t="str">
        <f t="shared" si="0"/>
        <v>2025</v>
      </c>
      <c r="I7" s="8" t="s">
        <v>620</v>
      </c>
      <c r="J7" s="8" t="s">
        <v>3473</v>
      </c>
      <c r="K7" s="8" t="s">
        <v>3474</v>
      </c>
    </row>
    <row r="8" spans="1:12" x14ac:dyDescent="0.35">
      <c r="A8" t="s">
        <v>254</v>
      </c>
      <c r="B8" t="s">
        <v>48</v>
      </c>
      <c r="C8">
        <v>10</v>
      </c>
      <c r="D8" s="3">
        <v>35.21</v>
      </c>
      <c r="E8" s="3">
        <v>352.1</v>
      </c>
      <c r="F8" s="5">
        <v>45819</v>
      </c>
      <c r="G8" t="str">
        <f t="shared" si="0"/>
        <v>2025</v>
      </c>
      <c r="I8" t="s">
        <v>633</v>
      </c>
      <c r="J8">
        <v>2026</v>
      </c>
      <c r="K8">
        <f>DSUM(A1:G181,E1,I7:J8)</f>
        <v>386.6</v>
      </c>
    </row>
    <row r="9" spans="1:12" x14ac:dyDescent="0.35">
      <c r="A9" t="s">
        <v>674</v>
      </c>
      <c r="B9" t="s">
        <v>43</v>
      </c>
      <c r="C9">
        <v>3</v>
      </c>
      <c r="D9" s="3">
        <v>39.68</v>
      </c>
      <c r="E9" s="3">
        <v>101.18</v>
      </c>
      <c r="F9" s="5">
        <v>45586</v>
      </c>
      <c r="G9" t="str">
        <f t="shared" si="0"/>
        <v>2024</v>
      </c>
    </row>
    <row r="10" spans="1:12" x14ac:dyDescent="0.35">
      <c r="A10" t="s">
        <v>637</v>
      </c>
      <c r="B10" t="s">
        <v>8</v>
      </c>
      <c r="C10">
        <v>10</v>
      </c>
      <c r="D10" s="3">
        <v>40.72</v>
      </c>
      <c r="E10" s="3">
        <v>346.12</v>
      </c>
      <c r="F10" s="5">
        <v>45735</v>
      </c>
      <c r="G10" t="str">
        <f t="shared" si="0"/>
        <v>2025</v>
      </c>
    </row>
    <row r="11" spans="1:12" x14ac:dyDescent="0.35">
      <c r="A11" t="s">
        <v>696</v>
      </c>
      <c r="B11" t="s">
        <v>38</v>
      </c>
      <c r="C11">
        <v>1</v>
      </c>
      <c r="D11" s="3">
        <v>17.36</v>
      </c>
      <c r="E11" s="3">
        <v>17.36</v>
      </c>
      <c r="F11" s="5">
        <v>45712</v>
      </c>
      <c r="G11" t="str">
        <f t="shared" si="0"/>
        <v>2025</v>
      </c>
    </row>
    <row r="12" spans="1:12" x14ac:dyDescent="0.35">
      <c r="A12" t="s">
        <v>674</v>
      </c>
      <c r="B12" t="s">
        <v>8</v>
      </c>
      <c r="C12">
        <v>3</v>
      </c>
      <c r="D12" s="3">
        <v>29.71</v>
      </c>
      <c r="E12" s="3">
        <v>89.13</v>
      </c>
      <c r="F12" s="5">
        <v>45768</v>
      </c>
      <c r="G12" t="str">
        <f t="shared" si="0"/>
        <v>2025</v>
      </c>
    </row>
    <row r="13" spans="1:12" x14ac:dyDescent="0.35">
      <c r="A13" t="s">
        <v>627</v>
      </c>
      <c r="B13" t="s">
        <v>48</v>
      </c>
      <c r="C13">
        <v>1</v>
      </c>
      <c r="D13" s="3">
        <v>34.9</v>
      </c>
      <c r="E13" s="3">
        <v>31.41</v>
      </c>
      <c r="F13" s="5">
        <v>45440</v>
      </c>
      <c r="G13" t="str">
        <f t="shared" si="0"/>
        <v>2024</v>
      </c>
      <c r="J13" s="26" t="s">
        <v>3588</v>
      </c>
    </row>
    <row r="14" spans="1:12" x14ac:dyDescent="0.35">
      <c r="A14" t="s">
        <v>674</v>
      </c>
      <c r="B14" t="s">
        <v>8</v>
      </c>
      <c r="C14">
        <v>1</v>
      </c>
      <c r="D14" s="3">
        <v>28.42</v>
      </c>
      <c r="E14" s="3">
        <v>28.42</v>
      </c>
      <c r="F14" s="5">
        <v>45486</v>
      </c>
      <c r="G14" t="str">
        <f t="shared" si="0"/>
        <v>2024</v>
      </c>
      <c r="J14" s="26" t="s">
        <v>3589</v>
      </c>
    </row>
    <row r="15" spans="1:12" x14ac:dyDescent="0.35">
      <c r="A15" t="s">
        <v>681</v>
      </c>
      <c r="B15" t="s">
        <v>48</v>
      </c>
      <c r="C15">
        <v>2</v>
      </c>
      <c r="D15" s="3">
        <v>67.239999999999995</v>
      </c>
      <c r="E15" s="3">
        <v>134.47999999999999</v>
      </c>
      <c r="F15" s="5">
        <v>45846</v>
      </c>
      <c r="G15" t="str">
        <f t="shared" si="0"/>
        <v>2025</v>
      </c>
    </row>
    <row r="16" spans="1:12" x14ac:dyDescent="0.35">
      <c r="A16" t="s">
        <v>627</v>
      </c>
      <c r="B16" t="s">
        <v>38</v>
      </c>
      <c r="C16">
        <v>3</v>
      </c>
      <c r="D16" s="3">
        <v>60.55</v>
      </c>
      <c r="E16" s="3">
        <v>181.65</v>
      </c>
      <c r="F16" s="5">
        <v>46035</v>
      </c>
      <c r="G16" t="str">
        <f t="shared" si="0"/>
        <v>2026</v>
      </c>
    </row>
    <row r="17" spans="1:7" x14ac:dyDescent="0.35">
      <c r="A17" t="s">
        <v>627</v>
      </c>
      <c r="B17" t="s">
        <v>8</v>
      </c>
      <c r="C17">
        <v>5</v>
      </c>
      <c r="D17" s="3">
        <v>10.67</v>
      </c>
      <c r="E17" s="3">
        <v>50.68</v>
      </c>
      <c r="F17" s="5">
        <v>45381</v>
      </c>
      <c r="G17" t="str">
        <f t="shared" si="0"/>
        <v>2024</v>
      </c>
    </row>
    <row r="18" spans="1:7" x14ac:dyDescent="0.35">
      <c r="A18" t="s">
        <v>633</v>
      </c>
      <c r="B18" t="s">
        <v>20</v>
      </c>
      <c r="C18">
        <v>10</v>
      </c>
      <c r="D18" s="3">
        <v>25.7</v>
      </c>
      <c r="E18" s="3">
        <v>257</v>
      </c>
      <c r="F18" s="5">
        <v>45855</v>
      </c>
      <c r="G18" t="str">
        <f t="shared" si="0"/>
        <v>2025</v>
      </c>
    </row>
    <row r="19" spans="1:7" x14ac:dyDescent="0.35">
      <c r="A19" t="s">
        <v>674</v>
      </c>
      <c r="B19" t="s">
        <v>14</v>
      </c>
      <c r="C19">
        <v>2</v>
      </c>
      <c r="D19" s="3">
        <v>27.59</v>
      </c>
      <c r="E19" s="3">
        <v>52.42</v>
      </c>
      <c r="F19" s="5">
        <v>45777</v>
      </c>
      <c r="G19" t="str">
        <f t="shared" si="0"/>
        <v>2025</v>
      </c>
    </row>
    <row r="20" spans="1:7" x14ac:dyDescent="0.35">
      <c r="A20" t="s">
        <v>674</v>
      </c>
      <c r="B20" t="s">
        <v>29</v>
      </c>
      <c r="C20">
        <v>12</v>
      </c>
      <c r="D20" s="3">
        <v>25.64</v>
      </c>
      <c r="E20" s="3">
        <v>307.68</v>
      </c>
      <c r="F20" s="5">
        <v>45401</v>
      </c>
      <c r="G20" t="str">
        <f t="shared" si="0"/>
        <v>2024</v>
      </c>
    </row>
    <row r="21" spans="1:7" x14ac:dyDescent="0.35">
      <c r="A21" t="s">
        <v>627</v>
      </c>
      <c r="B21" t="s">
        <v>43</v>
      </c>
      <c r="C21">
        <v>10</v>
      </c>
      <c r="D21" s="3">
        <v>31.27</v>
      </c>
      <c r="E21" s="3">
        <v>312.7</v>
      </c>
      <c r="F21" s="5">
        <v>45677</v>
      </c>
      <c r="G21" t="str">
        <f t="shared" si="0"/>
        <v>2025</v>
      </c>
    </row>
    <row r="22" spans="1:7" x14ac:dyDescent="0.35">
      <c r="A22" t="s">
        <v>637</v>
      </c>
      <c r="B22" t="s">
        <v>20</v>
      </c>
      <c r="C22">
        <v>2</v>
      </c>
      <c r="D22" s="3">
        <v>12.83</v>
      </c>
      <c r="E22" s="3">
        <v>23.09</v>
      </c>
      <c r="F22" s="5">
        <v>45761</v>
      </c>
      <c r="G22" t="str">
        <f t="shared" si="0"/>
        <v>2025</v>
      </c>
    </row>
    <row r="23" spans="1:7" x14ac:dyDescent="0.35">
      <c r="A23" t="s">
        <v>674</v>
      </c>
      <c r="B23" t="s">
        <v>43</v>
      </c>
      <c r="C23">
        <v>12</v>
      </c>
      <c r="D23" s="3">
        <v>86.54</v>
      </c>
      <c r="E23" s="3">
        <v>986.56</v>
      </c>
      <c r="F23" s="5">
        <v>45848</v>
      </c>
      <c r="G23" t="str">
        <f t="shared" si="0"/>
        <v>2025</v>
      </c>
    </row>
    <row r="24" spans="1:7" x14ac:dyDescent="0.35">
      <c r="A24" t="s">
        <v>681</v>
      </c>
      <c r="B24" t="s">
        <v>20</v>
      </c>
      <c r="C24">
        <v>10</v>
      </c>
      <c r="D24" s="3">
        <v>29.18</v>
      </c>
      <c r="E24" s="3">
        <v>262.62</v>
      </c>
      <c r="F24" s="5">
        <v>45591</v>
      </c>
      <c r="G24" t="str">
        <f t="shared" si="0"/>
        <v>2024</v>
      </c>
    </row>
    <row r="25" spans="1:7" x14ac:dyDescent="0.35">
      <c r="A25" t="s">
        <v>681</v>
      </c>
      <c r="B25" t="s">
        <v>48</v>
      </c>
      <c r="C25">
        <v>5</v>
      </c>
      <c r="D25" s="3">
        <v>28.17</v>
      </c>
      <c r="E25" s="3">
        <v>140.85</v>
      </c>
      <c r="F25" s="5">
        <v>45590</v>
      </c>
      <c r="G25" t="str">
        <f t="shared" si="0"/>
        <v>2024</v>
      </c>
    </row>
    <row r="26" spans="1:7" x14ac:dyDescent="0.35">
      <c r="A26" t="s">
        <v>627</v>
      </c>
      <c r="B26" t="s">
        <v>43</v>
      </c>
      <c r="C26">
        <v>1</v>
      </c>
      <c r="D26" s="3">
        <v>15.13</v>
      </c>
      <c r="E26" s="3">
        <v>14.37</v>
      </c>
      <c r="F26" s="5">
        <v>45592</v>
      </c>
      <c r="G26" t="str">
        <f t="shared" si="0"/>
        <v>2024</v>
      </c>
    </row>
    <row r="27" spans="1:7" x14ac:dyDescent="0.35">
      <c r="A27" t="s">
        <v>637</v>
      </c>
      <c r="B27" t="s">
        <v>29</v>
      </c>
      <c r="C27">
        <v>10</v>
      </c>
      <c r="D27" s="3">
        <v>15.2</v>
      </c>
      <c r="E27" s="3">
        <v>152</v>
      </c>
      <c r="F27" s="5">
        <v>45328</v>
      </c>
      <c r="G27" t="str">
        <f t="shared" si="0"/>
        <v>2024</v>
      </c>
    </row>
    <row r="28" spans="1:7" x14ac:dyDescent="0.35">
      <c r="A28" t="s">
        <v>254</v>
      </c>
      <c r="B28" t="s">
        <v>20</v>
      </c>
      <c r="C28">
        <v>2</v>
      </c>
      <c r="D28" s="3">
        <v>25.7</v>
      </c>
      <c r="E28" s="3">
        <v>51.4</v>
      </c>
      <c r="F28" s="5">
        <v>45497</v>
      </c>
      <c r="G28" t="str">
        <f t="shared" si="0"/>
        <v>2024</v>
      </c>
    </row>
    <row r="29" spans="1:7" x14ac:dyDescent="0.35">
      <c r="A29" t="s">
        <v>696</v>
      </c>
      <c r="B29" t="s">
        <v>14</v>
      </c>
      <c r="C29">
        <v>1</v>
      </c>
      <c r="D29" s="3">
        <v>28.78</v>
      </c>
      <c r="E29" s="3">
        <v>25.9</v>
      </c>
      <c r="F29" s="5">
        <v>45817</v>
      </c>
      <c r="G29" t="str">
        <f t="shared" si="0"/>
        <v>2025</v>
      </c>
    </row>
    <row r="30" spans="1:7" x14ac:dyDescent="0.35">
      <c r="A30" t="s">
        <v>627</v>
      </c>
      <c r="B30" t="s">
        <v>29</v>
      </c>
      <c r="C30">
        <v>1</v>
      </c>
      <c r="D30" s="3">
        <v>44.64</v>
      </c>
      <c r="E30" s="3">
        <v>42.41</v>
      </c>
      <c r="F30" s="5">
        <v>45432</v>
      </c>
      <c r="G30" t="str">
        <f t="shared" si="0"/>
        <v>2024</v>
      </c>
    </row>
    <row r="31" spans="1:7" x14ac:dyDescent="0.35">
      <c r="A31" t="s">
        <v>627</v>
      </c>
      <c r="B31" t="s">
        <v>14</v>
      </c>
      <c r="C31">
        <v>20</v>
      </c>
      <c r="D31" s="3">
        <v>31.83</v>
      </c>
      <c r="E31" s="3">
        <v>541.11</v>
      </c>
      <c r="F31" s="5">
        <v>45599</v>
      </c>
      <c r="G31" t="str">
        <f t="shared" si="0"/>
        <v>2024</v>
      </c>
    </row>
    <row r="32" spans="1:7" x14ac:dyDescent="0.35">
      <c r="A32" t="s">
        <v>696</v>
      </c>
      <c r="B32" t="s">
        <v>8</v>
      </c>
      <c r="C32">
        <v>3</v>
      </c>
      <c r="D32" s="3">
        <v>43.92</v>
      </c>
      <c r="E32" s="3">
        <v>131.76</v>
      </c>
      <c r="F32" s="5">
        <v>45816</v>
      </c>
      <c r="G32" t="str">
        <f t="shared" si="0"/>
        <v>2025</v>
      </c>
    </row>
    <row r="33" spans="1:7" x14ac:dyDescent="0.35">
      <c r="A33" t="s">
        <v>254</v>
      </c>
      <c r="B33" t="s">
        <v>48</v>
      </c>
      <c r="C33">
        <v>2</v>
      </c>
      <c r="D33" s="3">
        <v>18.7</v>
      </c>
      <c r="E33" s="3">
        <v>35.53</v>
      </c>
      <c r="F33" s="5">
        <v>45608</v>
      </c>
      <c r="G33" t="str">
        <f t="shared" si="0"/>
        <v>2024</v>
      </c>
    </row>
    <row r="34" spans="1:7" x14ac:dyDescent="0.35">
      <c r="A34" t="s">
        <v>627</v>
      </c>
      <c r="B34" t="s">
        <v>8</v>
      </c>
      <c r="C34">
        <v>1</v>
      </c>
      <c r="D34" s="3">
        <v>10.67</v>
      </c>
      <c r="E34" s="3">
        <v>9.07</v>
      </c>
      <c r="F34" s="5">
        <v>45505</v>
      </c>
      <c r="G34" t="str">
        <f t="shared" ref="G34:G65" si="1">TEXT(F34,"YYYY")</f>
        <v>2024</v>
      </c>
    </row>
    <row r="35" spans="1:7" x14ac:dyDescent="0.35">
      <c r="A35" t="s">
        <v>674</v>
      </c>
      <c r="B35" t="s">
        <v>29</v>
      </c>
      <c r="C35">
        <v>10</v>
      </c>
      <c r="D35" s="3">
        <v>30.01</v>
      </c>
      <c r="E35" s="3">
        <v>300.10000000000002</v>
      </c>
      <c r="F35" s="5">
        <v>46003</v>
      </c>
      <c r="G35" t="str">
        <f t="shared" si="1"/>
        <v>2025</v>
      </c>
    </row>
    <row r="36" spans="1:7" x14ac:dyDescent="0.35">
      <c r="A36" t="s">
        <v>674</v>
      </c>
      <c r="B36" t="s">
        <v>43</v>
      </c>
      <c r="C36">
        <v>1</v>
      </c>
      <c r="D36" s="3">
        <v>30.44</v>
      </c>
      <c r="E36" s="3">
        <v>25.87</v>
      </c>
      <c r="F36" s="5">
        <v>45752</v>
      </c>
      <c r="G36" t="str">
        <f t="shared" si="1"/>
        <v>2025</v>
      </c>
    </row>
    <row r="37" spans="1:7" x14ac:dyDescent="0.35">
      <c r="A37" t="s">
        <v>681</v>
      </c>
      <c r="B37" t="s">
        <v>8</v>
      </c>
      <c r="C37">
        <v>5</v>
      </c>
      <c r="D37" s="3">
        <v>28.23</v>
      </c>
      <c r="E37" s="3">
        <v>141.15</v>
      </c>
      <c r="F37" s="5">
        <v>45850</v>
      </c>
      <c r="G37" t="str">
        <f t="shared" si="1"/>
        <v>2025</v>
      </c>
    </row>
    <row r="38" spans="1:7" x14ac:dyDescent="0.35">
      <c r="A38" t="s">
        <v>627</v>
      </c>
      <c r="B38" t="s">
        <v>14</v>
      </c>
      <c r="C38">
        <v>3</v>
      </c>
      <c r="D38" s="3">
        <v>27.33</v>
      </c>
      <c r="E38" s="3">
        <v>81.99</v>
      </c>
      <c r="F38" s="5">
        <v>45966</v>
      </c>
      <c r="G38" t="str">
        <f t="shared" si="1"/>
        <v>2025</v>
      </c>
    </row>
    <row r="39" spans="1:7" x14ac:dyDescent="0.35">
      <c r="A39" t="s">
        <v>637</v>
      </c>
      <c r="B39" t="s">
        <v>48</v>
      </c>
      <c r="C39">
        <v>5</v>
      </c>
      <c r="D39" s="3">
        <v>34.9</v>
      </c>
      <c r="E39" s="3">
        <v>174.5</v>
      </c>
      <c r="F39" s="5">
        <v>45313</v>
      </c>
      <c r="G39" t="str">
        <f t="shared" si="1"/>
        <v>2024</v>
      </c>
    </row>
    <row r="40" spans="1:7" x14ac:dyDescent="0.35">
      <c r="A40" t="s">
        <v>674</v>
      </c>
      <c r="B40" t="s">
        <v>20</v>
      </c>
      <c r="C40">
        <v>3</v>
      </c>
      <c r="D40" s="3">
        <v>29.18</v>
      </c>
      <c r="E40" s="3">
        <v>78.790000000000006</v>
      </c>
      <c r="F40" s="5">
        <v>46047</v>
      </c>
      <c r="G40" t="str">
        <f t="shared" si="1"/>
        <v>2026</v>
      </c>
    </row>
    <row r="41" spans="1:7" x14ac:dyDescent="0.35">
      <c r="A41" t="s">
        <v>633</v>
      </c>
      <c r="B41" t="s">
        <v>43</v>
      </c>
      <c r="C41">
        <v>3</v>
      </c>
      <c r="D41" s="3">
        <v>86.54</v>
      </c>
      <c r="E41" s="3">
        <v>233.66</v>
      </c>
      <c r="F41" s="5">
        <v>45500</v>
      </c>
      <c r="G41" t="str">
        <f t="shared" si="1"/>
        <v>2024</v>
      </c>
    </row>
    <row r="42" spans="1:7" x14ac:dyDescent="0.35">
      <c r="A42" t="s">
        <v>627</v>
      </c>
      <c r="B42" t="s">
        <v>43</v>
      </c>
      <c r="C42">
        <v>5</v>
      </c>
      <c r="D42" s="3">
        <v>79.650000000000006</v>
      </c>
      <c r="E42" s="3">
        <v>398.25</v>
      </c>
      <c r="F42" s="5">
        <v>45539</v>
      </c>
      <c r="G42" t="str">
        <f t="shared" si="1"/>
        <v>2024</v>
      </c>
    </row>
    <row r="43" spans="1:7" x14ac:dyDescent="0.35">
      <c r="A43" t="s">
        <v>674</v>
      </c>
      <c r="B43" t="s">
        <v>48</v>
      </c>
      <c r="C43">
        <v>20</v>
      </c>
      <c r="D43" s="3">
        <v>18.7</v>
      </c>
      <c r="E43" s="3">
        <v>374</v>
      </c>
      <c r="F43" s="5">
        <v>45784</v>
      </c>
      <c r="G43" t="str">
        <f t="shared" si="1"/>
        <v>2025</v>
      </c>
    </row>
    <row r="44" spans="1:7" x14ac:dyDescent="0.35">
      <c r="A44" t="s">
        <v>681</v>
      </c>
      <c r="B44" t="s">
        <v>20</v>
      </c>
      <c r="C44">
        <v>5</v>
      </c>
      <c r="D44" s="3">
        <v>28.07</v>
      </c>
      <c r="E44" s="3">
        <v>140.35</v>
      </c>
      <c r="F44" s="5">
        <v>45564</v>
      </c>
      <c r="G44" t="str">
        <f t="shared" si="1"/>
        <v>2024</v>
      </c>
    </row>
    <row r="45" spans="1:7" x14ac:dyDescent="0.35">
      <c r="A45" t="s">
        <v>627</v>
      </c>
      <c r="B45" t="s">
        <v>43</v>
      </c>
      <c r="C45">
        <v>3</v>
      </c>
      <c r="D45" s="3">
        <v>22.51</v>
      </c>
      <c r="E45" s="3">
        <v>67.53</v>
      </c>
      <c r="F45" s="5">
        <v>45877</v>
      </c>
      <c r="G45" t="str">
        <f t="shared" si="1"/>
        <v>2025</v>
      </c>
    </row>
    <row r="46" spans="1:7" x14ac:dyDescent="0.35">
      <c r="A46" t="s">
        <v>254</v>
      </c>
      <c r="B46" t="s">
        <v>8</v>
      </c>
      <c r="C46">
        <v>3</v>
      </c>
      <c r="D46" s="3">
        <v>28.77</v>
      </c>
      <c r="E46" s="3">
        <v>81.99</v>
      </c>
      <c r="F46" s="5">
        <v>45971</v>
      </c>
      <c r="G46" t="str">
        <f t="shared" si="1"/>
        <v>2025</v>
      </c>
    </row>
    <row r="47" spans="1:7" x14ac:dyDescent="0.35">
      <c r="A47" t="s">
        <v>637</v>
      </c>
      <c r="B47" t="s">
        <v>29</v>
      </c>
      <c r="C47">
        <v>5</v>
      </c>
      <c r="D47" s="3">
        <v>15.91</v>
      </c>
      <c r="E47" s="3">
        <v>75.569999999999993</v>
      </c>
      <c r="F47" s="5">
        <v>45350</v>
      </c>
      <c r="G47" t="str">
        <f t="shared" si="1"/>
        <v>2024</v>
      </c>
    </row>
    <row r="48" spans="1:7" x14ac:dyDescent="0.35">
      <c r="A48" t="s">
        <v>633</v>
      </c>
      <c r="B48" t="s">
        <v>38</v>
      </c>
      <c r="C48">
        <v>2</v>
      </c>
      <c r="D48" s="3">
        <v>58.73</v>
      </c>
      <c r="E48" s="3">
        <v>117.46</v>
      </c>
      <c r="F48" s="5">
        <v>45353</v>
      </c>
      <c r="G48" t="str">
        <f t="shared" si="1"/>
        <v>2024</v>
      </c>
    </row>
    <row r="49" spans="1:7" x14ac:dyDescent="0.35">
      <c r="A49" t="s">
        <v>637</v>
      </c>
      <c r="B49" t="s">
        <v>48</v>
      </c>
      <c r="C49">
        <v>5</v>
      </c>
      <c r="D49" s="3">
        <v>39.15</v>
      </c>
      <c r="E49" s="3">
        <v>166.39</v>
      </c>
      <c r="F49" s="5">
        <v>45378</v>
      </c>
      <c r="G49" t="str">
        <f t="shared" si="1"/>
        <v>2024</v>
      </c>
    </row>
    <row r="50" spans="1:7" x14ac:dyDescent="0.35">
      <c r="A50" t="s">
        <v>254</v>
      </c>
      <c r="B50" t="s">
        <v>8</v>
      </c>
      <c r="C50">
        <v>1</v>
      </c>
      <c r="D50" s="3">
        <v>41.91</v>
      </c>
      <c r="E50" s="3">
        <v>41.91</v>
      </c>
      <c r="F50" s="5">
        <v>45414</v>
      </c>
      <c r="G50" t="str">
        <f t="shared" si="1"/>
        <v>2024</v>
      </c>
    </row>
    <row r="51" spans="1:7" x14ac:dyDescent="0.35">
      <c r="A51" t="s">
        <v>681</v>
      </c>
      <c r="B51" t="s">
        <v>48</v>
      </c>
      <c r="C51">
        <v>1</v>
      </c>
      <c r="D51" s="3">
        <v>38.909999999999997</v>
      </c>
      <c r="E51" s="3">
        <v>36.96</v>
      </c>
      <c r="F51" s="5">
        <v>45708</v>
      </c>
      <c r="G51" t="str">
        <f t="shared" si="1"/>
        <v>2025</v>
      </c>
    </row>
    <row r="52" spans="1:7" x14ac:dyDescent="0.35">
      <c r="A52" t="s">
        <v>633</v>
      </c>
      <c r="B52" t="s">
        <v>14</v>
      </c>
      <c r="C52">
        <v>5</v>
      </c>
      <c r="D52" s="3">
        <v>37.74</v>
      </c>
      <c r="E52" s="3">
        <v>160.4</v>
      </c>
      <c r="F52" s="5">
        <v>46040</v>
      </c>
      <c r="G52" t="str">
        <f t="shared" si="1"/>
        <v>2026</v>
      </c>
    </row>
    <row r="53" spans="1:7" x14ac:dyDescent="0.35">
      <c r="A53" t="s">
        <v>681</v>
      </c>
      <c r="B53" t="s">
        <v>8</v>
      </c>
      <c r="C53">
        <v>12</v>
      </c>
      <c r="D53" s="3">
        <v>38.82</v>
      </c>
      <c r="E53" s="3">
        <v>465.84</v>
      </c>
      <c r="F53" s="5">
        <v>45665</v>
      </c>
      <c r="G53" t="str">
        <f t="shared" si="1"/>
        <v>2025</v>
      </c>
    </row>
    <row r="54" spans="1:7" x14ac:dyDescent="0.35">
      <c r="A54" t="s">
        <v>254</v>
      </c>
      <c r="B54" t="s">
        <v>48</v>
      </c>
      <c r="C54">
        <v>5</v>
      </c>
      <c r="D54" s="3">
        <v>67.239999999999995</v>
      </c>
      <c r="E54" s="3">
        <v>336.2</v>
      </c>
      <c r="F54" s="5">
        <v>45406</v>
      </c>
      <c r="G54" t="str">
        <f t="shared" si="1"/>
        <v>2024</v>
      </c>
    </row>
    <row r="55" spans="1:7" x14ac:dyDescent="0.35">
      <c r="A55" t="s">
        <v>681</v>
      </c>
      <c r="B55" t="s">
        <v>14</v>
      </c>
      <c r="C55">
        <v>10</v>
      </c>
      <c r="D55" s="3">
        <v>50.79</v>
      </c>
      <c r="E55" s="3">
        <v>431.71</v>
      </c>
      <c r="F55" s="5">
        <v>45583</v>
      </c>
      <c r="G55" t="str">
        <f t="shared" si="1"/>
        <v>2024</v>
      </c>
    </row>
    <row r="56" spans="1:7" x14ac:dyDescent="0.35">
      <c r="A56" t="s">
        <v>254</v>
      </c>
      <c r="B56" t="s">
        <v>29</v>
      </c>
      <c r="C56">
        <v>1</v>
      </c>
      <c r="D56" s="3">
        <v>15.91</v>
      </c>
      <c r="E56" s="3">
        <v>13.52</v>
      </c>
      <c r="F56" s="5">
        <v>45661</v>
      </c>
      <c r="G56" t="str">
        <f t="shared" si="1"/>
        <v>2025</v>
      </c>
    </row>
    <row r="57" spans="1:7" x14ac:dyDescent="0.35">
      <c r="A57" t="s">
        <v>637</v>
      </c>
      <c r="B57" t="s">
        <v>20</v>
      </c>
      <c r="C57">
        <v>5</v>
      </c>
      <c r="D57" s="3">
        <v>74.66</v>
      </c>
      <c r="E57" s="3">
        <v>373.3</v>
      </c>
      <c r="F57" s="5">
        <v>45991</v>
      </c>
      <c r="G57" t="str">
        <f t="shared" si="1"/>
        <v>2025</v>
      </c>
    </row>
    <row r="58" spans="1:7" x14ac:dyDescent="0.35">
      <c r="A58" t="s">
        <v>674</v>
      </c>
      <c r="B58" t="s">
        <v>20</v>
      </c>
      <c r="C58">
        <v>10</v>
      </c>
      <c r="D58" s="3">
        <v>53.22</v>
      </c>
      <c r="E58" s="3">
        <v>505.59</v>
      </c>
      <c r="F58" s="5">
        <v>45931</v>
      </c>
      <c r="G58" t="str">
        <f t="shared" si="1"/>
        <v>2025</v>
      </c>
    </row>
    <row r="59" spans="1:7" x14ac:dyDescent="0.35">
      <c r="A59" t="s">
        <v>674</v>
      </c>
      <c r="B59" t="s">
        <v>8</v>
      </c>
      <c r="C59">
        <v>3</v>
      </c>
      <c r="D59" s="3">
        <v>28.77</v>
      </c>
      <c r="E59" s="3">
        <v>77.680000000000007</v>
      </c>
      <c r="F59" s="5">
        <v>45573</v>
      </c>
      <c r="G59" t="str">
        <f t="shared" si="1"/>
        <v>2024</v>
      </c>
    </row>
    <row r="60" spans="1:7" x14ac:dyDescent="0.35">
      <c r="A60" t="s">
        <v>627</v>
      </c>
      <c r="B60" t="s">
        <v>14</v>
      </c>
      <c r="C60">
        <v>2</v>
      </c>
      <c r="D60" s="3">
        <v>28.78</v>
      </c>
      <c r="E60" s="3">
        <v>51.8</v>
      </c>
      <c r="F60" s="5">
        <v>45547</v>
      </c>
      <c r="G60" t="str">
        <f t="shared" si="1"/>
        <v>2024</v>
      </c>
    </row>
    <row r="61" spans="1:7" x14ac:dyDescent="0.35">
      <c r="A61" t="s">
        <v>674</v>
      </c>
      <c r="B61" t="s">
        <v>14</v>
      </c>
      <c r="C61">
        <v>3</v>
      </c>
      <c r="D61" s="3">
        <v>28.78</v>
      </c>
      <c r="E61" s="3">
        <v>73.39</v>
      </c>
      <c r="F61" s="5">
        <v>45489</v>
      </c>
      <c r="G61" t="str">
        <f t="shared" si="1"/>
        <v>2024</v>
      </c>
    </row>
    <row r="62" spans="1:7" x14ac:dyDescent="0.35">
      <c r="A62" t="s">
        <v>254</v>
      </c>
      <c r="B62" t="s">
        <v>79</v>
      </c>
      <c r="C62">
        <v>2</v>
      </c>
      <c r="D62" s="3">
        <v>19.66</v>
      </c>
      <c r="E62" s="3">
        <v>35.39</v>
      </c>
      <c r="F62" s="5">
        <v>45481</v>
      </c>
      <c r="G62" t="str">
        <f t="shared" si="1"/>
        <v>2024</v>
      </c>
    </row>
    <row r="63" spans="1:7" x14ac:dyDescent="0.35">
      <c r="A63" t="s">
        <v>633</v>
      </c>
      <c r="B63" t="s">
        <v>29</v>
      </c>
      <c r="C63">
        <v>12</v>
      </c>
      <c r="D63" s="3">
        <v>25.64</v>
      </c>
      <c r="E63" s="3">
        <v>307.68</v>
      </c>
      <c r="F63" s="5">
        <v>45925</v>
      </c>
      <c r="G63" t="str">
        <f t="shared" si="1"/>
        <v>2025</v>
      </c>
    </row>
    <row r="64" spans="1:7" x14ac:dyDescent="0.35">
      <c r="A64" t="s">
        <v>627</v>
      </c>
      <c r="B64" t="s">
        <v>79</v>
      </c>
      <c r="C64">
        <v>3</v>
      </c>
      <c r="D64" s="3">
        <v>17.14</v>
      </c>
      <c r="E64" s="3">
        <v>43.71</v>
      </c>
      <c r="F64" s="5">
        <v>45702</v>
      </c>
      <c r="G64" t="str">
        <f t="shared" si="1"/>
        <v>2025</v>
      </c>
    </row>
    <row r="65" spans="1:7" x14ac:dyDescent="0.35">
      <c r="A65" t="s">
        <v>627</v>
      </c>
      <c r="B65" t="s">
        <v>38</v>
      </c>
      <c r="C65">
        <v>2</v>
      </c>
      <c r="D65" s="3">
        <v>60.55</v>
      </c>
      <c r="E65" s="3">
        <v>115.04</v>
      </c>
      <c r="F65" s="5">
        <v>46009</v>
      </c>
      <c r="G65" t="str">
        <f t="shared" si="1"/>
        <v>2025</v>
      </c>
    </row>
    <row r="66" spans="1:7" x14ac:dyDescent="0.35">
      <c r="A66" t="s">
        <v>696</v>
      </c>
      <c r="B66" t="s">
        <v>38</v>
      </c>
      <c r="C66">
        <v>5</v>
      </c>
      <c r="D66" s="3">
        <v>25.83</v>
      </c>
      <c r="E66" s="3">
        <v>129.15</v>
      </c>
      <c r="F66" s="5">
        <v>45615</v>
      </c>
      <c r="G66" t="str">
        <f t="shared" ref="G66:G97" si="2">TEXT(F66,"YYYY")</f>
        <v>2024</v>
      </c>
    </row>
    <row r="67" spans="1:7" x14ac:dyDescent="0.35">
      <c r="A67" t="s">
        <v>633</v>
      </c>
      <c r="B67" t="s">
        <v>38</v>
      </c>
      <c r="C67">
        <v>3</v>
      </c>
      <c r="D67" s="3">
        <v>48.21</v>
      </c>
      <c r="E67" s="3">
        <v>122.94</v>
      </c>
      <c r="F67" s="5">
        <v>45780</v>
      </c>
      <c r="G67" t="str">
        <f t="shared" si="2"/>
        <v>2025</v>
      </c>
    </row>
    <row r="68" spans="1:7" x14ac:dyDescent="0.35">
      <c r="A68" t="s">
        <v>637</v>
      </c>
      <c r="B68" t="s">
        <v>29</v>
      </c>
      <c r="C68">
        <v>3</v>
      </c>
      <c r="D68" s="3">
        <v>36.119999999999997</v>
      </c>
      <c r="E68" s="3">
        <v>108.36</v>
      </c>
      <c r="F68" s="5">
        <v>45435</v>
      </c>
      <c r="G68" t="str">
        <f t="shared" si="2"/>
        <v>2024</v>
      </c>
    </row>
    <row r="69" spans="1:7" x14ac:dyDescent="0.35">
      <c r="A69" t="s">
        <v>627</v>
      </c>
      <c r="B69" t="s">
        <v>43</v>
      </c>
      <c r="C69">
        <v>20</v>
      </c>
      <c r="D69" s="3">
        <v>40.54</v>
      </c>
      <c r="E69" s="3">
        <v>689.18</v>
      </c>
      <c r="F69" s="5">
        <v>45420</v>
      </c>
      <c r="G69" t="str">
        <f t="shared" si="2"/>
        <v>2024</v>
      </c>
    </row>
    <row r="70" spans="1:7" x14ac:dyDescent="0.35">
      <c r="A70" t="s">
        <v>696</v>
      </c>
      <c r="B70" t="s">
        <v>43</v>
      </c>
      <c r="C70">
        <v>2</v>
      </c>
      <c r="D70" s="3">
        <v>15.13</v>
      </c>
      <c r="E70" s="3">
        <v>28.75</v>
      </c>
      <c r="F70" s="5">
        <v>45731</v>
      </c>
      <c r="G70" t="str">
        <f t="shared" si="2"/>
        <v>2025</v>
      </c>
    </row>
    <row r="71" spans="1:7" x14ac:dyDescent="0.35">
      <c r="A71" t="s">
        <v>674</v>
      </c>
      <c r="B71" t="s">
        <v>20</v>
      </c>
      <c r="C71">
        <v>5</v>
      </c>
      <c r="D71" s="3">
        <v>74.66</v>
      </c>
      <c r="E71" s="3">
        <v>373.3</v>
      </c>
      <c r="F71" s="5">
        <v>45508</v>
      </c>
      <c r="G71" t="str">
        <f t="shared" si="2"/>
        <v>2024</v>
      </c>
    </row>
    <row r="72" spans="1:7" x14ac:dyDescent="0.35">
      <c r="A72" t="s">
        <v>637</v>
      </c>
      <c r="B72" t="s">
        <v>48</v>
      </c>
      <c r="C72">
        <v>2</v>
      </c>
      <c r="D72" s="3">
        <v>72.510000000000005</v>
      </c>
      <c r="E72" s="3">
        <v>130.52000000000001</v>
      </c>
      <c r="F72" s="5">
        <v>45295</v>
      </c>
      <c r="G72" t="str">
        <f t="shared" si="2"/>
        <v>2024</v>
      </c>
    </row>
    <row r="73" spans="1:7" x14ac:dyDescent="0.35">
      <c r="A73" t="s">
        <v>633</v>
      </c>
      <c r="B73" t="s">
        <v>38</v>
      </c>
      <c r="C73">
        <v>1</v>
      </c>
      <c r="D73" s="3">
        <v>16.93</v>
      </c>
      <c r="E73" s="3">
        <v>16.079999999999998</v>
      </c>
      <c r="F73" s="5">
        <v>45777</v>
      </c>
      <c r="G73" t="str">
        <f t="shared" si="2"/>
        <v>2025</v>
      </c>
    </row>
    <row r="74" spans="1:7" x14ac:dyDescent="0.35">
      <c r="A74" t="s">
        <v>637</v>
      </c>
      <c r="B74" t="s">
        <v>29</v>
      </c>
      <c r="C74">
        <v>12</v>
      </c>
      <c r="D74" s="3">
        <v>82.88</v>
      </c>
      <c r="E74" s="3">
        <v>994.56</v>
      </c>
      <c r="F74" s="5">
        <v>45981</v>
      </c>
      <c r="G74" t="str">
        <f t="shared" si="2"/>
        <v>2025</v>
      </c>
    </row>
    <row r="75" spans="1:7" x14ac:dyDescent="0.35">
      <c r="A75" t="s">
        <v>254</v>
      </c>
      <c r="B75" t="s">
        <v>48</v>
      </c>
      <c r="C75">
        <v>1</v>
      </c>
      <c r="D75" s="3">
        <v>36.450000000000003</v>
      </c>
      <c r="E75" s="3">
        <v>30.98</v>
      </c>
      <c r="F75" s="5">
        <v>45460</v>
      </c>
      <c r="G75" t="str">
        <f t="shared" si="2"/>
        <v>2024</v>
      </c>
    </row>
    <row r="76" spans="1:7" x14ac:dyDescent="0.35">
      <c r="A76" t="s">
        <v>633</v>
      </c>
      <c r="B76" t="s">
        <v>14</v>
      </c>
      <c r="C76">
        <v>2</v>
      </c>
      <c r="D76" s="3">
        <v>25.58</v>
      </c>
      <c r="E76" s="3">
        <v>51.16</v>
      </c>
      <c r="F76" s="5">
        <v>45802</v>
      </c>
      <c r="G76" t="str">
        <f t="shared" si="2"/>
        <v>2025</v>
      </c>
    </row>
    <row r="77" spans="1:7" x14ac:dyDescent="0.35">
      <c r="A77" t="s">
        <v>674</v>
      </c>
      <c r="B77" t="s">
        <v>48</v>
      </c>
      <c r="C77">
        <v>2</v>
      </c>
      <c r="D77" s="3">
        <v>41.9</v>
      </c>
      <c r="E77" s="3">
        <v>83.8</v>
      </c>
      <c r="F77" s="5">
        <v>45335</v>
      </c>
      <c r="G77" t="str">
        <f t="shared" si="2"/>
        <v>2024</v>
      </c>
    </row>
    <row r="78" spans="1:7" x14ac:dyDescent="0.35">
      <c r="A78" t="s">
        <v>254</v>
      </c>
      <c r="B78" t="s">
        <v>20</v>
      </c>
      <c r="C78">
        <v>2</v>
      </c>
      <c r="D78" s="3">
        <v>15.23</v>
      </c>
      <c r="E78" s="3">
        <v>25.89</v>
      </c>
      <c r="F78" s="5">
        <v>45959</v>
      </c>
      <c r="G78" t="str">
        <f t="shared" si="2"/>
        <v>2025</v>
      </c>
    </row>
    <row r="79" spans="1:7" x14ac:dyDescent="0.35">
      <c r="A79" t="s">
        <v>637</v>
      </c>
      <c r="B79" t="s">
        <v>20</v>
      </c>
      <c r="C79">
        <v>20</v>
      </c>
      <c r="D79" s="3">
        <v>11.1</v>
      </c>
      <c r="E79" s="3">
        <v>222</v>
      </c>
      <c r="F79" s="5">
        <v>45809</v>
      </c>
      <c r="G79" t="str">
        <f t="shared" si="2"/>
        <v>2025</v>
      </c>
    </row>
    <row r="80" spans="1:7" x14ac:dyDescent="0.35">
      <c r="A80" t="s">
        <v>254</v>
      </c>
      <c r="B80" t="s">
        <v>29</v>
      </c>
      <c r="C80">
        <v>10</v>
      </c>
      <c r="D80" s="3">
        <v>36.119999999999997</v>
      </c>
      <c r="E80" s="3">
        <v>343.14</v>
      </c>
      <c r="F80" s="5">
        <v>45443</v>
      </c>
      <c r="G80" t="str">
        <f t="shared" si="2"/>
        <v>2024</v>
      </c>
    </row>
    <row r="81" spans="1:7" x14ac:dyDescent="0.35">
      <c r="A81" t="s">
        <v>681</v>
      </c>
      <c r="B81" t="s">
        <v>20</v>
      </c>
      <c r="C81">
        <v>10</v>
      </c>
      <c r="D81" s="3">
        <v>53.7</v>
      </c>
      <c r="E81" s="3">
        <v>510.15</v>
      </c>
      <c r="F81" s="5">
        <v>45403</v>
      </c>
      <c r="G81" t="str">
        <f t="shared" si="2"/>
        <v>2024</v>
      </c>
    </row>
    <row r="82" spans="1:7" x14ac:dyDescent="0.35">
      <c r="A82" t="s">
        <v>633</v>
      </c>
      <c r="B82" t="s">
        <v>14</v>
      </c>
      <c r="C82">
        <v>5</v>
      </c>
      <c r="D82" s="3">
        <v>31.83</v>
      </c>
      <c r="E82" s="3">
        <v>159.15</v>
      </c>
      <c r="F82" s="5">
        <v>45952</v>
      </c>
      <c r="G82" t="str">
        <f t="shared" si="2"/>
        <v>2025</v>
      </c>
    </row>
    <row r="83" spans="1:7" x14ac:dyDescent="0.35">
      <c r="A83" t="s">
        <v>633</v>
      </c>
      <c r="B83" t="s">
        <v>48</v>
      </c>
      <c r="C83">
        <v>10</v>
      </c>
      <c r="D83" s="3">
        <v>18.7</v>
      </c>
      <c r="E83" s="3">
        <v>187</v>
      </c>
      <c r="F83" s="5">
        <v>45989</v>
      </c>
      <c r="G83" t="str">
        <f t="shared" si="2"/>
        <v>2025</v>
      </c>
    </row>
    <row r="84" spans="1:7" x14ac:dyDescent="0.35">
      <c r="A84" t="s">
        <v>627</v>
      </c>
      <c r="B84" t="s">
        <v>38</v>
      </c>
      <c r="C84">
        <v>2</v>
      </c>
      <c r="D84" s="3">
        <v>11.14</v>
      </c>
      <c r="E84" s="3">
        <v>22.28</v>
      </c>
      <c r="F84" s="5">
        <v>45338</v>
      </c>
      <c r="G84" t="str">
        <f t="shared" si="2"/>
        <v>2024</v>
      </c>
    </row>
    <row r="85" spans="1:7" x14ac:dyDescent="0.35">
      <c r="A85" t="s">
        <v>696</v>
      </c>
      <c r="B85" t="s">
        <v>14</v>
      </c>
      <c r="C85">
        <v>3</v>
      </c>
      <c r="D85" s="3">
        <v>26.07</v>
      </c>
      <c r="E85" s="3">
        <v>70.39</v>
      </c>
      <c r="F85" s="5">
        <v>45577</v>
      </c>
      <c r="G85" t="str">
        <f t="shared" si="2"/>
        <v>2024</v>
      </c>
    </row>
    <row r="86" spans="1:7" x14ac:dyDescent="0.35">
      <c r="A86" t="s">
        <v>674</v>
      </c>
      <c r="B86" t="s">
        <v>43</v>
      </c>
      <c r="C86">
        <v>20</v>
      </c>
      <c r="D86" s="3">
        <v>21.14</v>
      </c>
      <c r="E86" s="3">
        <v>401.66</v>
      </c>
      <c r="F86" s="5">
        <v>45380</v>
      </c>
      <c r="G86" t="str">
        <f t="shared" si="2"/>
        <v>2024</v>
      </c>
    </row>
    <row r="87" spans="1:7" x14ac:dyDescent="0.35">
      <c r="A87" t="s">
        <v>674</v>
      </c>
      <c r="B87" t="s">
        <v>8</v>
      </c>
      <c r="C87">
        <v>20</v>
      </c>
      <c r="D87" s="3">
        <v>88.34</v>
      </c>
      <c r="E87" s="3">
        <v>1678.46</v>
      </c>
      <c r="F87" s="5">
        <v>45707</v>
      </c>
      <c r="G87" t="str">
        <f t="shared" si="2"/>
        <v>2025</v>
      </c>
    </row>
    <row r="88" spans="1:7" x14ac:dyDescent="0.35">
      <c r="A88" t="s">
        <v>637</v>
      </c>
      <c r="B88" t="s">
        <v>20</v>
      </c>
      <c r="C88">
        <v>10</v>
      </c>
      <c r="D88" s="3">
        <v>11.1</v>
      </c>
      <c r="E88" s="3">
        <v>94.35</v>
      </c>
      <c r="F88" s="5">
        <v>45477</v>
      </c>
      <c r="G88" t="str">
        <f t="shared" si="2"/>
        <v>2024</v>
      </c>
    </row>
    <row r="89" spans="1:7" x14ac:dyDescent="0.35">
      <c r="A89" t="s">
        <v>681</v>
      </c>
      <c r="B89" t="s">
        <v>8</v>
      </c>
      <c r="C89">
        <v>20</v>
      </c>
      <c r="D89" s="3">
        <v>10.67</v>
      </c>
      <c r="E89" s="3">
        <v>202.73</v>
      </c>
      <c r="F89" s="5">
        <v>45996</v>
      </c>
      <c r="G89" t="str">
        <f t="shared" si="2"/>
        <v>2025</v>
      </c>
    </row>
    <row r="90" spans="1:7" x14ac:dyDescent="0.35">
      <c r="A90" t="s">
        <v>696</v>
      </c>
      <c r="B90" t="s">
        <v>8</v>
      </c>
      <c r="C90">
        <v>10</v>
      </c>
      <c r="D90" s="3">
        <v>43.92</v>
      </c>
      <c r="E90" s="3">
        <v>417.24</v>
      </c>
      <c r="F90" s="5">
        <v>45437</v>
      </c>
      <c r="G90" t="str">
        <f t="shared" si="2"/>
        <v>2024</v>
      </c>
    </row>
    <row r="91" spans="1:7" x14ac:dyDescent="0.35">
      <c r="A91" t="s">
        <v>627</v>
      </c>
      <c r="B91" t="s">
        <v>43</v>
      </c>
      <c r="C91">
        <v>3</v>
      </c>
      <c r="D91" s="3">
        <v>30.44</v>
      </c>
      <c r="E91" s="3">
        <v>91.32</v>
      </c>
      <c r="F91" s="5">
        <v>45455</v>
      </c>
      <c r="G91" t="str">
        <f t="shared" si="2"/>
        <v>2024</v>
      </c>
    </row>
    <row r="92" spans="1:7" x14ac:dyDescent="0.35">
      <c r="A92" t="s">
        <v>633</v>
      </c>
      <c r="B92" t="s">
        <v>8</v>
      </c>
      <c r="C92">
        <v>5</v>
      </c>
      <c r="D92" s="3">
        <v>133.13</v>
      </c>
      <c r="E92" s="3">
        <v>599.09</v>
      </c>
      <c r="F92" s="5">
        <v>45983</v>
      </c>
      <c r="G92" t="str">
        <f t="shared" si="2"/>
        <v>2025</v>
      </c>
    </row>
    <row r="93" spans="1:7" x14ac:dyDescent="0.35">
      <c r="A93" t="s">
        <v>627</v>
      </c>
      <c r="B93" t="s">
        <v>48</v>
      </c>
      <c r="C93">
        <v>2</v>
      </c>
      <c r="D93" s="3">
        <v>60.6</v>
      </c>
      <c r="E93" s="3">
        <v>109.08</v>
      </c>
      <c r="F93" s="5">
        <v>45756</v>
      </c>
      <c r="G93" t="str">
        <f t="shared" si="2"/>
        <v>2025</v>
      </c>
    </row>
    <row r="94" spans="1:7" x14ac:dyDescent="0.35">
      <c r="A94" t="s">
        <v>681</v>
      </c>
      <c r="B94" t="s">
        <v>29</v>
      </c>
      <c r="C94">
        <v>10</v>
      </c>
      <c r="D94" s="3">
        <v>36.229999999999997</v>
      </c>
      <c r="E94" s="3">
        <v>362.3</v>
      </c>
      <c r="F94" s="5">
        <v>45317</v>
      </c>
      <c r="G94" t="str">
        <f t="shared" si="2"/>
        <v>2024</v>
      </c>
    </row>
    <row r="95" spans="1:7" x14ac:dyDescent="0.35">
      <c r="A95" t="s">
        <v>674</v>
      </c>
      <c r="B95" t="s">
        <v>29</v>
      </c>
      <c r="C95">
        <v>5</v>
      </c>
      <c r="D95" s="3">
        <v>41.5</v>
      </c>
      <c r="E95" s="3">
        <v>197.12</v>
      </c>
      <c r="F95" s="5">
        <v>45378</v>
      </c>
      <c r="G95" t="str">
        <f t="shared" si="2"/>
        <v>2024</v>
      </c>
    </row>
    <row r="96" spans="1:7" x14ac:dyDescent="0.35">
      <c r="A96" t="s">
        <v>627</v>
      </c>
      <c r="B96" t="s">
        <v>48</v>
      </c>
      <c r="C96">
        <v>10</v>
      </c>
      <c r="D96" s="3">
        <v>34.9</v>
      </c>
      <c r="E96" s="3">
        <v>314.10000000000002</v>
      </c>
      <c r="F96" s="5">
        <v>45413</v>
      </c>
      <c r="G96" t="str">
        <f t="shared" si="2"/>
        <v>2024</v>
      </c>
    </row>
    <row r="97" spans="1:7" x14ac:dyDescent="0.35">
      <c r="A97" t="s">
        <v>696</v>
      </c>
      <c r="B97" t="s">
        <v>38</v>
      </c>
      <c r="C97">
        <v>10</v>
      </c>
      <c r="D97" s="3">
        <v>58.73</v>
      </c>
      <c r="E97" s="3">
        <v>499.2</v>
      </c>
      <c r="F97" s="5">
        <v>45458</v>
      </c>
      <c r="G97" t="str">
        <f t="shared" si="2"/>
        <v>2024</v>
      </c>
    </row>
    <row r="98" spans="1:7" x14ac:dyDescent="0.35">
      <c r="A98" t="s">
        <v>696</v>
      </c>
      <c r="B98" t="s">
        <v>8</v>
      </c>
      <c r="C98">
        <v>5</v>
      </c>
      <c r="D98" s="3">
        <v>10.67</v>
      </c>
      <c r="E98" s="3">
        <v>53.35</v>
      </c>
      <c r="F98" s="5">
        <v>45452</v>
      </c>
      <c r="G98" t="str">
        <f t="shared" ref="G98:G129" si="3">TEXT(F98,"YYYY")</f>
        <v>2024</v>
      </c>
    </row>
    <row r="99" spans="1:7" x14ac:dyDescent="0.35">
      <c r="A99" t="s">
        <v>627</v>
      </c>
      <c r="B99" t="s">
        <v>48</v>
      </c>
      <c r="C99">
        <v>20</v>
      </c>
      <c r="D99" s="3">
        <v>38.909999999999997</v>
      </c>
      <c r="E99" s="3">
        <v>778.2</v>
      </c>
      <c r="F99" s="5">
        <v>45580</v>
      </c>
      <c r="G99" t="str">
        <f t="shared" si="3"/>
        <v>2024</v>
      </c>
    </row>
    <row r="100" spans="1:7" x14ac:dyDescent="0.35">
      <c r="A100" t="s">
        <v>696</v>
      </c>
      <c r="B100" t="s">
        <v>14</v>
      </c>
      <c r="C100">
        <v>3</v>
      </c>
      <c r="D100" s="3">
        <v>35.4</v>
      </c>
      <c r="E100" s="3">
        <v>106.2</v>
      </c>
      <c r="F100" s="5">
        <v>45316</v>
      </c>
      <c r="G100" t="str">
        <f t="shared" si="3"/>
        <v>2024</v>
      </c>
    </row>
    <row r="101" spans="1:7" x14ac:dyDescent="0.35">
      <c r="A101" t="s">
        <v>627</v>
      </c>
      <c r="B101" t="s">
        <v>29</v>
      </c>
      <c r="C101">
        <v>2</v>
      </c>
      <c r="D101" s="3">
        <v>44.64</v>
      </c>
      <c r="E101" s="3">
        <v>80.349999999999994</v>
      </c>
      <c r="F101" s="5">
        <v>45697</v>
      </c>
      <c r="G101" t="str">
        <f t="shared" si="3"/>
        <v>2025</v>
      </c>
    </row>
    <row r="102" spans="1:7" x14ac:dyDescent="0.35">
      <c r="A102" t="s">
        <v>627</v>
      </c>
      <c r="B102" t="s">
        <v>8</v>
      </c>
      <c r="C102">
        <v>20</v>
      </c>
      <c r="D102" s="3">
        <v>42.9</v>
      </c>
      <c r="E102" s="3">
        <v>858</v>
      </c>
      <c r="F102" s="5">
        <v>45377</v>
      </c>
      <c r="G102" t="str">
        <f t="shared" si="3"/>
        <v>2024</v>
      </c>
    </row>
    <row r="103" spans="1:7" x14ac:dyDescent="0.35">
      <c r="A103" t="s">
        <v>674</v>
      </c>
      <c r="B103" t="s">
        <v>20</v>
      </c>
      <c r="C103">
        <v>1</v>
      </c>
      <c r="D103" s="3">
        <v>19.72</v>
      </c>
      <c r="E103" s="3">
        <v>19.72</v>
      </c>
      <c r="F103" s="5">
        <v>45385</v>
      </c>
      <c r="G103" t="str">
        <f t="shared" si="3"/>
        <v>2024</v>
      </c>
    </row>
    <row r="104" spans="1:7" x14ac:dyDescent="0.35">
      <c r="A104" t="s">
        <v>696</v>
      </c>
      <c r="B104" t="s">
        <v>29</v>
      </c>
      <c r="C104">
        <v>20</v>
      </c>
      <c r="D104" s="3">
        <v>15.2</v>
      </c>
      <c r="E104" s="3">
        <v>288.8</v>
      </c>
      <c r="F104" s="5">
        <v>46026</v>
      </c>
      <c r="G104" t="str">
        <f t="shared" si="3"/>
        <v>2026</v>
      </c>
    </row>
    <row r="105" spans="1:7" x14ac:dyDescent="0.35">
      <c r="A105" t="s">
        <v>696</v>
      </c>
      <c r="B105" t="s">
        <v>20</v>
      </c>
      <c r="C105">
        <v>2</v>
      </c>
      <c r="D105" s="3">
        <v>74.66</v>
      </c>
      <c r="E105" s="3">
        <v>149.32</v>
      </c>
      <c r="F105" s="5">
        <v>45802</v>
      </c>
      <c r="G105" t="str">
        <f t="shared" si="3"/>
        <v>2025</v>
      </c>
    </row>
    <row r="106" spans="1:7" x14ac:dyDescent="0.35">
      <c r="A106" t="s">
        <v>674</v>
      </c>
      <c r="B106" t="s">
        <v>8</v>
      </c>
      <c r="C106">
        <v>20</v>
      </c>
      <c r="D106" s="3">
        <v>40.99</v>
      </c>
      <c r="E106" s="3">
        <v>819.8</v>
      </c>
      <c r="F106" s="5">
        <v>45650</v>
      </c>
      <c r="G106" t="str">
        <f t="shared" si="3"/>
        <v>2024</v>
      </c>
    </row>
    <row r="107" spans="1:7" x14ac:dyDescent="0.35">
      <c r="A107" t="s">
        <v>674</v>
      </c>
      <c r="B107" t="s">
        <v>14</v>
      </c>
      <c r="C107">
        <v>1</v>
      </c>
      <c r="D107" s="3">
        <v>33.85</v>
      </c>
      <c r="E107" s="3">
        <v>30.47</v>
      </c>
      <c r="F107" s="5">
        <v>45974</v>
      </c>
      <c r="G107" t="str">
        <f t="shared" si="3"/>
        <v>2025</v>
      </c>
    </row>
    <row r="108" spans="1:7" x14ac:dyDescent="0.35">
      <c r="A108" t="s">
        <v>254</v>
      </c>
      <c r="B108" t="s">
        <v>48</v>
      </c>
      <c r="C108">
        <v>10</v>
      </c>
      <c r="D108" s="3">
        <v>67.239999999999995</v>
      </c>
      <c r="E108" s="3">
        <v>605.16</v>
      </c>
      <c r="F108" s="5">
        <v>46044</v>
      </c>
      <c r="G108" t="str">
        <f t="shared" si="3"/>
        <v>2026</v>
      </c>
    </row>
    <row r="109" spans="1:7" x14ac:dyDescent="0.35">
      <c r="A109" t="s">
        <v>674</v>
      </c>
      <c r="B109" t="s">
        <v>29</v>
      </c>
      <c r="C109">
        <v>3</v>
      </c>
      <c r="D109" s="3">
        <v>41.5</v>
      </c>
      <c r="E109" s="3">
        <v>112.05</v>
      </c>
      <c r="F109" s="5">
        <v>46053</v>
      </c>
      <c r="G109" t="str">
        <f t="shared" si="3"/>
        <v>2026</v>
      </c>
    </row>
    <row r="110" spans="1:7" x14ac:dyDescent="0.35">
      <c r="A110" t="s">
        <v>674</v>
      </c>
      <c r="B110" t="s">
        <v>48</v>
      </c>
      <c r="C110">
        <v>3</v>
      </c>
      <c r="D110" s="3">
        <v>28.17</v>
      </c>
      <c r="E110" s="3">
        <v>80.28</v>
      </c>
      <c r="F110" s="5">
        <v>45826</v>
      </c>
      <c r="G110" t="str">
        <f t="shared" si="3"/>
        <v>2025</v>
      </c>
    </row>
    <row r="111" spans="1:7" x14ac:dyDescent="0.35">
      <c r="A111" t="s">
        <v>254</v>
      </c>
      <c r="B111" t="s">
        <v>14</v>
      </c>
      <c r="C111">
        <v>2</v>
      </c>
      <c r="D111" s="3">
        <v>28.78</v>
      </c>
      <c r="E111" s="3">
        <v>54.68</v>
      </c>
      <c r="F111" s="5">
        <v>45685</v>
      </c>
      <c r="G111" t="str">
        <f t="shared" si="3"/>
        <v>2025</v>
      </c>
    </row>
    <row r="112" spans="1:7" x14ac:dyDescent="0.35">
      <c r="A112" t="s">
        <v>254</v>
      </c>
      <c r="B112" t="s">
        <v>43</v>
      </c>
      <c r="C112">
        <v>1</v>
      </c>
      <c r="D112" s="3">
        <v>39.68</v>
      </c>
      <c r="E112" s="3">
        <v>37.700000000000003</v>
      </c>
      <c r="F112" s="5">
        <v>45705</v>
      </c>
      <c r="G112" t="str">
        <f t="shared" si="3"/>
        <v>2025</v>
      </c>
    </row>
    <row r="113" spans="1:7" x14ac:dyDescent="0.35">
      <c r="A113" t="s">
        <v>633</v>
      </c>
      <c r="B113" t="s">
        <v>14</v>
      </c>
      <c r="C113">
        <v>3</v>
      </c>
      <c r="D113" s="3">
        <v>37.74</v>
      </c>
      <c r="E113" s="3">
        <v>107.56</v>
      </c>
      <c r="F113" s="5">
        <v>45663</v>
      </c>
      <c r="G113" t="str">
        <f t="shared" si="3"/>
        <v>2025</v>
      </c>
    </row>
    <row r="114" spans="1:7" x14ac:dyDescent="0.35">
      <c r="A114" t="s">
        <v>681</v>
      </c>
      <c r="B114" t="s">
        <v>14</v>
      </c>
      <c r="C114">
        <v>3</v>
      </c>
      <c r="D114" s="3">
        <v>27.33</v>
      </c>
      <c r="E114" s="3">
        <v>73.790000000000006</v>
      </c>
      <c r="F114" s="5">
        <v>45609</v>
      </c>
      <c r="G114" t="str">
        <f t="shared" si="3"/>
        <v>2024</v>
      </c>
    </row>
    <row r="115" spans="1:7" x14ac:dyDescent="0.35">
      <c r="A115" t="s">
        <v>633</v>
      </c>
      <c r="B115" t="s">
        <v>14</v>
      </c>
      <c r="C115">
        <v>3</v>
      </c>
      <c r="D115" s="3">
        <v>79.37</v>
      </c>
      <c r="E115" s="3">
        <v>226.2</v>
      </c>
      <c r="F115" s="5">
        <v>46053</v>
      </c>
      <c r="G115" t="str">
        <f t="shared" si="3"/>
        <v>2026</v>
      </c>
    </row>
    <row r="116" spans="1:7" x14ac:dyDescent="0.35">
      <c r="A116" t="s">
        <v>633</v>
      </c>
      <c r="B116" t="s">
        <v>14</v>
      </c>
      <c r="C116">
        <v>3</v>
      </c>
      <c r="D116" s="3">
        <v>28.78</v>
      </c>
      <c r="E116" s="3">
        <v>77.709999999999994</v>
      </c>
      <c r="F116" s="5">
        <v>45428</v>
      </c>
      <c r="G116" t="str">
        <f t="shared" si="3"/>
        <v>2024</v>
      </c>
    </row>
    <row r="117" spans="1:7" x14ac:dyDescent="0.35">
      <c r="A117" t="s">
        <v>627</v>
      </c>
      <c r="B117" t="s">
        <v>43</v>
      </c>
      <c r="C117">
        <v>3</v>
      </c>
      <c r="D117" s="3">
        <v>30.44</v>
      </c>
      <c r="E117" s="3">
        <v>91.32</v>
      </c>
      <c r="F117" s="5">
        <v>46033</v>
      </c>
      <c r="G117" t="str">
        <f t="shared" si="3"/>
        <v>2026</v>
      </c>
    </row>
    <row r="118" spans="1:7" x14ac:dyDescent="0.35">
      <c r="A118" t="s">
        <v>681</v>
      </c>
      <c r="B118" t="s">
        <v>29</v>
      </c>
      <c r="C118">
        <v>12</v>
      </c>
      <c r="D118" s="3">
        <v>44.64</v>
      </c>
      <c r="E118" s="3">
        <v>482.11</v>
      </c>
      <c r="F118" s="5">
        <v>45512</v>
      </c>
      <c r="G118" t="str">
        <f t="shared" si="3"/>
        <v>2024</v>
      </c>
    </row>
    <row r="119" spans="1:7" x14ac:dyDescent="0.35">
      <c r="A119" t="s">
        <v>633</v>
      </c>
      <c r="B119" t="s">
        <v>79</v>
      </c>
      <c r="C119">
        <v>3</v>
      </c>
      <c r="D119" s="3">
        <v>17.14</v>
      </c>
      <c r="E119" s="3">
        <v>46.28</v>
      </c>
      <c r="F119" s="5">
        <v>45557</v>
      </c>
      <c r="G119" t="str">
        <f t="shared" si="3"/>
        <v>2024</v>
      </c>
    </row>
    <row r="120" spans="1:7" x14ac:dyDescent="0.35">
      <c r="A120" t="s">
        <v>633</v>
      </c>
      <c r="B120" t="s">
        <v>38</v>
      </c>
      <c r="C120">
        <v>10</v>
      </c>
      <c r="D120" s="3">
        <v>28.21</v>
      </c>
      <c r="E120" s="3">
        <v>282.10000000000002</v>
      </c>
      <c r="F120" s="5">
        <v>45805</v>
      </c>
      <c r="G120" t="str">
        <f t="shared" si="3"/>
        <v>2025</v>
      </c>
    </row>
    <row r="121" spans="1:7" x14ac:dyDescent="0.35">
      <c r="A121" t="s">
        <v>254</v>
      </c>
      <c r="B121" t="s">
        <v>48</v>
      </c>
      <c r="C121">
        <v>2</v>
      </c>
      <c r="D121" s="3">
        <v>34.9</v>
      </c>
      <c r="E121" s="3">
        <v>66.31</v>
      </c>
      <c r="F121" s="5">
        <v>45418</v>
      </c>
      <c r="G121" t="str">
        <f t="shared" si="3"/>
        <v>2024</v>
      </c>
    </row>
    <row r="122" spans="1:7" x14ac:dyDescent="0.35">
      <c r="A122" t="s">
        <v>254</v>
      </c>
      <c r="B122" t="s">
        <v>38</v>
      </c>
      <c r="C122">
        <v>10</v>
      </c>
      <c r="D122" s="3">
        <v>17.36</v>
      </c>
      <c r="E122" s="3">
        <v>173.6</v>
      </c>
      <c r="F122" s="5">
        <v>45687</v>
      </c>
      <c r="G122" t="str">
        <f t="shared" si="3"/>
        <v>2025</v>
      </c>
    </row>
    <row r="123" spans="1:7" x14ac:dyDescent="0.35">
      <c r="A123" t="s">
        <v>637</v>
      </c>
      <c r="B123" t="s">
        <v>43</v>
      </c>
      <c r="C123">
        <v>20</v>
      </c>
      <c r="D123" s="3">
        <v>39.68</v>
      </c>
      <c r="E123" s="3">
        <v>714.24</v>
      </c>
      <c r="F123" s="5">
        <v>45632</v>
      </c>
      <c r="G123" t="str">
        <f t="shared" si="3"/>
        <v>2024</v>
      </c>
    </row>
    <row r="124" spans="1:7" x14ac:dyDescent="0.35">
      <c r="A124" t="s">
        <v>674</v>
      </c>
      <c r="B124" t="s">
        <v>14</v>
      </c>
      <c r="C124">
        <v>3</v>
      </c>
      <c r="D124" s="3">
        <v>24.54</v>
      </c>
      <c r="E124" s="3">
        <v>69.94</v>
      </c>
      <c r="F124" s="5">
        <v>45306</v>
      </c>
      <c r="G124" t="str">
        <f t="shared" si="3"/>
        <v>2024</v>
      </c>
    </row>
    <row r="125" spans="1:7" x14ac:dyDescent="0.35">
      <c r="A125" t="s">
        <v>637</v>
      </c>
      <c r="B125" t="s">
        <v>43</v>
      </c>
      <c r="C125">
        <v>12</v>
      </c>
      <c r="D125" s="3">
        <v>86.54</v>
      </c>
      <c r="E125" s="3">
        <v>882.71</v>
      </c>
      <c r="F125" s="5">
        <v>45306</v>
      </c>
      <c r="G125" t="str">
        <f t="shared" si="3"/>
        <v>2024</v>
      </c>
    </row>
    <row r="126" spans="1:7" x14ac:dyDescent="0.35">
      <c r="A126" t="s">
        <v>637</v>
      </c>
      <c r="B126" t="s">
        <v>43</v>
      </c>
      <c r="C126">
        <v>5</v>
      </c>
      <c r="D126" s="3">
        <v>79.650000000000006</v>
      </c>
      <c r="E126" s="3">
        <v>338.51</v>
      </c>
      <c r="F126" s="5">
        <v>45635</v>
      </c>
      <c r="G126" t="str">
        <f t="shared" si="3"/>
        <v>2024</v>
      </c>
    </row>
    <row r="127" spans="1:7" x14ac:dyDescent="0.35">
      <c r="A127" t="s">
        <v>674</v>
      </c>
      <c r="B127" t="s">
        <v>14</v>
      </c>
      <c r="C127">
        <v>5</v>
      </c>
      <c r="D127" s="3">
        <v>79.37</v>
      </c>
      <c r="E127" s="3">
        <v>337.32</v>
      </c>
      <c r="F127" s="5">
        <v>45996</v>
      </c>
      <c r="G127" t="str">
        <f t="shared" si="3"/>
        <v>2025</v>
      </c>
    </row>
    <row r="128" spans="1:7" x14ac:dyDescent="0.35">
      <c r="A128" t="s">
        <v>633</v>
      </c>
      <c r="B128" t="s">
        <v>79</v>
      </c>
      <c r="C128">
        <v>3</v>
      </c>
      <c r="D128" s="3">
        <v>12.56</v>
      </c>
      <c r="E128" s="3">
        <v>37.68</v>
      </c>
      <c r="F128" s="5">
        <v>45432</v>
      </c>
      <c r="G128" t="str">
        <f t="shared" si="3"/>
        <v>2024</v>
      </c>
    </row>
    <row r="129" spans="1:7" x14ac:dyDescent="0.35">
      <c r="A129" t="s">
        <v>254</v>
      </c>
      <c r="B129" t="s">
        <v>8</v>
      </c>
      <c r="C129">
        <v>5</v>
      </c>
      <c r="D129" s="3">
        <v>41.91</v>
      </c>
      <c r="E129" s="3">
        <v>178.12</v>
      </c>
      <c r="F129" s="5">
        <v>45603</v>
      </c>
      <c r="G129" t="str">
        <f t="shared" si="3"/>
        <v>2024</v>
      </c>
    </row>
    <row r="130" spans="1:7" x14ac:dyDescent="0.35">
      <c r="A130" t="s">
        <v>681</v>
      </c>
      <c r="B130" t="s">
        <v>8</v>
      </c>
      <c r="C130">
        <v>1</v>
      </c>
      <c r="D130" s="3">
        <v>29.71</v>
      </c>
      <c r="E130" s="3">
        <v>29.71</v>
      </c>
      <c r="F130" s="5">
        <v>45625</v>
      </c>
      <c r="G130" t="str">
        <f t="shared" ref="G130:G161" si="4">TEXT(F130,"YYYY")</f>
        <v>2024</v>
      </c>
    </row>
    <row r="131" spans="1:7" x14ac:dyDescent="0.35">
      <c r="A131" t="s">
        <v>681</v>
      </c>
      <c r="B131" t="s">
        <v>43</v>
      </c>
      <c r="C131">
        <v>2</v>
      </c>
      <c r="D131" s="3">
        <v>34.090000000000003</v>
      </c>
      <c r="E131" s="3">
        <v>57.95</v>
      </c>
      <c r="F131" s="5">
        <v>45661</v>
      </c>
      <c r="G131" t="str">
        <f t="shared" si="4"/>
        <v>2025</v>
      </c>
    </row>
    <row r="132" spans="1:7" x14ac:dyDescent="0.35">
      <c r="A132" t="s">
        <v>254</v>
      </c>
      <c r="B132" t="s">
        <v>14</v>
      </c>
      <c r="C132">
        <v>5</v>
      </c>
      <c r="D132" s="3">
        <v>39.64</v>
      </c>
      <c r="E132" s="3">
        <v>198.2</v>
      </c>
      <c r="F132" s="5">
        <v>45308</v>
      </c>
      <c r="G132" t="str">
        <f t="shared" si="4"/>
        <v>2024</v>
      </c>
    </row>
    <row r="133" spans="1:7" x14ac:dyDescent="0.35">
      <c r="A133" t="s">
        <v>637</v>
      </c>
      <c r="B133" t="s">
        <v>29</v>
      </c>
      <c r="C133">
        <v>12</v>
      </c>
      <c r="D133" s="3">
        <v>30.01</v>
      </c>
      <c r="E133" s="3">
        <v>360.12</v>
      </c>
      <c r="F133" s="5">
        <v>45705</v>
      </c>
      <c r="G133" t="str">
        <f t="shared" si="4"/>
        <v>2025</v>
      </c>
    </row>
    <row r="134" spans="1:7" x14ac:dyDescent="0.35">
      <c r="A134" t="s">
        <v>254</v>
      </c>
      <c r="B134" t="s">
        <v>38</v>
      </c>
      <c r="C134">
        <v>1</v>
      </c>
      <c r="D134" s="3">
        <v>29.13</v>
      </c>
      <c r="E134" s="3">
        <v>26.22</v>
      </c>
      <c r="F134" s="5">
        <v>45876</v>
      </c>
      <c r="G134" t="str">
        <f t="shared" si="4"/>
        <v>2025</v>
      </c>
    </row>
    <row r="135" spans="1:7" x14ac:dyDescent="0.35">
      <c r="A135" t="s">
        <v>637</v>
      </c>
      <c r="B135" t="s">
        <v>8</v>
      </c>
      <c r="C135">
        <v>5</v>
      </c>
      <c r="D135" s="3">
        <v>133.13</v>
      </c>
      <c r="E135" s="3">
        <v>565.79999999999995</v>
      </c>
      <c r="F135" s="5">
        <v>45479</v>
      </c>
      <c r="G135" t="str">
        <f t="shared" si="4"/>
        <v>2024</v>
      </c>
    </row>
    <row r="136" spans="1:7" x14ac:dyDescent="0.35">
      <c r="A136" t="s">
        <v>254</v>
      </c>
      <c r="B136" t="s">
        <v>79</v>
      </c>
      <c r="C136">
        <v>3</v>
      </c>
      <c r="D136" s="3">
        <v>40.42</v>
      </c>
      <c r="E136" s="3">
        <v>115.2</v>
      </c>
      <c r="F136" s="5">
        <v>45423</v>
      </c>
      <c r="G136" t="str">
        <f t="shared" si="4"/>
        <v>2024</v>
      </c>
    </row>
    <row r="137" spans="1:7" x14ac:dyDescent="0.35">
      <c r="A137" t="s">
        <v>633</v>
      </c>
      <c r="B137" t="s">
        <v>29</v>
      </c>
      <c r="C137">
        <v>2</v>
      </c>
      <c r="D137" s="3">
        <v>22.42</v>
      </c>
      <c r="E137" s="3">
        <v>44.84</v>
      </c>
      <c r="F137" s="5">
        <v>45392</v>
      </c>
      <c r="G137" t="str">
        <f t="shared" si="4"/>
        <v>2024</v>
      </c>
    </row>
    <row r="138" spans="1:7" x14ac:dyDescent="0.35">
      <c r="A138" t="s">
        <v>674</v>
      </c>
      <c r="B138" t="s">
        <v>8</v>
      </c>
      <c r="C138">
        <v>1</v>
      </c>
      <c r="D138" s="3">
        <v>42.9</v>
      </c>
      <c r="E138" s="3">
        <v>36.46</v>
      </c>
      <c r="F138" s="5">
        <v>45703</v>
      </c>
      <c r="G138" t="str">
        <f t="shared" si="4"/>
        <v>2025</v>
      </c>
    </row>
    <row r="139" spans="1:7" x14ac:dyDescent="0.35">
      <c r="A139" t="s">
        <v>627</v>
      </c>
      <c r="B139" t="s">
        <v>29</v>
      </c>
      <c r="C139">
        <v>3</v>
      </c>
      <c r="D139" s="3">
        <v>30.01</v>
      </c>
      <c r="E139" s="3">
        <v>85.53</v>
      </c>
      <c r="F139" s="5">
        <v>45883</v>
      </c>
      <c r="G139" t="str">
        <f t="shared" si="4"/>
        <v>2025</v>
      </c>
    </row>
    <row r="140" spans="1:7" x14ac:dyDescent="0.35">
      <c r="A140" t="s">
        <v>637</v>
      </c>
      <c r="B140" t="s">
        <v>8</v>
      </c>
      <c r="C140">
        <v>10</v>
      </c>
      <c r="D140" s="3">
        <v>88.34</v>
      </c>
      <c r="E140" s="3">
        <v>750.89</v>
      </c>
      <c r="F140" s="5">
        <v>45637</v>
      </c>
      <c r="G140" t="str">
        <f t="shared" si="4"/>
        <v>2024</v>
      </c>
    </row>
    <row r="141" spans="1:7" x14ac:dyDescent="0.35">
      <c r="A141" t="s">
        <v>254</v>
      </c>
      <c r="B141" t="s">
        <v>29</v>
      </c>
      <c r="C141">
        <v>12</v>
      </c>
      <c r="D141" s="3">
        <v>15.91</v>
      </c>
      <c r="E141" s="3">
        <v>162.28</v>
      </c>
      <c r="F141" s="5">
        <v>45433</v>
      </c>
      <c r="G141" t="str">
        <f t="shared" si="4"/>
        <v>2024</v>
      </c>
    </row>
    <row r="142" spans="1:7" x14ac:dyDescent="0.35">
      <c r="A142" t="s">
        <v>633</v>
      </c>
      <c r="B142" t="s">
        <v>79</v>
      </c>
      <c r="C142">
        <v>10</v>
      </c>
      <c r="D142" s="3">
        <v>41.22</v>
      </c>
      <c r="E142" s="3">
        <v>391.59</v>
      </c>
      <c r="F142" s="5">
        <v>45657</v>
      </c>
      <c r="G142" t="str">
        <f t="shared" si="4"/>
        <v>2024</v>
      </c>
    </row>
    <row r="143" spans="1:7" x14ac:dyDescent="0.35">
      <c r="A143" t="s">
        <v>681</v>
      </c>
      <c r="B143" t="s">
        <v>29</v>
      </c>
      <c r="C143">
        <v>10</v>
      </c>
      <c r="D143" s="3">
        <v>15.91</v>
      </c>
      <c r="E143" s="3">
        <v>159.1</v>
      </c>
      <c r="F143" s="5">
        <v>45956</v>
      </c>
      <c r="G143" t="str">
        <f t="shared" si="4"/>
        <v>2025</v>
      </c>
    </row>
    <row r="144" spans="1:7" x14ac:dyDescent="0.35">
      <c r="A144" t="s">
        <v>254</v>
      </c>
      <c r="B144" t="s">
        <v>14</v>
      </c>
      <c r="C144">
        <v>3</v>
      </c>
      <c r="D144" s="3">
        <v>31.83</v>
      </c>
      <c r="E144" s="3">
        <v>95.49</v>
      </c>
      <c r="F144" s="5">
        <v>45965</v>
      </c>
      <c r="G144" t="str">
        <f t="shared" si="4"/>
        <v>2025</v>
      </c>
    </row>
    <row r="145" spans="1:7" x14ac:dyDescent="0.35">
      <c r="A145" t="s">
        <v>627</v>
      </c>
      <c r="B145" t="s">
        <v>43</v>
      </c>
      <c r="C145">
        <v>20</v>
      </c>
      <c r="D145" s="3">
        <v>79.650000000000006</v>
      </c>
      <c r="E145" s="3">
        <v>1513.35</v>
      </c>
      <c r="F145" s="5">
        <v>45870</v>
      </c>
      <c r="G145" t="str">
        <f t="shared" si="4"/>
        <v>2025</v>
      </c>
    </row>
    <row r="146" spans="1:7" x14ac:dyDescent="0.35">
      <c r="A146" t="s">
        <v>637</v>
      </c>
      <c r="B146" t="s">
        <v>29</v>
      </c>
      <c r="C146">
        <v>5</v>
      </c>
      <c r="D146" s="3">
        <v>36.229999999999997</v>
      </c>
      <c r="E146" s="3">
        <v>163.03</v>
      </c>
      <c r="F146" s="5">
        <v>46042</v>
      </c>
      <c r="G146" t="str">
        <f t="shared" si="4"/>
        <v>2026</v>
      </c>
    </row>
    <row r="147" spans="1:7" x14ac:dyDescent="0.35">
      <c r="A147" t="s">
        <v>254</v>
      </c>
      <c r="B147" t="s">
        <v>14</v>
      </c>
      <c r="C147">
        <v>1</v>
      </c>
      <c r="D147" s="3">
        <v>28.78</v>
      </c>
      <c r="E147" s="3">
        <v>27.34</v>
      </c>
      <c r="F147" s="5">
        <v>45588</v>
      </c>
      <c r="G147" t="str">
        <f t="shared" si="4"/>
        <v>2024</v>
      </c>
    </row>
    <row r="148" spans="1:7" x14ac:dyDescent="0.35">
      <c r="A148" t="s">
        <v>674</v>
      </c>
      <c r="B148" t="s">
        <v>8</v>
      </c>
      <c r="C148">
        <v>2</v>
      </c>
      <c r="D148" s="3">
        <v>28.77</v>
      </c>
      <c r="E148" s="3">
        <v>57.54</v>
      </c>
      <c r="F148" s="5">
        <v>45939</v>
      </c>
      <c r="G148" t="str">
        <f t="shared" si="4"/>
        <v>2025</v>
      </c>
    </row>
    <row r="149" spans="1:7" x14ac:dyDescent="0.35">
      <c r="A149" t="s">
        <v>633</v>
      </c>
      <c r="B149" t="s">
        <v>48</v>
      </c>
      <c r="C149">
        <v>10</v>
      </c>
      <c r="D149" s="3">
        <v>67.239999999999995</v>
      </c>
      <c r="E149" s="3">
        <v>672.4</v>
      </c>
      <c r="F149" s="5">
        <v>45465</v>
      </c>
      <c r="G149" t="str">
        <f t="shared" si="4"/>
        <v>2024</v>
      </c>
    </row>
    <row r="150" spans="1:7" x14ac:dyDescent="0.35">
      <c r="A150" t="s">
        <v>696</v>
      </c>
      <c r="B150" t="s">
        <v>48</v>
      </c>
      <c r="C150">
        <v>10</v>
      </c>
      <c r="D150" s="3">
        <v>72.510000000000005</v>
      </c>
      <c r="E150" s="3">
        <v>725.1</v>
      </c>
      <c r="F150" s="5">
        <v>45585</v>
      </c>
      <c r="G150" t="str">
        <f t="shared" si="4"/>
        <v>2024</v>
      </c>
    </row>
    <row r="151" spans="1:7" x14ac:dyDescent="0.35">
      <c r="A151" t="s">
        <v>674</v>
      </c>
      <c r="B151" t="s">
        <v>48</v>
      </c>
      <c r="C151">
        <v>5</v>
      </c>
      <c r="D151" s="3">
        <v>38.909999999999997</v>
      </c>
      <c r="E151" s="3">
        <v>184.82</v>
      </c>
      <c r="F151" s="5">
        <v>45802</v>
      </c>
      <c r="G151" t="str">
        <f t="shared" si="4"/>
        <v>2025</v>
      </c>
    </row>
    <row r="152" spans="1:7" x14ac:dyDescent="0.35">
      <c r="A152" t="s">
        <v>674</v>
      </c>
      <c r="B152" t="s">
        <v>48</v>
      </c>
      <c r="C152">
        <v>5</v>
      </c>
      <c r="D152" s="3">
        <v>41.9</v>
      </c>
      <c r="E152" s="3">
        <v>209.5</v>
      </c>
      <c r="F152" s="5">
        <v>45294</v>
      </c>
      <c r="G152" t="str">
        <f t="shared" si="4"/>
        <v>2024</v>
      </c>
    </row>
    <row r="153" spans="1:7" x14ac:dyDescent="0.35">
      <c r="A153" t="s">
        <v>696</v>
      </c>
      <c r="B153" t="s">
        <v>14</v>
      </c>
      <c r="C153">
        <v>5</v>
      </c>
      <c r="D153" s="3">
        <v>16.29</v>
      </c>
      <c r="E153" s="3">
        <v>73.3</v>
      </c>
      <c r="F153" s="5">
        <v>45411</v>
      </c>
      <c r="G153" t="str">
        <f t="shared" si="4"/>
        <v>2024</v>
      </c>
    </row>
    <row r="154" spans="1:7" x14ac:dyDescent="0.35">
      <c r="A154" t="s">
        <v>681</v>
      </c>
      <c r="B154" t="s">
        <v>8</v>
      </c>
      <c r="C154">
        <v>5</v>
      </c>
      <c r="D154" s="3">
        <v>28.23</v>
      </c>
      <c r="E154" s="3">
        <v>127.04</v>
      </c>
      <c r="F154" s="5">
        <v>45986</v>
      </c>
      <c r="G154" t="str">
        <f t="shared" si="4"/>
        <v>2025</v>
      </c>
    </row>
    <row r="155" spans="1:7" x14ac:dyDescent="0.35">
      <c r="A155" t="s">
        <v>633</v>
      </c>
      <c r="B155" t="s">
        <v>48</v>
      </c>
      <c r="C155">
        <v>3</v>
      </c>
      <c r="D155" s="3">
        <v>34.9</v>
      </c>
      <c r="E155" s="3">
        <v>104.7</v>
      </c>
      <c r="F155" s="5">
        <v>45893</v>
      </c>
      <c r="G155" t="str">
        <f t="shared" si="4"/>
        <v>2025</v>
      </c>
    </row>
    <row r="156" spans="1:7" x14ac:dyDescent="0.35">
      <c r="A156" t="s">
        <v>633</v>
      </c>
      <c r="B156" t="s">
        <v>29</v>
      </c>
      <c r="C156">
        <v>2</v>
      </c>
      <c r="D156" s="3">
        <v>36.229999999999997</v>
      </c>
      <c r="E156" s="3">
        <v>61.59</v>
      </c>
      <c r="F156" s="5">
        <v>45316</v>
      </c>
      <c r="G156" t="str">
        <f t="shared" si="4"/>
        <v>2024</v>
      </c>
    </row>
    <row r="157" spans="1:7" x14ac:dyDescent="0.35">
      <c r="A157" t="s">
        <v>633</v>
      </c>
      <c r="B157" t="s">
        <v>14</v>
      </c>
      <c r="C157">
        <v>12</v>
      </c>
      <c r="D157" s="3">
        <v>28.78</v>
      </c>
      <c r="E157" s="3">
        <v>345.36</v>
      </c>
      <c r="F157" s="5">
        <v>45713</v>
      </c>
      <c r="G157" t="str">
        <f t="shared" si="4"/>
        <v>2025</v>
      </c>
    </row>
    <row r="158" spans="1:7" x14ac:dyDescent="0.35">
      <c r="A158" t="s">
        <v>637</v>
      </c>
      <c r="B158" t="s">
        <v>79</v>
      </c>
      <c r="C158">
        <v>5</v>
      </c>
      <c r="D158" s="3">
        <v>12.56</v>
      </c>
      <c r="E158" s="3">
        <v>62.8</v>
      </c>
      <c r="F158" s="5">
        <v>45815</v>
      </c>
      <c r="G158" t="str">
        <f t="shared" si="4"/>
        <v>2025</v>
      </c>
    </row>
    <row r="159" spans="1:7" x14ac:dyDescent="0.35">
      <c r="A159" t="s">
        <v>637</v>
      </c>
      <c r="B159" t="s">
        <v>14</v>
      </c>
      <c r="C159">
        <v>2</v>
      </c>
      <c r="D159" s="3">
        <v>39.64</v>
      </c>
      <c r="E159" s="3">
        <v>79.28</v>
      </c>
      <c r="F159" s="5">
        <v>45506</v>
      </c>
      <c r="G159" t="str">
        <f t="shared" si="4"/>
        <v>2024</v>
      </c>
    </row>
    <row r="160" spans="1:7" x14ac:dyDescent="0.35">
      <c r="A160" t="s">
        <v>681</v>
      </c>
      <c r="B160" t="s">
        <v>79</v>
      </c>
      <c r="C160">
        <v>3</v>
      </c>
      <c r="D160" s="3">
        <v>41.22</v>
      </c>
      <c r="E160" s="3">
        <v>117.48</v>
      </c>
      <c r="F160" s="5">
        <v>45839</v>
      </c>
      <c r="G160" t="str">
        <f t="shared" si="4"/>
        <v>2025</v>
      </c>
    </row>
    <row r="161" spans="1:7" x14ac:dyDescent="0.35">
      <c r="A161" t="s">
        <v>696</v>
      </c>
      <c r="B161" t="s">
        <v>8</v>
      </c>
      <c r="C161">
        <v>3</v>
      </c>
      <c r="D161" s="3">
        <v>88.34</v>
      </c>
      <c r="E161" s="3">
        <v>238.52</v>
      </c>
      <c r="F161" s="5">
        <v>45944</v>
      </c>
      <c r="G161" t="str">
        <f t="shared" si="4"/>
        <v>2025</v>
      </c>
    </row>
    <row r="162" spans="1:7" x14ac:dyDescent="0.35">
      <c r="A162" t="s">
        <v>681</v>
      </c>
      <c r="B162" t="s">
        <v>43</v>
      </c>
      <c r="C162">
        <v>2</v>
      </c>
      <c r="D162" s="3">
        <v>86.54</v>
      </c>
      <c r="E162" s="3">
        <v>155.77000000000001</v>
      </c>
      <c r="F162" s="5">
        <v>45706</v>
      </c>
      <c r="G162" t="str">
        <f t="shared" ref="G162:G181" si="5">TEXT(F162,"YYYY")</f>
        <v>2025</v>
      </c>
    </row>
    <row r="163" spans="1:7" x14ac:dyDescent="0.35">
      <c r="A163" t="s">
        <v>637</v>
      </c>
      <c r="B163" t="s">
        <v>14</v>
      </c>
      <c r="C163">
        <v>10</v>
      </c>
      <c r="D163" s="3">
        <v>27.59</v>
      </c>
      <c r="E163" s="3">
        <v>262.10000000000002</v>
      </c>
      <c r="F163" s="5">
        <v>45678</v>
      </c>
      <c r="G163" t="str">
        <f t="shared" si="5"/>
        <v>2025</v>
      </c>
    </row>
    <row r="164" spans="1:7" x14ac:dyDescent="0.35">
      <c r="A164" t="s">
        <v>637</v>
      </c>
      <c r="B164" t="s">
        <v>48</v>
      </c>
      <c r="C164">
        <v>1</v>
      </c>
      <c r="D164" s="3">
        <v>18.7</v>
      </c>
      <c r="E164" s="3">
        <v>17.760000000000002</v>
      </c>
      <c r="F164" s="5">
        <v>45423</v>
      </c>
      <c r="G164" t="str">
        <f t="shared" si="5"/>
        <v>2024</v>
      </c>
    </row>
    <row r="165" spans="1:7" x14ac:dyDescent="0.35">
      <c r="A165" t="s">
        <v>637</v>
      </c>
      <c r="B165" t="s">
        <v>43</v>
      </c>
      <c r="C165">
        <v>1</v>
      </c>
      <c r="D165" s="3">
        <v>79.650000000000006</v>
      </c>
      <c r="E165" s="3">
        <v>79.650000000000006</v>
      </c>
      <c r="F165" s="5">
        <v>46028</v>
      </c>
      <c r="G165" t="str">
        <f t="shared" si="5"/>
        <v>2026</v>
      </c>
    </row>
    <row r="166" spans="1:7" x14ac:dyDescent="0.35">
      <c r="A166" t="s">
        <v>254</v>
      </c>
      <c r="B166" t="s">
        <v>43</v>
      </c>
      <c r="C166">
        <v>20</v>
      </c>
      <c r="D166" s="3">
        <v>86.54</v>
      </c>
      <c r="E166" s="3">
        <v>1730.8</v>
      </c>
      <c r="F166" s="5">
        <v>45305</v>
      </c>
      <c r="G166" t="str">
        <f t="shared" si="5"/>
        <v>2024</v>
      </c>
    </row>
    <row r="167" spans="1:7" x14ac:dyDescent="0.35">
      <c r="A167" t="s">
        <v>633</v>
      </c>
      <c r="B167" t="s">
        <v>48</v>
      </c>
      <c r="C167">
        <v>1</v>
      </c>
      <c r="D167" s="3">
        <v>34.4</v>
      </c>
      <c r="E167" s="3">
        <v>30.96</v>
      </c>
      <c r="F167" s="5">
        <v>45462</v>
      </c>
      <c r="G167" t="str">
        <f t="shared" si="5"/>
        <v>2024</v>
      </c>
    </row>
    <row r="168" spans="1:7" x14ac:dyDescent="0.35">
      <c r="A168" t="s">
        <v>633</v>
      </c>
      <c r="B168" t="s">
        <v>8</v>
      </c>
      <c r="C168">
        <v>1</v>
      </c>
      <c r="D168" s="3">
        <v>43.92</v>
      </c>
      <c r="E168" s="3">
        <v>39.53</v>
      </c>
      <c r="F168" s="5">
        <v>45969</v>
      </c>
      <c r="G168" t="str">
        <f t="shared" si="5"/>
        <v>2025</v>
      </c>
    </row>
    <row r="169" spans="1:7" x14ac:dyDescent="0.35">
      <c r="A169" t="s">
        <v>696</v>
      </c>
      <c r="B169" t="s">
        <v>20</v>
      </c>
      <c r="C169">
        <v>1</v>
      </c>
      <c r="D169" s="3">
        <v>28.07</v>
      </c>
      <c r="E169" s="3">
        <v>28.07</v>
      </c>
      <c r="F169" s="5">
        <v>45462</v>
      </c>
      <c r="G169" t="str">
        <f t="shared" si="5"/>
        <v>2024</v>
      </c>
    </row>
    <row r="170" spans="1:7" x14ac:dyDescent="0.35">
      <c r="A170" t="s">
        <v>696</v>
      </c>
      <c r="B170" t="s">
        <v>14</v>
      </c>
      <c r="C170">
        <v>2</v>
      </c>
      <c r="D170" s="3">
        <v>59.64</v>
      </c>
      <c r="E170" s="3">
        <v>107.35</v>
      </c>
      <c r="F170" s="5">
        <v>45511</v>
      </c>
      <c r="G170" t="str">
        <f t="shared" si="5"/>
        <v>2024</v>
      </c>
    </row>
    <row r="171" spans="1:7" x14ac:dyDescent="0.35">
      <c r="A171" t="s">
        <v>696</v>
      </c>
      <c r="B171" t="s">
        <v>79</v>
      </c>
      <c r="C171">
        <v>1</v>
      </c>
      <c r="D171" s="3">
        <v>41.22</v>
      </c>
      <c r="E171" s="3">
        <v>41.22</v>
      </c>
      <c r="F171" s="5">
        <v>45436</v>
      </c>
      <c r="G171" t="str">
        <f t="shared" si="5"/>
        <v>2024</v>
      </c>
    </row>
    <row r="172" spans="1:7" x14ac:dyDescent="0.35">
      <c r="A172" t="s">
        <v>696</v>
      </c>
      <c r="B172" t="s">
        <v>48</v>
      </c>
      <c r="C172">
        <v>20</v>
      </c>
      <c r="D172" s="3">
        <v>35.21</v>
      </c>
      <c r="E172" s="3">
        <v>633.78</v>
      </c>
      <c r="F172" s="5">
        <v>46025</v>
      </c>
      <c r="G172" t="str">
        <f t="shared" si="5"/>
        <v>2026</v>
      </c>
    </row>
    <row r="173" spans="1:7" x14ac:dyDescent="0.35">
      <c r="A173" t="s">
        <v>254</v>
      </c>
      <c r="B173" t="s">
        <v>48</v>
      </c>
      <c r="C173">
        <v>2</v>
      </c>
      <c r="D173" s="3">
        <v>22.5</v>
      </c>
      <c r="E173" s="3">
        <v>42.75</v>
      </c>
      <c r="F173" s="5">
        <v>46047</v>
      </c>
      <c r="G173" t="str">
        <f t="shared" si="5"/>
        <v>2026</v>
      </c>
    </row>
    <row r="174" spans="1:7" x14ac:dyDescent="0.35">
      <c r="A174" t="s">
        <v>633</v>
      </c>
      <c r="B174" t="s">
        <v>29</v>
      </c>
      <c r="C174">
        <v>10</v>
      </c>
      <c r="D174" s="3">
        <v>20.85</v>
      </c>
      <c r="E174" s="3">
        <v>177.22</v>
      </c>
      <c r="F174" s="5">
        <v>45656</v>
      </c>
      <c r="G174" t="str">
        <f t="shared" si="5"/>
        <v>2024</v>
      </c>
    </row>
    <row r="175" spans="1:7" x14ac:dyDescent="0.35">
      <c r="A175" t="s">
        <v>674</v>
      </c>
      <c r="B175" t="s">
        <v>14</v>
      </c>
      <c r="C175">
        <v>5</v>
      </c>
      <c r="D175" s="3">
        <v>53.97</v>
      </c>
      <c r="E175" s="3">
        <v>229.37</v>
      </c>
      <c r="F175" s="5">
        <v>45915</v>
      </c>
      <c r="G175" t="str">
        <f t="shared" si="5"/>
        <v>2025</v>
      </c>
    </row>
    <row r="176" spans="1:7" x14ac:dyDescent="0.35">
      <c r="A176" t="s">
        <v>633</v>
      </c>
      <c r="B176" t="s">
        <v>48</v>
      </c>
      <c r="C176">
        <v>10</v>
      </c>
      <c r="D176" s="3">
        <v>28.17</v>
      </c>
      <c r="E176" s="3">
        <v>253.53</v>
      </c>
      <c r="F176" s="5">
        <v>45474</v>
      </c>
      <c r="G176" t="str">
        <f t="shared" si="5"/>
        <v>2024</v>
      </c>
    </row>
    <row r="177" spans="1:7" x14ac:dyDescent="0.35">
      <c r="A177" t="s">
        <v>627</v>
      </c>
      <c r="B177" t="s">
        <v>14</v>
      </c>
      <c r="C177">
        <v>3</v>
      </c>
      <c r="D177" s="3">
        <v>35.4</v>
      </c>
      <c r="E177" s="3">
        <v>90.27</v>
      </c>
      <c r="F177" s="5">
        <v>46006</v>
      </c>
      <c r="G177" t="str">
        <f t="shared" si="5"/>
        <v>2025</v>
      </c>
    </row>
    <row r="178" spans="1:7" x14ac:dyDescent="0.35">
      <c r="A178" t="s">
        <v>681</v>
      </c>
      <c r="B178" t="s">
        <v>43</v>
      </c>
      <c r="C178">
        <v>12</v>
      </c>
      <c r="D178" s="3">
        <v>19.670000000000002</v>
      </c>
      <c r="E178" s="3">
        <v>236.04</v>
      </c>
      <c r="F178" s="5">
        <v>45424</v>
      </c>
      <c r="G178" t="str">
        <f t="shared" si="5"/>
        <v>2024</v>
      </c>
    </row>
    <row r="179" spans="1:7" x14ac:dyDescent="0.35">
      <c r="A179" t="s">
        <v>674</v>
      </c>
      <c r="B179" t="s">
        <v>38</v>
      </c>
      <c r="C179">
        <v>5</v>
      </c>
      <c r="D179" s="3">
        <v>25.83</v>
      </c>
      <c r="E179" s="3">
        <v>122.69</v>
      </c>
      <c r="F179" s="5">
        <v>45331</v>
      </c>
      <c r="G179" t="str">
        <f t="shared" si="5"/>
        <v>2024</v>
      </c>
    </row>
    <row r="180" spans="1:7" x14ac:dyDescent="0.35">
      <c r="A180" t="s">
        <v>633</v>
      </c>
      <c r="B180" t="s">
        <v>14</v>
      </c>
      <c r="C180">
        <v>10</v>
      </c>
      <c r="D180" s="3">
        <v>39.64</v>
      </c>
      <c r="E180" s="3">
        <v>336.94</v>
      </c>
      <c r="F180" s="5">
        <v>45862</v>
      </c>
      <c r="G180" t="str">
        <f t="shared" si="5"/>
        <v>2025</v>
      </c>
    </row>
    <row r="181" spans="1:7" x14ac:dyDescent="0.35">
      <c r="A181" t="s">
        <v>637</v>
      </c>
      <c r="B181" t="s">
        <v>43</v>
      </c>
      <c r="C181">
        <v>2</v>
      </c>
      <c r="D181" s="3">
        <v>21.14</v>
      </c>
      <c r="E181" s="3">
        <v>42.28</v>
      </c>
      <c r="F181" s="5">
        <v>45870</v>
      </c>
      <c r="G181" t="str">
        <f t="shared" si="5"/>
        <v>2025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7E69-C437-4C5C-9448-B5D8C7C1EB5F}">
  <dimension ref="B2:I3"/>
  <sheetViews>
    <sheetView tabSelected="1" zoomScaleNormal="100" workbookViewId="0">
      <selection activeCell="B3" sqref="B3"/>
    </sheetView>
  </sheetViews>
  <sheetFormatPr defaultRowHeight="14.5" x14ac:dyDescent="0.35"/>
  <cols>
    <col min="1" max="1" width="3.453125" customWidth="1"/>
    <col min="2" max="9" width="20.453125" customWidth="1"/>
  </cols>
  <sheetData>
    <row r="2" spans="2:9" ht="19" thickBot="1" x14ac:dyDescent="0.5">
      <c r="B2" s="4" t="s">
        <v>223</v>
      </c>
      <c r="C2" s="4" t="s">
        <v>224</v>
      </c>
      <c r="D2" s="4" t="s">
        <v>225</v>
      </c>
      <c r="E2" s="4" t="s">
        <v>226</v>
      </c>
      <c r="F2" s="4" t="s">
        <v>227</v>
      </c>
      <c r="G2" s="4" t="s">
        <v>228</v>
      </c>
      <c r="H2" s="4" t="s">
        <v>229</v>
      </c>
      <c r="I2" s="4" t="s">
        <v>9</v>
      </c>
    </row>
    <row r="3" spans="2:9" x14ac:dyDescent="0.35">
      <c r="B3" t="s">
        <v>260</v>
      </c>
      <c r="C3" t="str" cm="1">
        <f t="array" ref="C3:I3">DGET(Customers!A1:H201,{2,3,4,5,6,7,8},B2:B3)</f>
        <v>Blue Ridge Services</v>
      </c>
      <c r="D3" t="str">
        <v>Finance</v>
      </c>
      <c r="E3" t="str">
        <v>Greenville</v>
      </c>
      <c r="F3" t="str">
        <v>NJ</v>
      </c>
      <c r="G3" t="str">
        <v>East</v>
      </c>
      <c r="H3" t="str">
        <v>Standard</v>
      </c>
      <c r="I3" t="str">
        <v>No</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1"/>
  <sheetViews>
    <sheetView zoomScale="90" zoomScaleNormal="90" workbookViewId="0">
      <selection activeCell="A8" sqref="A8"/>
    </sheetView>
  </sheetViews>
  <sheetFormatPr defaultRowHeight="14.5" x14ac:dyDescent="0.35"/>
  <cols>
    <col min="1" max="1" width="14.81640625" bestFit="1" customWidth="1"/>
    <col min="2" max="2" width="26" customWidth="1"/>
    <col min="3" max="3" width="17.1796875" customWidth="1"/>
    <col min="4" max="4" width="15.453125" customWidth="1"/>
    <col min="5" max="5" width="10" customWidth="1"/>
    <col min="6" max="6" width="11.54296875" customWidth="1"/>
    <col min="7" max="7" width="16.54296875" customWidth="1"/>
    <col min="8" max="8" width="10" customWidth="1"/>
  </cols>
  <sheetData>
    <row r="1" spans="1:8" ht="19" thickBot="1" x14ac:dyDescent="0.5">
      <c r="A1" s="4" t="s">
        <v>223</v>
      </c>
      <c r="B1" s="4" t="s">
        <v>224</v>
      </c>
      <c r="C1" s="4" t="s">
        <v>225</v>
      </c>
      <c r="D1" s="4" t="s">
        <v>226</v>
      </c>
      <c r="E1" s="4" t="s">
        <v>227</v>
      </c>
      <c r="F1" s="4" t="s">
        <v>228</v>
      </c>
      <c r="G1" s="4" t="s">
        <v>229</v>
      </c>
      <c r="H1" s="4" t="s">
        <v>9</v>
      </c>
    </row>
    <row r="2" spans="1:8" x14ac:dyDescent="0.35">
      <c r="A2" t="s">
        <v>230</v>
      </c>
      <c r="B2" t="s">
        <v>231</v>
      </c>
      <c r="C2" t="s">
        <v>232</v>
      </c>
      <c r="D2" t="s">
        <v>233</v>
      </c>
      <c r="E2" t="s">
        <v>234</v>
      </c>
      <c r="F2" t="s">
        <v>235</v>
      </c>
      <c r="G2" t="s">
        <v>236</v>
      </c>
      <c r="H2" t="s">
        <v>237</v>
      </c>
    </row>
    <row r="3" spans="1:8" x14ac:dyDescent="0.35">
      <c r="A3" t="s">
        <v>238</v>
      </c>
      <c r="B3" t="s">
        <v>239</v>
      </c>
      <c r="C3" t="s">
        <v>240</v>
      </c>
      <c r="D3" t="s">
        <v>241</v>
      </c>
      <c r="E3" t="s">
        <v>242</v>
      </c>
      <c r="F3" t="s">
        <v>243</v>
      </c>
      <c r="G3" t="s">
        <v>236</v>
      </c>
      <c r="H3" t="s">
        <v>237</v>
      </c>
    </row>
    <row r="4" spans="1:8" x14ac:dyDescent="0.35">
      <c r="A4" t="s">
        <v>244</v>
      </c>
      <c r="B4" t="s">
        <v>245</v>
      </c>
      <c r="C4" t="s">
        <v>240</v>
      </c>
      <c r="D4" t="s">
        <v>246</v>
      </c>
      <c r="E4" t="s">
        <v>247</v>
      </c>
      <c r="F4" t="s">
        <v>235</v>
      </c>
      <c r="G4" t="s">
        <v>236</v>
      </c>
      <c r="H4" t="s">
        <v>237</v>
      </c>
    </row>
    <row r="5" spans="1:8" x14ac:dyDescent="0.35">
      <c r="A5" t="s">
        <v>248</v>
      </c>
      <c r="B5" t="s">
        <v>249</v>
      </c>
      <c r="C5" t="s">
        <v>240</v>
      </c>
      <c r="D5" t="s">
        <v>250</v>
      </c>
      <c r="E5" t="s">
        <v>251</v>
      </c>
      <c r="G5" t="s">
        <v>236</v>
      </c>
      <c r="H5" t="s">
        <v>237</v>
      </c>
    </row>
    <row r="6" spans="1:8" x14ac:dyDescent="0.35">
      <c r="A6" t="s">
        <v>252</v>
      </c>
      <c r="B6" t="s">
        <v>253</v>
      </c>
      <c r="C6" t="s">
        <v>254</v>
      </c>
      <c r="D6" t="s">
        <v>255</v>
      </c>
      <c r="E6" t="s">
        <v>256</v>
      </c>
      <c r="F6" t="s">
        <v>243</v>
      </c>
      <c r="G6" t="s">
        <v>236</v>
      </c>
      <c r="H6" t="s">
        <v>237</v>
      </c>
    </row>
    <row r="7" spans="1:8" x14ac:dyDescent="0.35">
      <c r="A7" t="s">
        <v>257</v>
      </c>
      <c r="B7" t="s">
        <v>258</v>
      </c>
      <c r="C7" t="s">
        <v>254</v>
      </c>
      <c r="D7" t="s">
        <v>246</v>
      </c>
      <c r="E7" t="s">
        <v>259</v>
      </c>
      <c r="F7" t="s">
        <v>235</v>
      </c>
      <c r="G7" t="s">
        <v>236</v>
      </c>
      <c r="H7" t="s">
        <v>237</v>
      </c>
    </row>
    <row r="8" spans="1:8" x14ac:dyDescent="0.35">
      <c r="A8" t="s">
        <v>260</v>
      </c>
      <c r="B8" t="s">
        <v>261</v>
      </c>
      <c r="C8" t="s">
        <v>254</v>
      </c>
      <c r="D8" t="s">
        <v>262</v>
      </c>
      <c r="E8" t="s">
        <v>263</v>
      </c>
      <c r="F8" t="s">
        <v>264</v>
      </c>
      <c r="G8" t="s">
        <v>236</v>
      </c>
      <c r="H8" t="s">
        <v>265</v>
      </c>
    </row>
    <row r="9" spans="1:8" x14ac:dyDescent="0.35">
      <c r="A9" t="s">
        <v>266</v>
      </c>
      <c r="B9" t="s">
        <v>267</v>
      </c>
      <c r="C9" t="s">
        <v>240</v>
      </c>
      <c r="D9" t="s">
        <v>268</v>
      </c>
      <c r="E9" t="s">
        <v>269</v>
      </c>
      <c r="F9" t="s">
        <v>243</v>
      </c>
      <c r="G9" t="s">
        <v>236</v>
      </c>
      <c r="H9" t="s">
        <v>237</v>
      </c>
    </row>
    <row r="10" spans="1:8" x14ac:dyDescent="0.35">
      <c r="A10" t="s">
        <v>270</v>
      </c>
      <c r="B10" t="s">
        <v>231</v>
      </c>
      <c r="C10" t="s">
        <v>240</v>
      </c>
      <c r="D10" t="s">
        <v>233</v>
      </c>
      <c r="E10" t="s">
        <v>271</v>
      </c>
      <c r="F10" t="s">
        <v>235</v>
      </c>
      <c r="G10" t="s">
        <v>236</v>
      </c>
      <c r="H10" t="s">
        <v>237</v>
      </c>
    </row>
    <row r="11" spans="1:8" x14ac:dyDescent="0.35">
      <c r="A11" t="s">
        <v>272</v>
      </c>
      <c r="B11" t="s">
        <v>3408</v>
      </c>
      <c r="C11" t="s">
        <v>274</v>
      </c>
      <c r="D11" t="s">
        <v>275</v>
      </c>
      <c r="E11" t="s">
        <v>256</v>
      </c>
      <c r="F11" t="s">
        <v>243</v>
      </c>
      <c r="G11" t="s">
        <v>236</v>
      </c>
      <c r="H11" t="s">
        <v>237</v>
      </c>
    </row>
    <row r="12" spans="1:8" x14ac:dyDescent="0.35">
      <c r="A12" t="s">
        <v>276</v>
      </c>
      <c r="B12" t="s">
        <v>277</v>
      </c>
      <c r="C12" t="s">
        <v>254</v>
      </c>
      <c r="D12" t="s">
        <v>246</v>
      </c>
      <c r="E12" t="s">
        <v>242</v>
      </c>
      <c r="F12" t="s">
        <v>243</v>
      </c>
      <c r="G12" t="s">
        <v>236</v>
      </c>
      <c r="H12" t="s">
        <v>237</v>
      </c>
    </row>
    <row r="13" spans="1:8" x14ac:dyDescent="0.35">
      <c r="A13" t="s">
        <v>278</v>
      </c>
      <c r="B13" t="s">
        <v>279</v>
      </c>
      <c r="C13" t="s">
        <v>280</v>
      </c>
      <c r="D13" t="s">
        <v>262</v>
      </c>
      <c r="E13" t="s">
        <v>259</v>
      </c>
      <c r="F13" t="s">
        <v>235</v>
      </c>
      <c r="G13" t="s">
        <v>236</v>
      </c>
      <c r="H13" t="s">
        <v>237</v>
      </c>
    </row>
    <row r="14" spans="1:8" x14ac:dyDescent="0.35">
      <c r="A14" t="s">
        <v>281</v>
      </c>
      <c r="B14" t="s">
        <v>282</v>
      </c>
      <c r="C14" t="s">
        <v>274</v>
      </c>
      <c r="D14" t="s">
        <v>275</v>
      </c>
      <c r="E14" t="s">
        <v>269</v>
      </c>
      <c r="F14" t="s">
        <v>243</v>
      </c>
      <c r="G14" t="s">
        <v>236</v>
      </c>
      <c r="H14" t="s">
        <v>237</v>
      </c>
    </row>
    <row r="15" spans="1:8" x14ac:dyDescent="0.35">
      <c r="A15" t="s">
        <v>283</v>
      </c>
      <c r="B15" t="s">
        <v>284</v>
      </c>
      <c r="C15" t="s">
        <v>240</v>
      </c>
      <c r="D15" t="s">
        <v>241</v>
      </c>
      <c r="E15" t="s">
        <v>285</v>
      </c>
      <c r="F15" t="s">
        <v>264</v>
      </c>
      <c r="G15" t="s">
        <v>236</v>
      </c>
      <c r="H15" t="s">
        <v>237</v>
      </c>
    </row>
    <row r="16" spans="1:8" x14ac:dyDescent="0.35">
      <c r="A16" t="s">
        <v>286</v>
      </c>
      <c r="B16" t="s">
        <v>287</v>
      </c>
      <c r="C16" t="s">
        <v>288</v>
      </c>
      <c r="D16" t="s">
        <v>289</v>
      </c>
      <c r="E16" t="s">
        <v>290</v>
      </c>
      <c r="F16" t="s">
        <v>264</v>
      </c>
      <c r="G16" t="s">
        <v>236</v>
      </c>
      <c r="H16" t="s">
        <v>237</v>
      </c>
    </row>
    <row r="17" spans="1:8" x14ac:dyDescent="0.35">
      <c r="A17" t="s">
        <v>291</v>
      </c>
      <c r="B17" t="s">
        <v>292</v>
      </c>
      <c r="C17" t="s">
        <v>254</v>
      </c>
      <c r="D17" t="s">
        <v>293</v>
      </c>
      <c r="E17" t="s">
        <v>294</v>
      </c>
      <c r="F17" t="s">
        <v>243</v>
      </c>
      <c r="G17" t="s">
        <v>236</v>
      </c>
      <c r="H17" t="s">
        <v>237</v>
      </c>
    </row>
    <row r="18" spans="1:8" x14ac:dyDescent="0.35">
      <c r="A18" t="s">
        <v>295</v>
      </c>
      <c r="B18" t="s">
        <v>296</v>
      </c>
      <c r="C18" t="s">
        <v>297</v>
      </c>
      <c r="D18" t="s">
        <v>246</v>
      </c>
      <c r="E18" t="s">
        <v>298</v>
      </c>
      <c r="F18" t="s">
        <v>264</v>
      </c>
      <c r="G18" t="s">
        <v>236</v>
      </c>
      <c r="H18" t="s">
        <v>237</v>
      </c>
    </row>
    <row r="19" spans="1:8" x14ac:dyDescent="0.35">
      <c r="A19" t="s">
        <v>299</v>
      </c>
      <c r="B19" t="s">
        <v>300</v>
      </c>
      <c r="C19" t="s">
        <v>301</v>
      </c>
      <c r="D19" t="s">
        <v>268</v>
      </c>
      <c r="E19" t="s">
        <v>263</v>
      </c>
      <c r="F19" t="s">
        <v>264</v>
      </c>
      <c r="G19" t="s">
        <v>302</v>
      </c>
      <c r="H19" t="s">
        <v>237</v>
      </c>
    </row>
    <row r="20" spans="1:8" x14ac:dyDescent="0.35">
      <c r="A20" t="s">
        <v>303</v>
      </c>
      <c r="B20" t="s">
        <v>304</v>
      </c>
      <c r="C20" t="s">
        <v>301</v>
      </c>
      <c r="D20" t="s">
        <v>233</v>
      </c>
      <c r="E20" t="s">
        <v>305</v>
      </c>
      <c r="F20" t="s">
        <v>243</v>
      </c>
      <c r="G20" t="s">
        <v>236</v>
      </c>
      <c r="H20" t="s">
        <v>237</v>
      </c>
    </row>
    <row r="21" spans="1:8" x14ac:dyDescent="0.35">
      <c r="A21" t="s">
        <v>306</v>
      </c>
      <c r="B21" t="s">
        <v>307</v>
      </c>
      <c r="C21" t="s">
        <v>274</v>
      </c>
      <c r="D21" t="s">
        <v>308</v>
      </c>
      <c r="E21" t="s">
        <v>309</v>
      </c>
      <c r="G21" t="s">
        <v>236</v>
      </c>
      <c r="H21" t="s">
        <v>237</v>
      </c>
    </row>
    <row r="22" spans="1:8" x14ac:dyDescent="0.35">
      <c r="A22" t="s">
        <v>310</v>
      </c>
      <c r="B22" t="s">
        <v>311</v>
      </c>
      <c r="C22" t="s">
        <v>301</v>
      </c>
      <c r="D22" t="s">
        <v>241</v>
      </c>
      <c r="E22" t="s">
        <v>285</v>
      </c>
      <c r="F22" t="s">
        <v>264</v>
      </c>
      <c r="G22" t="s">
        <v>302</v>
      </c>
      <c r="H22" t="s">
        <v>237</v>
      </c>
    </row>
    <row r="23" spans="1:8" x14ac:dyDescent="0.35">
      <c r="A23" t="s">
        <v>312</v>
      </c>
      <c r="B23" t="s">
        <v>313</v>
      </c>
      <c r="C23" t="s">
        <v>288</v>
      </c>
      <c r="D23" t="s">
        <v>246</v>
      </c>
      <c r="E23" t="s">
        <v>271</v>
      </c>
      <c r="F23" t="s">
        <v>235</v>
      </c>
      <c r="G23" t="s">
        <v>314</v>
      </c>
      <c r="H23" t="s">
        <v>237</v>
      </c>
    </row>
    <row r="24" spans="1:8" x14ac:dyDescent="0.35">
      <c r="A24" t="s">
        <v>315</v>
      </c>
      <c r="B24" t="s">
        <v>316</v>
      </c>
      <c r="C24" t="s">
        <v>301</v>
      </c>
      <c r="D24" t="s">
        <v>268</v>
      </c>
      <c r="E24" t="s">
        <v>234</v>
      </c>
      <c r="F24" t="s">
        <v>235</v>
      </c>
      <c r="G24" t="s">
        <v>236</v>
      </c>
      <c r="H24" t="s">
        <v>237</v>
      </c>
    </row>
    <row r="25" spans="1:8" x14ac:dyDescent="0.35">
      <c r="A25" t="s">
        <v>317</v>
      </c>
      <c r="B25" t="s">
        <v>318</v>
      </c>
      <c r="C25" t="s">
        <v>301</v>
      </c>
      <c r="D25" t="s">
        <v>268</v>
      </c>
      <c r="E25" t="s">
        <v>319</v>
      </c>
      <c r="F25" t="s">
        <v>264</v>
      </c>
      <c r="G25" t="s">
        <v>302</v>
      </c>
      <c r="H25" t="s">
        <v>237</v>
      </c>
    </row>
    <row r="26" spans="1:8" x14ac:dyDescent="0.35">
      <c r="A26" t="s">
        <v>320</v>
      </c>
      <c r="B26" t="s">
        <v>321</v>
      </c>
      <c r="C26" t="s">
        <v>288</v>
      </c>
      <c r="D26" t="s">
        <v>233</v>
      </c>
      <c r="E26" t="s">
        <v>259</v>
      </c>
      <c r="F26" t="s">
        <v>235</v>
      </c>
      <c r="G26" t="s">
        <v>236</v>
      </c>
      <c r="H26" t="s">
        <v>265</v>
      </c>
    </row>
    <row r="27" spans="1:8" x14ac:dyDescent="0.35">
      <c r="A27" t="s">
        <v>322</v>
      </c>
      <c r="B27" t="s">
        <v>245</v>
      </c>
      <c r="C27" t="s">
        <v>274</v>
      </c>
      <c r="D27" t="s">
        <v>323</v>
      </c>
      <c r="E27" t="s">
        <v>294</v>
      </c>
      <c r="F27" t="s">
        <v>243</v>
      </c>
      <c r="G27" t="s">
        <v>236</v>
      </c>
      <c r="H27" t="s">
        <v>237</v>
      </c>
    </row>
    <row r="28" spans="1:8" x14ac:dyDescent="0.35">
      <c r="A28" t="s">
        <v>324</v>
      </c>
      <c r="B28" t="s">
        <v>296</v>
      </c>
      <c r="C28" t="s">
        <v>288</v>
      </c>
      <c r="D28" t="s">
        <v>325</v>
      </c>
      <c r="E28" t="s">
        <v>326</v>
      </c>
      <c r="F28" t="s">
        <v>264</v>
      </c>
      <c r="G28" t="s">
        <v>302</v>
      </c>
      <c r="H28" t="s">
        <v>237</v>
      </c>
    </row>
    <row r="29" spans="1:8" x14ac:dyDescent="0.35">
      <c r="A29" t="s">
        <v>327</v>
      </c>
      <c r="B29" t="s">
        <v>328</v>
      </c>
      <c r="C29" t="s">
        <v>280</v>
      </c>
      <c r="D29" t="s">
        <v>323</v>
      </c>
      <c r="E29" t="s">
        <v>326</v>
      </c>
      <c r="F29" t="s">
        <v>264</v>
      </c>
      <c r="G29" t="s">
        <v>314</v>
      </c>
      <c r="H29" t="s">
        <v>237</v>
      </c>
    </row>
    <row r="30" spans="1:8" x14ac:dyDescent="0.35">
      <c r="A30" t="s">
        <v>329</v>
      </c>
      <c r="B30" t="s">
        <v>330</v>
      </c>
      <c r="C30" t="s">
        <v>297</v>
      </c>
      <c r="D30" t="s">
        <v>323</v>
      </c>
      <c r="E30" t="s">
        <v>259</v>
      </c>
      <c r="F30" t="s">
        <v>235</v>
      </c>
      <c r="G30" t="s">
        <v>302</v>
      </c>
      <c r="H30" t="s">
        <v>237</v>
      </c>
    </row>
    <row r="31" spans="1:8" x14ac:dyDescent="0.35">
      <c r="A31" t="s">
        <v>331</v>
      </c>
      <c r="B31" t="s">
        <v>332</v>
      </c>
      <c r="C31" t="s">
        <v>254</v>
      </c>
      <c r="D31" t="s">
        <v>255</v>
      </c>
      <c r="E31" t="s">
        <v>333</v>
      </c>
      <c r="F31" t="s">
        <v>264</v>
      </c>
      <c r="G31" t="s">
        <v>302</v>
      </c>
      <c r="H31" t="s">
        <v>237</v>
      </c>
    </row>
    <row r="32" spans="1:8" x14ac:dyDescent="0.35">
      <c r="A32" t="s">
        <v>334</v>
      </c>
      <c r="B32" t="s">
        <v>335</v>
      </c>
      <c r="C32" t="s">
        <v>280</v>
      </c>
      <c r="D32" t="s">
        <v>336</v>
      </c>
      <c r="E32" t="s">
        <v>294</v>
      </c>
      <c r="F32" t="s">
        <v>243</v>
      </c>
      <c r="G32" t="s">
        <v>236</v>
      </c>
      <c r="H32" t="s">
        <v>237</v>
      </c>
    </row>
    <row r="33" spans="1:8" x14ac:dyDescent="0.35">
      <c r="A33" t="s">
        <v>337</v>
      </c>
      <c r="B33" t="s">
        <v>338</v>
      </c>
      <c r="C33" t="s">
        <v>274</v>
      </c>
      <c r="D33" t="s">
        <v>308</v>
      </c>
      <c r="E33" t="s">
        <v>294</v>
      </c>
      <c r="F33" t="s">
        <v>243</v>
      </c>
      <c r="G33" t="s">
        <v>236</v>
      </c>
      <c r="H33" t="s">
        <v>265</v>
      </c>
    </row>
    <row r="34" spans="1:8" x14ac:dyDescent="0.35">
      <c r="A34" t="s">
        <v>339</v>
      </c>
      <c r="B34" t="s">
        <v>340</v>
      </c>
      <c r="C34" t="s">
        <v>341</v>
      </c>
      <c r="D34" t="s">
        <v>275</v>
      </c>
      <c r="E34" t="s">
        <v>326</v>
      </c>
      <c r="F34" t="s">
        <v>264</v>
      </c>
      <c r="G34" t="s">
        <v>236</v>
      </c>
      <c r="H34" t="s">
        <v>237</v>
      </c>
    </row>
    <row r="35" spans="1:8" x14ac:dyDescent="0.35">
      <c r="A35" t="s">
        <v>342</v>
      </c>
      <c r="B35" t="s">
        <v>245</v>
      </c>
      <c r="C35" t="s">
        <v>297</v>
      </c>
      <c r="D35" t="s">
        <v>275</v>
      </c>
      <c r="E35" t="s">
        <v>251</v>
      </c>
      <c r="F35" t="s">
        <v>235</v>
      </c>
      <c r="G35" t="s">
        <v>302</v>
      </c>
      <c r="H35" t="s">
        <v>237</v>
      </c>
    </row>
    <row r="36" spans="1:8" x14ac:dyDescent="0.35">
      <c r="A36" t="s">
        <v>343</v>
      </c>
      <c r="B36" t="s">
        <v>344</v>
      </c>
      <c r="C36" t="s">
        <v>301</v>
      </c>
      <c r="D36" t="s">
        <v>262</v>
      </c>
      <c r="E36" t="s">
        <v>271</v>
      </c>
      <c r="F36" t="s">
        <v>235</v>
      </c>
      <c r="G36" t="s">
        <v>302</v>
      </c>
      <c r="H36" t="s">
        <v>237</v>
      </c>
    </row>
    <row r="37" spans="1:8" x14ac:dyDescent="0.35">
      <c r="A37" t="s">
        <v>345</v>
      </c>
      <c r="B37" t="s">
        <v>346</v>
      </c>
      <c r="C37" t="s">
        <v>341</v>
      </c>
      <c r="D37" t="s">
        <v>325</v>
      </c>
      <c r="E37" t="s">
        <v>333</v>
      </c>
      <c r="F37" t="s">
        <v>264</v>
      </c>
      <c r="G37" t="s">
        <v>236</v>
      </c>
      <c r="H37" t="s">
        <v>237</v>
      </c>
    </row>
    <row r="38" spans="1:8" x14ac:dyDescent="0.35">
      <c r="A38" t="s">
        <v>347</v>
      </c>
      <c r="B38" t="s">
        <v>348</v>
      </c>
      <c r="C38" t="s">
        <v>349</v>
      </c>
      <c r="D38" t="s">
        <v>350</v>
      </c>
      <c r="E38" t="s">
        <v>294</v>
      </c>
      <c r="F38" t="s">
        <v>243</v>
      </c>
      <c r="G38" t="s">
        <v>236</v>
      </c>
      <c r="H38" t="s">
        <v>237</v>
      </c>
    </row>
    <row r="39" spans="1:8" x14ac:dyDescent="0.35">
      <c r="A39" t="s">
        <v>351</v>
      </c>
      <c r="B39" t="s">
        <v>352</v>
      </c>
      <c r="C39" t="s">
        <v>280</v>
      </c>
      <c r="D39" t="s">
        <v>250</v>
      </c>
      <c r="E39" t="s">
        <v>319</v>
      </c>
      <c r="F39" t="s">
        <v>264</v>
      </c>
      <c r="G39" t="s">
        <v>236</v>
      </c>
      <c r="H39" t="s">
        <v>237</v>
      </c>
    </row>
    <row r="40" spans="1:8" x14ac:dyDescent="0.35">
      <c r="A40" t="s">
        <v>353</v>
      </c>
      <c r="B40" t="s">
        <v>258</v>
      </c>
      <c r="C40" t="s">
        <v>288</v>
      </c>
      <c r="D40" t="s">
        <v>323</v>
      </c>
      <c r="E40" t="s">
        <v>263</v>
      </c>
      <c r="F40" t="s">
        <v>264</v>
      </c>
      <c r="G40" t="s">
        <v>236</v>
      </c>
      <c r="H40" t="s">
        <v>237</v>
      </c>
    </row>
    <row r="41" spans="1:8" x14ac:dyDescent="0.35">
      <c r="A41" t="s">
        <v>354</v>
      </c>
      <c r="B41" t="s">
        <v>321</v>
      </c>
      <c r="C41" t="s">
        <v>240</v>
      </c>
      <c r="D41" t="s">
        <v>275</v>
      </c>
      <c r="E41" t="s">
        <v>242</v>
      </c>
      <c r="F41" t="s">
        <v>243</v>
      </c>
      <c r="G41" t="s">
        <v>236</v>
      </c>
      <c r="H41" t="s">
        <v>237</v>
      </c>
    </row>
    <row r="42" spans="1:8" x14ac:dyDescent="0.35">
      <c r="A42" t="s">
        <v>355</v>
      </c>
      <c r="B42" t="s">
        <v>356</v>
      </c>
      <c r="C42" t="s">
        <v>297</v>
      </c>
      <c r="D42" t="s">
        <v>255</v>
      </c>
      <c r="E42" t="s">
        <v>357</v>
      </c>
      <c r="F42" t="s">
        <v>264</v>
      </c>
      <c r="G42" t="s">
        <v>236</v>
      </c>
      <c r="H42" t="s">
        <v>237</v>
      </c>
    </row>
    <row r="43" spans="1:8" x14ac:dyDescent="0.35">
      <c r="A43" t="s">
        <v>358</v>
      </c>
      <c r="B43" t="s">
        <v>287</v>
      </c>
      <c r="C43" t="s">
        <v>232</v>
      </c>
      <c r="D43" t="s">
        <v>293</v>
      </c>
      <c r="E43" t="s">
        <v>269</v>
      </c>
      <c r="F43" t="s">
        <v>243</v>
      </c>
      <c r="G43" t="s">
        <v>302</v>
      </c>
      <c r="H43" t="s">
        <v>237</v>
      </c>
    </row>
    <row r="44" spans="1:8" x14ac:dyDescent="0.35">
      <c r="A44" t="s">
        <v>359</v>
      </c>
      <c r="B44" t="s">
        <v>360</v>
      </c>
      <c r="C44" t="s">
        <v>288</v>
      </c>
      <c r="D44" t="s">
        <v>361</v>
      </c>
      <c r="E44" t="s">
        <v>234</v>
      </c>
      <c r="F44" t="s">
        <v>235</v>
      </c>
      <c r="G44" t="s">
        <v>302</v>
      </c>
      <c r="H44" t="s">
        <v>237</v>
      </c>
    </row>
    <row r="45" spans="1:8" x14ac:dyDescent="0.35">
      <c r="A45" t="s">
        <v>362</v>
      </c>
      <c r="B45" t="s">
        <v>363</v>
      </c>
      <c r="C45" t="s">
        <v>232</v>
      </c>
      <c r="D45" t="s">
        <v>293</v>
      </c>
      <c r="E45" t="s">
        <v>259</v>
      </c>
      <c r="F45" t="s">
        <v>235</v>
      </c>
      <c r="G45" t="s">
        <v>302</v>
      </c>
      <c r="H45" t="s">
        <v>265</v>
      </c>
    </row>
    <row r="46" spans="1:8" x14ac:dyDescent="0.35">
      <c r="A46" t="s">
        <v>364</v>
      </c>
      <c r="B46" t="s">
        <v>365</v>
      </c>
      <c r="C46" t="s">
        <v>288</v>
      </c>
      <c r="D46" t="s">
        <v>325</v>
      </c>
      <c r="E46" t="s">
        <v>309</v>
      </c>
      <c r="F46" t="s">
        <v>243</v>
      </c>
      <c r="G46" t="s">
        <v>236</v>
      </c>
      <c r="H46" t="s">
        <v>237</v>
      </c>
    </row>
    <row r="47" spans="1:8" x14ac:dyDescent="0.35">
      <c r="A47" t="s">
        <v>366</v>
      </c>
      <c r="B47" t="s">
        <v>245</v>
      </c>
      <c r="C47" t="s">
        <v>301</v>
      </c>
      <c r="D47" t="s">
        <v>323</v>
      </c>
      <c r="E47" t="s">
        <v>294</v>
      </c>
      <c r="F47" t="s">
        <v>243</v>
      </c>
      <c r="G47" t="s">
        <v>236</v>
      </c>
      <c r="H47" t="s">
        <v>237</v>
      </c>
    </row>
    <row r="48" spans="1:8" x14ac:dyDescent="0.35">
      <c r="A48" t="s">
        <v>367</v>
      </c>
      <c r="B48" t="s">
        <v>368</v>
      </c>
      <c r="C48" t="s">
        <v>341</v>
      </c>
      <c r="D48" t="s">
        <v>350</v>
      </c>
      <c r="E48" t="s">
        <v>326</v>
      </c>
      <c r="F48" t="s">
        <v>264</v>
      </c>
      <c r="G48" t="s">
        <v>236</v>
      </c>
      <c r="H48" t="s">
        <v>237</v>
      </c>
    </row>
    <row r="49" spans="1:8" x14ac:dyDescent="0.35">
      <c r="A49" t="s">
        <v>369</v>
      </c>
      <c r="B49" t="s">
        <v>282</v>
      </c>
      <c r="C49" t="s">
        <v>341</v>
      </c>
      <c r="D49" t="s">
        <v>325</v>
      </c>
      <c r="E49" t="s">
        <v>269</v>
      </c>
      <c r="F49" t="s">
        <v>243</v>
      </c>
      <c r="G49" t="s">
        <v>236</v>
      </c>
      <c r="H49" t="s">
        <v>237</v>
      </c>
    </row>
    <row r="50" spans="1:8" x14ac:dyDescent="0.35">
      <c r="A50" t="s">
        <v>370</v>
      </c>
      <c r="B50" t="s">
        <v>371</v>
      </c>
      <c r="C50" t="s">
        <v>274</v>
      </c>
      <c r="D50" t="s">
        <v>336</v>
      </c>
      <c r="E50" t="s">
        <v>319</v>
      </c>
      <c r="F50" t="s">
        <v>264</v>
      </c>
      <c r="G50" t="s">
        <v>236</v>
      </c>
      <c r="H50" t="s">
        <v>237</v>
      </c>
    </row>
    <row r="51" spans="1:8" x14ac:dyDescent="0.35">
      <c r="A51" t="s">
        <v>372</v>
      </c>
      <c r="B51" t="s">
        <v>373</v>
      </c>
      <c r="C51" t="s">
        <v>341</v>
      </c>
      <c r="D51" t="s">
        <v>268</v>
      </c>
      <c r="E51" t="s">
        <v>234</v>
      </c>
      <c r="F51" t="s">
        <v>235</v>
      </c>
      <c r="G51" t="s">
        <v>236</v>
      </c>
      <c r="H51" t="s">
        <v>237</v>
      </c>
    </row>
    <row r="52" spans="1:8" x14ac:dyDescent="0.35">
      <c r="A52" t="s">
        <v>374</v>
      </c>
      <c r="B52" t="s">
        <v>375</v>
      </c>
      <c r="C52" t="s">
        <v>274</v>
      </c>
      <c r="D52" t="s">
        <v>233</v>
      </c>
      <c r="E52" t="s">
        <v>298</v>
      </c>
      <c r="F52" t="s">
        <v>264</v>
      </c>
      <c r="G52" t="s">
        <v>236</v>
      </c>
      <c r="H52" t="s">
        <v>237</v>
      </c>
    </row>
    <row r="53" spans="1:8" x14ac:dyDescent="0.35">
      <c r="A53" t="s">
        <v>376</v>
      </c>
      <c r="B53" t="s">
        <v>253</v>
      </c>
      <c r="C53" t="s">
        <v>301</v>
      </c>
      <c r="D53" t="s">
        <v>350</v>
      </c>
      <c r="E53" t="s">
        <v>285</v>
      </c>
      <c r="F53" t="s">
        <v>264</v>
      </c>
      <c r="G53" t="s">
        <v>236</v>
      </c>
      <c r="H53" t="s">
        <v>237</v>
      </c>
    </row>
    <row r="54" spans="1:8" x14ac:dyDescent="0.35">
      <c r="A54" t="s">
        <v>377</v>
      </c>
      <c r="B54" t="s">
        <v>378</v>
      </c>
      <c r="C54" t="s">
        <v>232</v>
      </c>
      <c r="D54" t="s">
        <v>250</v>
      </c>
      <c r="E54" t="s">
        <v>305</v>
      </c>
      <c r="F54" t="s">
        <v>243</v>
      </c>
      <c r="G54" t="s">
        <v>236</v>
      </c>
      <c r="H54" t="s">
        <v>237</v>
      </c>
    </row>
    <row r="55" spans="1:8" x14ac:dyDescent="0.35">
      <c r="A55" t="s">
        <v>379</v>
      </c>
      <c r="B55" t="s">
        <v>380</v>
      </c>
      <c r="C55" t="s">
        <v>232</v>
      </c>
      <c r="D55" t="s">
        <v>381</v>
      </c>
      <c r="E55" t="s">
        <v>357</v>
      </c>
      <c r="F55" t="s">
        <v>264</v>
      </c>
      <c r="G55" t="s">
        <v>236</v>
      </c>
      <c r="H55" t="s">
        <v>237</v>
      </c>
    </row>
    <row r="56" spans="1:8" x14ac:dyDescent="0.35">
      <c r="A56" t="s">
        <v>382</v>
      </c>
      <c r="B56" t="s">
        <v>383</v>
      </c>
      <c r="C56" t="s">
        <v>349</v>
      </c>
      <c r="D56" t="s">
        <v>293</v>
      </c>
      <c r="E56" t="s">
        <v>333</v>
      </c>
      <c r="F56" t="s">
        <v>264</v>
      </c>
      <c r="G56" t="s">
        <v>236</v>
      </c>
      <c r="H56" t="s">
        <v>237</v>
      </c>
    </row>
    <row r="57" spans="1:8" x14ac:dyDescent="0.35">
      <c r="A57" t="s">
        <v>384</v>
      </c>
      <c r="B57" t="s">
        <v>385</v>
      </c>
      <c r="C57" t="s">
        <v>232</v>
      </c>
      <c r="D57" t="s">
        <v>241</v>
      </c>
      <c r="E57" t="s">
        <v>263</v>
      </c>
      <c r="F57" t="s">
        <v>264</v>
      </c>
      <c r="G57" t="s">
        <v>236</v>
      </c>
      <c r="H57" t="s">
        <v>237</v>
      </c>
    </row>
    <row r="58" spans="1:8" x14ac:dyDescent="0.35">
      <c r="A58" t="s">
        <v>386</v>
      </c>
      <c r="B58" t="s">
        <v>387</v>
      </c>
      <c r="C58" t="s">
        <v>232</v>
      </c>
      <c r="D58" t="s">
        <v>336</v>
      </c>
      <c r="E58" t="s">
        <v>269</v>
      </c>
      <c r="F58" t="s">
        <v>243</v>
      </c>
      <c r="G58" t="s">
        <v>302</v>
      </c>
      <c r="H58" t="s">
        <v>237</v>
      </c>
    </row>
    <row r="59" spans="1:8" x14ac:dyDescent="0.35">
      <c r="A59" t="s">
        <v>388</v>
      </c>
      <c r="B59" t="s">
        <v>389</v>
      </c>
      <c r="C59" t="s">
        <v>254</v>
      </c>
      <c r="D59" t="s">
        <v>255</v>
      </c>
      <c r="E59" t="s">
        <v>294</v>
      </c>
      <c r="F59" t="s">
        <v>243</v>
      </c>
      <c r="G59" t="s">
        <v>236</v>
      </c>
      <c r="H59" t="s">
        <v>237</v>
      </c>
    </row>
    <row r="60" spans="1:8" x14ac:dyDescent="0.35">
      <c r="A60" t="s">
        <v>390</v>
      </c>
      <c r="B60" t="s">
        <v>391</v>
      </c>
      <c r="C60" t="s">
        <v>280</v>
      </c>
      <c r="D60" t="s">
        <v>392</v>
      </c>
      <c r="E60" t="s">
        <v>393</v>
      </c>
      <c r="F60" t="s">
        <v>235</v>
      </c>
      <c r="G60" t="s">
        <v>236</v>
      </c>
      <c r="H60" t="s">
        <v>237</v>
      </c>
    </row>
    <row r="61" spans="1:8" x14ac:dyDescent="0.35">
      <c r="A61" t="s">
        <v>394</v>
      </c>
      <c r="B61" t="s">
        <v>356</v>
      </c>
      <c r="C61" t="s">
        <v>232</v>
      </c>
      <c r="D61" t="s">
        <v>325</v>
      </c>
      <c r="E61" t="s">
        <v>298</v>
      </c>
      <c r="F61" t="s">
        <v>264</v>
      </c>
      <c r="G61" t="s">
        <v>236</v>
      </c>
      <c r="H61" t="s">
        <v>237</v>
      </c>
    </row>
    <row r="62" spans="1:8" x14ac:dyDescent="0.35">
      <c r="A62" t="s">
        <v>395</v>
      </c>
      <c r="B62" t="s">
        <v>396</v>
      </c>
      <c r="C62" t="s">
        <v>301</v>
      </c>
      <c r="D62" t="s">
        <v>323</v>
      </c>
      <c r="E62" t="s">
        <v>319</v>
      </c>
      <c r="F62" t="s">
        <v>264</v>
      </c>
      <c r="G62" t="s">
        <v>236</v>
      </c>
      <c r="H62" t="s">
        <v>237</v>
      </c>
    </row>
    <row r="63" spans="1:8" x14ac:dyDescent="0.35">
      <c r="A63" t="s">
        <v>397</v>
      </c>
      <c r="B63" t="s">
        <v>360</v>
      </c>
      <c r="C63" t="s">
        <v>240</v>
      </c>
      <c r="D63" t="s">
        <v>275</v>
      </c>
      <c r="E63" t="s">
        <v>298</v>
      </c>
      <c r="G63" t="s">
        <v>236</v>
      </c>
      <c r="H63" t="s">
        <v>237</v>
      </c>
    </row>
    <row r="64" spans="1:8" x14ac:dyDescent="0.35">
      <c r="A64" t="s">
        <v>398</v>
      </c>
      <c r="B64" t="s">
        <v>399</v>
      </c>
      <c r="C64" t="s">
        <v>232</v>
      </c>
      <c r="D64" t="s">
        <v>336</v>
      </c>
      <c r="E64" t="s">
        <v>326</v>
      </c>
      <c r="F64" t="s">
        <v>264</v>
      </c>
      <c r="G64" t="s">
        <v>236</v>
      </c>
      <c r="H64" t="s">
        <v>237</v>
      </c>
    </row>
    <row r="65" spans="1:8" x14ac:dyDescent="0.35">
      <c r="A65" t="s">
        <v>400</v>
      </c>
      <c r="B65" t="s">
        <v>383</v>
      </c>
      <c r="C65" t="s">
        <v>254</v>
      </c>
      <c r="D65" t="s">
        <v>262</v>
      </c>
      <c r="E65" t="s">
        <v>234</v>
      </c>
      <c r="F65" t="s">
        <v>235</v>
      </c>
      <c r="G65" t="s">
        <v>236</v>
      </c>
      <c r="H65" t="s">
        <v>237</v>
      </c>
    </row>
    <row r="66" spans="1:8" x14ac:dyDescent="0.35">
      <c r="A66" t="s">
        <v>401</v>
      </c>
      <c r="B66" t="s">
        <v>402</v>
      </c>
      <c r="C66" t="s">
        <v>274</v>
      </c>
      <c r="D66" t="s">
        <v>293</v>
      </c>
      <c r="E66" t="s">
        <v>309</v>
      </c>
      <c r="F66" t="s">
        <v>243</v>
      </c>
      <c r="G66" t="s">
        <v>302</v>
      </c>
      <c r="H66" t="s">
        <v>237</v>
      </c>
    </row>
    <row r="67" spans="1:8" x14ac:dyDescent="0.35">
      <c r="A67" t="s">
        <v>403</v>
      </c>
      <c r="B67" t="s">
        <v>404</v>
      </c>
      <c r="C67" t="s">
        <v>274</v>
      </c>
      <c r="D67" t="s">
        <v>246</v>
      </c>
      <c r="E67" t="s">
        <v>357</v>
      </c>
      <c r="F67" t="s">
        <v>264</v>
      </c>
      <c r="G67" t="s">
        <v>236</v>
      </c>
      <c r="H67" t="s">
        <v>237</v>
      </c>
    </row>
    <row r="68" spans="1:8" x14ac:dyDescent="0.35">
      <c r="A68" t="s">
        <v>405</v>
      </c>
      <c r="B68" t="s">
        <v>404</v>
      </c>
      <c r="C68" t="s">
        <v>254</v>
      </c>
      <c r="D68" t="s">
        <v>246</v>
      </c>
      <c r="E68" t="s">
        <v>333</v>
      </c>
      <c r="F68" t="s">
        <v>264</v>
      </c>
      <c r="G68" t="s">
        <v>314</v>
      </c>
      <c r="H68" t="s">
        <v>237</v>
      </c>
    </row>
    <row r="69" spans="1:8" x14ac:dyDescent="0.35">
      <c r="A69" t="s">
        <v>406</v>
      </c>
      <c r="B69" t="s">
        <v>287</v>
      </c>
      <c r="C69" t="s">
        <v>274</v>
      </c>
      <c r="D69" t="s">
        <v>262</v>
      </c>
      <c r="E69" t="s">
        <v>309</v>
      </c>
      <c r="F69" t="s">
        <v>243</v>
      </c>
      <c r="G69" t="s">
        <v>236</v>
      </c>
      <c r="H69" t="s">
        <v>237</v>
      </c>
    </row>
    <row r="70" spans="1:8" x14ac:dyDescent="0.35">
      <c r="A70" t="s">
        <v>407</v>
      </c>
      <c r="B70" t="s">
        <v>408</v>
      </c>
      <c r="C70" t="s">
        <v>274</v>
      </c>
      <c r="D70" t="s">
        <v>246</v>
      </c>
      <c r="E70" t="s">
        <v>234</v>
      </c>
      <c r="F70" t="s">
        <v>235</v>
      </c>
      <c r="G70" t="s">
        <v>236</v>
      </c>
      <c r="H70" t="s">
        <v>237</v>
      </c>
    </row>
    <row r="71" spans="1:8" x14ac:dyDescent="0.35">
      <c r="A71" t="s">
        <v>409</v>
      </c>
      <c r="B71" t="s">
        <v>410</v>
      </c>
      <c r="C71" t="s">
        <v>254</v>
      </c>
      <c r="D71" t="s">
        <v>336</v>
      </c>
      <c r="E71" t="s">
        <v>251</v>
      </c>
      <c r="F71" t="s">
        <v>235</v>
      </c>
      <c r="G71" t="s">
        <v>236</v>
      </c>
      <c r="H71" t="s">
        <v>237</v>
      </c>
    </row>
    <row r="72" spans="1:8" x14ac:dyDescent="0.35">
      <c r="A72" t="s">
        <v>411</v>
      </c>
      <c r="B72" t="s">
        <v>412</v>
      </c>
      <c r="C72" t="s">
        <v>232</v>
      </c>
      <c r="D72" t="s">
        <v>246</v>
      </c>
      <c r="E72" t="s">
        <v>413</v>
      </c>
      <c r="F72" t="s">
        <v>235</v>
      </c>
      <c r="G72" t="s">
        <v>302</v>
      </c>
      <c r="H72" t="s">
        <v>237</v>
      </c>
    </row>
    <row r="73" spans="1:8" x14ac:dyDescent="0.35">
      <c r="A73" t="s">
        <v>414</v>
      </c>
      <c r="B73" t="s">
        <v>415</v>
      </c>
      <c r="C73" t="s">
        <v>280</v>
      </c>
      <c r="D73" t="s">
        <v>255</v>
      </c>
      <c r="E73" t="s">
        <v>393</v>
      </c>
      <c r="F73" t="s">
        <v>235</v>
      </c>
      <c r="G73" t="s">
        <v>236</v>
      </c>
      <c r="H73" t="s">
        <v>237</v>
      </c>
    </row>
    <row r="74" spans="1:8" x14ac:dyDescent="0.35">
      <c r="A74" t="s">
        <v>416</v>
      </c>
      <c r="B74" t="s">
        <v>417</v>
      </c>
      <c r="C74" t="s">
        <v>240</v>
      </c>
      <c r="D74" t="s">
        <v>336</v>
      </c>
      <c r="E74" t="s">
        <v>263</v>
      </c>
      <c r="F74" t="s">
        <v>264</v>
      </c>
      <c r="G74" t="s">
        <v>236</v>
      </c>
      <c r="H74" t="s">
        <v>265</v>
      </c>
    </row>
    <row r="75" spans="1:8" x14ac:dyDescent="0.35">
      <c r="A75" t="s">
        <v>418</v>
      </c>
      <c r="B75" t="s">
        <v>253</v>
      </c>
      <c r="C75" t="s">
        <v>301</v>
      </c>
      <c r="D75" t="s">
        <v>233</v>
      </c>
      <c r="E75" t="s">
        <v>263</v>
      </c>
      <c r="F75" t="s">
        <v>264</v>
      </c>
      <c r="G75" t="s">
        <v>302</v>
      </c>
      <c r="H75" t="s">
        <v>237</v>
      </c>
    </row>
    <row r="76" spans="1:8" x14ac:dyDescent="0.35">
      <c r="A76" t="s">
        <v>419</v>
      </c>
      <c r="B76" t="s">
        <v>420</v>
      </c>
      <c r="C76" t="s">
        <v>280</v>
      </c>
      <c r="D76" t="s">
        <v>308</v>
      </c>
      <c r="E76" t="s">
        <v>305</v>
      </c>
      <c r="F76" t="s">
        <v>243</v>
      </c>
      <c r="G76" t="s">
        <v>302</v>
      </c>
      <c r="H76" t="s">
        <v>237</v>
      </c>
    </row>
    <row r="77" spans="1:8" x14ac:dyDescent="0.35">
      <c r="A77" t="s">
        <v>421</v>
      </c>
      <c r="B77" t="s">
        <v>422</v>
      </c>
      <c r="C77" t="s">
        <v>280</v>
      </c>
      <c r="D77" t="s">
        <v>250</v>
      </c>
      <c r="E77" t="s">
        <v>393</v>
      </c>
      <c r="F77" t="s">
        <v>235</v>
      </c>
      <c r="G77" t="s">
        <v>314</v>
      </c>
      <c r="H77" t="s">
        <v>237</v>
      </c>
    </row>
    <row r="78" spans="1:8" x14ac:dyDescent="0.35">
      <c r="A78" t="s">
        <v>423</v>
      </c>
      <c r="B78" t="s">
        <v>424</v>
      </c>
      <c r="C78" t="s">
        <v>341</v>
      </c>
      <c r="D78" t="s">
        <v>293</v>
      </c>
      <c r="E78" t="s">
        <v>247</v>
      </c>
      <c r="F78" t="s">
        <v>235</v>
      </c>
      <c r="G78" t="s">
        <v>236</v>
      </c>
      <c r="H78" t="s">
        <v>237</v>
      </c>
    </row>
    <row r="79" spans="1:8" x14ac:dyDescent="0.35">
      <c r="A79" t="s">
        <v>425</v>
      </c>
      <c r="B79" t="s">
        <v>404</v>
      </c>
      <c r="C79" t="s">
        <v>254</v>
      </c>
      <c r="D79" t="s">
        <v>325</v>
      </c>
      <c r="E79" t="s">
        <v>326</v>
      </c>
      <c r="F79" t="s">
        <v>264</v>
      </c>
      <c r="G79" t="s">
        <v>236</v>
      </c>
      <c r="H79" t="s">
        <v>237</v>
      </c>
    </row>
    <row r="80" spans="1:8" x14ac:dyDescent="0.35">
      <c r="A80" t="s">
        <v>426</v>
      </c>
      <c r="B80" t="s">
        <v>427</v>
      </c>
      <c r="C80" t="s">
        <v>341</v>
      </c>
      <c r="D80" t="s">
        <v>275</v>
      </c>
      <c r="E80" t="s">
        <v>263</v>
      </c>
      <c r="F80" t="s">
        <v>264</v>
      </c>
      <c r="G80" t="s">
        <v>314</v>
      </c>
      <c r="H80" t="s">
        <v>237</v>
      </c>
    </row>
    <row r="81" spans="1:8" x14ac:dyDescent="0.35">
      <c r="A81" t="s">
        <v>428</v>
      </c>
      <c r="B81" t="s">
        <v>429</v>
      </c>
      <c r="C81" t="s">
        <v>301</v>
      </c>
      <c r="D81" t="s">
        <v>323</v>
      </c>
      <c r="E81" t="s">
        <v>290</v>
      </c>
      <c r="F81" t="s">
        <v>264</v>
      </c>
      <c r="G81" t="s">
        <v>236</v>
      </c>
      <c r="H81" t="s">
        <v>237</v>
      </c>
    </row>
    <row r="82" spans="1:8" x14ac:dyDescent="0.35">
      <c r="A82" t="s">
        <v>430</v>
      </c>
      <c r="B82" t="s">
        <v>431</v>
      </c>
      <c r="C82" t="s">
        <v>240</v>
      </c>
      <c r="D82" t="s">
        <v>275</v>
      </c>
      <c r="E82" t="s">
        <v>285</v>
      </c>
      <c r="F82" t="s">
        <v>264</v>
      </c>
      <c r="G82" t="s">
        <v>236</v>
      </c>
      <c r="H82" t="s">
        <v>237</v>
      </c>
    </row>
    <row r="83" spans="1:8" x14ac:dyDescent="0.35">
      <c r="A83" t="s">
        <v>432</v>
      </c>
      <c r="B83" t="s">
        <v>433</v>
      </c>
      <c r="C83" t="s">
        <v>274</v>
      </c>
      <c r="D83" t="s">
        <v>275</v>
      </c>
      <c r="E83" t="s">
        <v>256</v>
      </c>
      <c r="F83" t="s">
        <v>243</v>
      </c>
      <c r="G83" t="s">
        <v>236</v>
      </c>
      <c r="H83" t="s">
        <v>237</v>
      </c>
    </row>
    <row r="84" spans="1:8" x14ac:dyDescent="0.35">
      <c r="A84" t="s">
        <v>434</v>
      </c>
      <c r="B84" t="s">
        <v>435</v>
      </c>
      <c r="C84" t="s">
        <v>341</v>
      </c>
      <c r="D84" t="s">
        <v>262</v>
      </c>
      <c r="E84" t="s">
        <v>319</v>
      </c>
      <c r="F84" t="s">
        <v>264</v>
      </c>
      <c r="G84" t="s">
        <v>236</v>
      </c>
      <c r="H84" t="s">
        <v>237</v>
      </c>
    </row>
    <row r="85" spans="1:8" x14ac:dyDescent="0.35">
      <c r="A85" t="s">
        <v>436</v>
      </c>
      <c r="B85" t="s">
        <v>396</v>
      </c>
      <c r="C85" t="s">
        <v>297</v>
      </c>
      <c r="D85" t="s">
        <v>325</v>
      </c>
      <c r="E85" t="s">
        <v>234</v>
      </c>
      <c r="F85" t="s">
        <v>235</v>
      </c>
      <c r="G85" t="s">
        <v>302</v>
      </c>
      <c r="H85" t="s">
        <v>237</v>
      </c>
    </row>
    <row r="86" spans="1:8" x14ac:dyDescent="0.35">
      <c r="A86" t="s">
        <v>437</v>
      </c>
      <c r="B86" t="s">
        <v>396</v>
      </c>
      <c r="C86" t="s">
        <v>254</v>
      </c>
      <c r="D86" t="s">
        <v>325</v>
      </c>
      <c r="E86" t="s">
        <v>357</v>
      </c>
      <c r="F86" t="s">
        <v>264</v>
      </c>
      <c r="G86" t="s">
        <v>302</v>
      </c>
      <c r="H86" t="s">
        <v>237</v>
      </c>
    </row>
    <row r="87" spans="1:8" x14ac:dyDescent="0.35">
      <c r="A87" t="s">
        <v>438</v>
      </c>
      <c r="B87" t="s">
        <v>439</v>
      </c>
      <c r="C87" t="s">
        <v>301</v>
      </c>
      <c r="D87" t="s">
        <v>308</v>
      </c>
      <c r="E87" t="s">
        <v>263</v>
      </c>
      <c r="F87" t="s">
        <v>264</v>
      </c>
      <c r="G87" t="s">
        <v>236</v>
      </c>
      <c r="H87" t="s">
        <v>237</v>
      </c>
    </row>
    <row r="88" spans="1:8" x14ac:dyDescent="0.35">
      <c r="A88" t="s">
        <v>440</v>
      </c>
      <c r="B88" t="s">
        <v>441</v>
      </c>
      <c r="C88" t="s">
        <v>341</v>
      </c>
      <c r="D88" t="s">
        <v>250</v>
      </c>
      <c r="E88" t="s">
        <v>285</v>
      </c>
      <c r="F88" t="s">
        <v>264</v>
      </c>
      <c r="G88" t="s">
        <v>302</v>
      </c>
      <c r="H88" t="s">
        <v>237</v>
      </c>
    </row>
    <row r="89" spans="1:8" x14ac:dyDescent="0.35">
      <c r="A89" t="s">
        <v>442</v>
      </c>
      <c r="B89" t="s">
        <v>443</v>
      </c>
      <c r="C89" t="s">
        <v>232</v>
      </c>
      <c r="D89" t="s">
        <v>392</v>
      </c>
      <c r="E89" t="s">
        <v>259</v>
      </c>
      <c r="F89" t="s">
        <v>235</v>
      </c>
      <c r="G89" t="s">
        <v>236</v>
      </c>
      <c r="H89" t="s">
        <v>237</v>
      </c>
    </row>
    <row r="90" spans="1:8" x14ac:dyDescent="0.35">
      <c r="A90" t="s">
        <v>444</v>
      </c>
      <c r="B90" t="s">
        <v>445</v>
      </c>
      <c r="C90" t="s">
        <v>240</v>
      </c>
      <c r="D90" t="s">
        <v>325</v>
      </c>
      <c r="E90" t="s">
        <v>285</v>
      </c>
      <c r="F90" t="s">
        <v>264</v>
      </c>
      <c r="G90" t="s">
        <v>236</v>
      </c>
      <c r="H90" t="s">
        <v>237</v>
      </c>
    </row>
    <row r="91" spans="1:8" x14ac:dyDescent="0.35">
      <c r="A91" t="s">
        <v>446</v>
      </c>
      <c r="B91" t="s">
        <v>447</v>
      </c>
      <c r="C91" t="s">
        <v>288</v>
      </c>
      <c r="D91" t="s">
        <v>325</v>
      </c>
      <c r="E91" t="s">
        <v>309</v>
      </c>
      <c r="F91" t="s">
        <v>243</v>
      </c>
      <c r="G91" t="s">
        <v>236</v>
      </c>
      <c r="H91" t="s">
        <v>237</v>
      </c>
    </row>
    <row r="92" spans="1:8" x14ac:dyDescent="0.35">
      <c r="A92" t="s">
        <v>448</v>
      </c>
      <c r="B92" t="s">
        <v>427</v>
      </c>
      <c r="C92" t="s">
        <v>341</v>
      </c>
      <c r="D92" t="s">
        <v>233</v>
      </c>
      <c r="E92" t="s">
        <v>294</v>
      </c>
      <c r="F92" t="s">
        <v>243</v>
      </c>
      <c r="G92" t="s">
        <v>302</v>
      </c>
      <c r="H92" t="s">
        <v>237</v>
      </c>
    </row>
    <row r="93" spans="1:8" x14ac:dyDescent="0.35">
      <c r="A93" t="s">
        <v>449</v>
      </c>
      <c r="B93" t="s">
        <v>450</v>
      </c>
      <c r="C93" t="s">
        <v>274</v>
      </c>
      <c r="D93" t="s">
        <v>246</v>
      </c>
      <c r="E93" t="s">
        <v>234</v>
      </c>
      <c r="F93" t="s">
        <v>235</v>
      </c>
      <c r="G93" t="s">
        <v>236</v>
      </c>
      <c r="H93" t="s">
        <v>237</v>
      </c>
    </row>
    <row r="94" spans="1:8" x14ac:dyDescent="0.35">
      <c r="A94" t="s">
        <v>451</v>
      </c>
      <c r="B94" t="s">
        <v>368</v>
      </c>
      <c r="C94" t="s">
        <v>254</v>
      </c>
      <c r="D94" t="s">
        <v>308</v>
      </c>
      <c r="E94" t="s">
        <v>263</v>
      </c>
      <c r="F94" t="s">
        <v>264</v>
      </c>
      <c r="G94" t="s">
        <v>236</v>
      </c>
      <c r="H94" t="s">
        <v>237</v>
      </c>
    </row>
    <row r="95" spans="1:8" x14ac:dyDescent="0.35">
      <c r="A95" t="s">
        <v>452</v>
      </c>
      <c r="B95" t="s">
        <v>420</v>
      </c>
      <c r="C95" t="s">
        <v>232</v>
      </c>
      <c r="D95" t="s">
        <v>325</v>
      </c>
      <c r="E95" t="s">
        <v>263</v>
      </c>
      <c r="F95" t="s">
        <v>264</v>
      </c>
      <c r="G95" t="s">
        <v>236</v>
      </c>
      <c r="H95" t="s">
        <v>237</v>
      </c>
    </row>
    <row r="96" spans="1:8" x14ac:dyDescent="0.35">
      <c r="A96" t="s">
        <v>453</v>
      </c>
      <c r="B96" t="s">
        <v>454</v>
      </c>
      <c r="C96" t="s">
        <v>254</v>
      </c>
      <c r="D96" t="s">
        <v>308</v>
      </c>
      <c r="E96" t="s">
        <v>259</v>
      </c>
      <c r="F96" t="s">
        <v>235</v>
      </c>
      <c r="G96" t="s">
        <v>236</v>
      </c>
      <c r="H96" t="s">
        <v>237</v>
      </c>
    </row>
    <row r="97" spans="1:8" x14ac:dyDescent="0.35">
      <c r="A97" t="s">
        <v>455</v>
      </c>
      <c r="B97" t="s">
        <v>456</v>
      </c>
      <c r="C97" t="s">
        <v>280</v>
      </c>
      <c r="D97" t="s">
        <v>250</v>
      </c>
      <c r="E97" t="s">
        <v>298</v>
      </c>
      <c r="F97" t="s">
        <v>264</v>
      </c>
      <c r="G97" t="s">
        <v>236</v>
      </c>
      <c r="H97" t="s">
        <v>237</v>
      </c>
    </row>
    <row r="98" spans="1:8" x14ac:dyDescent="0.35">
      <c r="A98" t="s">
        <v>457</v>
      </c>
      <c r="B98" t="s">
        <v>458</v>
      </c>
      <c r="C98" t="s">
        <v>232</v>
      </c>
      <c r="D98" t="s">
        <v>246</v>
      </c>
      <c r="E98" t="s">
        <v>269</v>
      </c>
      <c r="F98" t="s">
        <v>243</v>
      </c>
      <c r="G98" t="s">
        <v>302</v>
      </c>
      <c r="H98" t="s">
        <v>237</v>
      </c>
    </row>
    <row r="99" spans="1:8" x14ac:dyDescent="0.35">
      <c r="A99" t="s">
        <v>459</v>
      </c>
      <c r="B99" t="s">
        <v>460</v>
      </c>
      <c r="C99" t="s">
        <v>232</v>
      </c>
      <c r="D99" t="s">
        <v>461</v>
      </c>
      <c r="E99" t="s">
        <v>326</v>
      </c>
      <c r="F99" t="s">
        <v>264</v>
      </c>
      <c r="G99" t="s">
        <v>236</v>
      </c>
      <c r="H99" t="s">
        <v>237</v>
      </c>
    </row>
    <row r="100" spans="1:8" x14ac:dyDescent="0.35">
      <c r="A100" t="s">
        <v>462</v>
      </c>
      <c r="B100" t="s">
        <v>396</v>
      </c>
      <c r="C100" t="s">
        <v>232</v>
      </c>
      <c r="D100" t="s">
        <v>275</v>
      </c>
      <c r="E100" t="s">
        <v>357</v>
      </c>
      <c r="F100" t="s">
        <v>264</v>
      </c>
      <c r="G100" t="s">
        <v>236</v>
      </c>
      <c r="H100" t="s">
        <v>265</v>
      </c>
    </row>
    <row r="101" spans="1:8" x14ac:dyDescent="0.35">
      <c r="A101" t="s">
        <v>463</v>
      </c>
      <c r="B101" t="s">
        <v>464</v>
      </c>
      <c r="C101" t="s">
        <v>274</v>
      </c>
      <c r="D101" t="s">
        <v>262</v>
      </c>
      <c r="E101" t="s">
        <v>285</v>
      </c>
      <c r="F101" t="s">
        <v>264</v>
      </c>
      <c r="G101" t="s">
        <v>302</v>
      </c>
      <c r="H101" t="s">
        <v>237</v>
      </c>
    </row>
    <row r="102" spans="1:8" x14ac:dyDescent="0.35">
      <c r="A102" t="s">
        <v>465</v>
      </c>
      <c r="B102" t="s">
        <v>348</v>
      </c>
      <c r="C102" t="s">
        <v>254</v>
      </c>
      <c r="D102" t="s">
        <v>325</v>
      </c>
      <c r="E102" t="s">
        <v>319</v>
      </c>
      <c r="F102" t="s">
        <v>264</v>
      </c>
      <c r="G102" t="s">
        <v>302</v>
      </c>
      <c r="H102" t="s">
        <v>237</v>
      </c>
    </row>
    <row r="103" spans="1:8" x14ac:dyDescent="0.35">
      <c r="A103" t="s">
        <v>466</v>
      </c>
      <c r="B103" t="s">
        <v>441</v>
      </c>
      <c r="C103" t="s">
        <v>288</v>
      </c>
      <c r="D103" t="s">
        <v>241</v>
      </c>
      <c r="E103" t="s">
        <v>413</v>
      </c>
      <c r="F103" t="s">
        <v>235</v>
      </c>
      <c r="G103" t="s">
        <v>236</v>
      </c>
      <c r="H103" t="s">
        <v>237</v>
      </c>
    </row>
    <row r="104" spans="1:8" x14ac:dyDescent="0.35">
      <c r="A104" t="s">
        <v>467</v>
      </c>
      <c r="B104" t="s">
        <v>468</v>
      </c>
      <c r="C104" t="s">
        <v>297</v>
      </c>
      <c r="D104" t="s">
        <v>250</v>
      </c>
      <c r="E104" t="s">
        <v>234</v>
      </c>
      <c r="F104" t="s">
        <v>235</v>
      </c>
      <c r="G104" t="s">
        <v>236</v>
      </c>
      <c r="H104" t="s">
        <v>237</v>
      </c>
    </row>
    <row r="105" spans="1:8" x14ac:dyDescent="0.35">
      <c r="A105" t="s">
        <v>469</v>
      </c>
      <c r="B105" t="s">
        <v>470</v>
      </c>
      <c r="C105" t="s">
        <v>349</v>
      </c>
      <c r="D105" t="s">
        <v>275</v>
      </c>
      <c r="E105" t="s">
        <v>393</v>
      </c>
      <c r="F105" t="s">
        <v>235</v>
      </c>
      <c r="G105" t="s">
        <v>236</v>
      </c>
      <c r="H105" t="s">
        <v>237</v>
      </c>
    </row>
    <row r="106" spans="1:8" x14ac:dyDescent="0.35">
      <c r="A106" t="s">
        <v>471</v>
      </c>
      <c r="B106" t="s">
        <v>472</v>
      </c>
      <c r="C106" t="s">
        <v>341</v>
      </c>
      <c r="D106" t="s">
        <v>323</v>
      </c>
      <c r="E106" t="s">
        <v>247</v>
      </c>
      <c r="F106" t="s">
        <v>235</v>
      </c>
      <c r="G106" t="s">
        <v>314</v>
      </c>
      <c r="H106" t="s">
        <v>237</v>
      </c>
    </row>
    <row r="107" spans="1:8" x14ac:dyDescent="0.35">
      <c r="A107" t="s">
        <v>473</v>
      </c>
      <c r="B107" t="s">
        <v>368</v>
      </c>
      <c r="C107" t="s">
        <v>240</v>
      </c>
      <c r="D107" t="s">
        <v>233</v>
      </c>
      <c r="E107" t="s">
        <v>247</v>
      </c>
      <c r="F107" t="s">
        <v>235</v>
      </c>
      <c r="G107" t="s">
        <v>236</v>
      </c>
      <c r="H107" t="s">
        <v>265</v>
      </c>
    </row>
    <row r="108" spans="1:8" x14ac:dyDescent="0.35">
      <c r="A108" t="s">
        <v>474</v>
      </c>
      <c r="B108" t="s">
        <v>330</v>
      </c>
      <c r="C108" t="s">
        <v>341</v>
      </c>
      <c r="D108" t="s">
        <v>255</v>
      </c>
      <c r="E108" t="s">
        <v>234</v>
      </c>
      <c r="F108" t="s">
        <v>235</v>
      </c>
      <c r="G108" t="s">
        <v>236</v>
      </c>
      <c r="H108" t="s">
        <v>237</v>
      </c>
    </row>
    <row r="109" spans="1:8" x14ac:dyDescent="0.35">
      <c r="A109" t="s">
        <v>475</v>
      </c>
      <c r="B109" t="s">
        <v>476</v>
      </c>
      <c r="C109" t="s">
        <v>232</v>
      </c>
      <c r="D109" t="s">
        <v>255</v>
      </c>
      <c r="E109" t="s">
        <v>269</v>
      </c>
      <c r="F109" t="s">
        <v>243</v>
      </c>
      <c r="G109" t="s">
        <v>314</v>
      </c>
      <c r="H109" t="s">
        <v>237</v>
      </c>
    </row>
    <row r="110" spans="1:8" x14ac:dyDescent="0.35">
      <c r="A110" t="s">
        <v>477</v>
      </c>
      <c r="B110" t="s">
        <v>478</v>
      </c>
      <c r="C110" t="s">
        <v>297</v>
      </c>
      <c r="D110" t="s">
        <v>233</v>
      </c>
      <c r="E110" t="s">
        <v>305</v>
      </c>
      <c r="F110" t="s">
        <v>243</v>
      </c>
      <c r="G110" t="s">
        <v>236</v>
      </c>
      <c r="H110" t="s">
        <v>237</v>
      </c>
    </row>
    <row r="111" spans="1:8" x14ac:dyDescent="0.35">
      <c r="A111" t="s">
        <v>479</v>
      </c>
      <c r="B111" t="s">
        <v>480</v>
      </c>
      <c r="C111" t="s">
        <v>349</v>
      </c>
      <c r="D111" t="s">
        <v>268</v>
      </c>
      <c r="E111" t="s">
        <v>269</v>
      </c>
      <c r="F111" t="s">
        <v>243</v>
      </c>
      <c r="G111" t="s">
        <v>302</v>
      </c>
      <c r="H111" t="s">
        <v>237</v>
      </c>
    </row>
    <row r="112" spans="1:8" x14ac:dyDescent="0.35">
      <c r="A112" t="s">
        <v>481</v>
      </c>
      <c r="B112" t="s">
        <v>482</v>
      </c>
      <c r="C112" t="s">
        <v>288</v>
      </c>
      <c r="D112" t="s">
        <v>308</v>
      </c>
      <c r="E112" t="s">
        <v>285</v>
      </c>
      <c r="F112" t="s">
        <v>264</v>
      </c>
      <c r="G112" t="s">
        <v>314</v>
      </c>
      <c r="H112" t="s">
        <v>237</v>
      </c>
    </row>
    <row r="113" spans="1:8" x14ac:dyDescent="0.35">
      <c r="A113" t="s">
        <v>483</v>
      </c>
      <c r="B113" t="s">
        <v>484</v>
      </c>
      <c r="C113" t="s">
        <v>280</v>
      </c>
      <c r="D113" t="s">
        <v>275</v>
      </c>
      <c r="E113" t="s">
        <v>285</v>
      </c>
      <c r="F113" t="s">
        <v>264</v>
      </c>
      <c r="G113" t="s">
        <v>236</v>
      </c>
      <c r="H113" t="s">
        <v>237</v>
      </c>
    </row>
    <row r="114" spans="1:8" x14ac:dyDescent="0.35">
      <c r="A114" t="s">
        <v>485</v>
      </c>
      <c r="B114" t="s">
        <v>486</v>
      </c>
      <c r="C114" t="s">
        <v>274</v>
      </c>
      <c r="D114" t="s">
        <v>308</v>
      </c>
      <c r="E114" t="s">
        <v>294</v>
      </c>
      <c r="F114" t="s">
        <v>243</v>
      </c>
      <c r="G114" t="s">
        <v>236</v>
      </c>
      <c r="H114" t="s">
        <v>237</v>
      </c>
    </row>
    <row r="115" spans="1:8" x14ac:dyDescent="0.35">
      <c r="A115" t="s">
        <v>487</v>
      </c>
      <c r="B115" t="s">
        <v>488</v>
      </c>
      <c r="C115" t="s">
        <v>349</v>
      </c>
      <c r="D115" t="s">
        <v>241</v>
      </c>
      <c r="E115" t="s">
        <v>305</v>
      </c>
      <c r="F115" t="s">
        <v>243</v>
      </c>
      <c r="G115" t="s">
        <v>302</v>
      </c>
      <c r="H115" t="s">
        <v>237</v>
      </c>
    </row>
    <row r="116" spans="1:8" x14ac:dyDescent="0.35">
      <c r="A116" t="s">
        <v>489</v>
      </c>
      <c r="B116" t="s">
        <v>318</v>
      </c>
      <c r="C116" t="s">
        <v>254</v>
      </c>
      <c r="D116" t="s">
        <v>490</v>
      </c>
      <c r="E116" t="s">
        <v>294</v>
      </c>
      <c r="F116" t="s">
        <v>243</v>
      </c>
      <c r="G116" t="s">
        <v>236</v>
      </c>
      <c r="H116" t="s">
        <v>237</v>
      </c>
    </row>
    <row r="117" spans="1:8" x14ac:dyDescent="0.35">
      <c r="A117" t="s">
        <v>491</v>
      </c>
      <c r="B117" t="s">
        <v>492</v>
      </c>
      <c r="C117" t="s">
        <v>254</v>
      </c>
      <c r="D117" t="s">
        <v>233</v>
      </c>
      <c r="E117" t="s">
        <v>319</v>
      </c>
      <c r="F117" t="s">
        <v>264</v>
      </c>
      <c r="G117" t="s">
        <v>236</v>
      </c>
      <c r="H117" t="s">
        <v>237</v>
      </c>
    </row>
    <row r="118" spans="1:8" x14ac:dyDescent="0.35">
      <c r="A118" t="s">
        <v>493</v>
      </c>
      <c r="B118" t="s">
        <v>311</v>
      </c>
      <c r="C118" t="s">
        <v>232</v>
      </c>
      <c r="D118" t="s">
        <v>275</v>
      </c>
      <c r="E118" t="s">
        <v>309</v>
      </c>
      <c r="F118" t="s">
        <v>243</v>
      </c>
      <c r="G118" t="s">
        <v>236</v>
      </c>
      <c r="H118" t="s">
        <v>237</v>
      </c>
    </row>
    <row r="119" spans="1:8" x14ac:dyDescent="0.35">
      <c r="A119" t="s">
        <v>494</v>
      </c>
      <c r="B119" t="s">
        <v>396</v>
      </c>
      <c r="C119" t="s">
        <v>288</v>
      </c>
      <c r="D119" t="s">
        <v>246</v>
      </c>
      <c r="E119" t="s">
        <v>269</v>
      </c>
      <c r="F119" t="s">
        <v>243</v>
      </c>
      <c r="G119" t="s">
        <v>314</v>
      </c>
      <c r="H119" t="s">
        <v>237</v>
      </c>
    </row>
    <row r="120" spans="1:8" x14ac:dyDescent="0.35">
      <c r="A120" t="s">
        <v>495</v>
      </c>
      <c r="B120" t="s">
        <v>496</v>
      </c>
      <c r="C120" t="s">
        <v>349</v>
      </c>
      <c r="D120" t="s">
        <v>250</v>
      </c>
      <c r="E120" t="s">
        <v>285</v>
      </c>
      <c r="F120" t="s">
        <v>264</v>
      </c>
      <c r="G120" t="s">
        <v>236</v>
      </c>
      <c r="H120" t="s">
        <v>237</v>
      </c>
    </row>
    <row r="121" spans="1:8" x14ac:dyDescent="0.35">
      <c r="A121" t="s">
        <v>497</v>
      </c>
      <c r="B121" t="s">
        <v>296</v>
      </c>
      <c r="C121" t="s">
        <v>297</v>
      </c>
      <c r="D121" t="s">
        <v>381</v>
      </c>
      <c r="E121" t="s">
        <v>271</v>
      </c>
      <c r="F121" t="s">
        <v>235</v>
      </c>
      <c r="G121" t="s">
        <v>236</v>
      </c>
      <c r="H121" t="s">
        <v>265</v>
      </c>
    </row>
    <row r="122" spans="1:8" x14ac:dyDescent="0.35">
      <c r="A122" t="s">
        <v>498</v>
      </c>
      <c r="B122" t="s">
        <v>499</v>
      </c>
      <c r="C122" t="s">
        <v>240</v>
      </c>
      <c r="D122" t="s">
        <v>293</v>
      </c>
      <c r="E122" t="s">
        <v>251</v>
      </c>
      <c r="F122" t="s">
        <v>235</v>
      </c>
      <c r="G122" t="s">
        <v>302</v>
      </c>
      <c r="H122" t="s">
        <v>265</v>
      </c>
    </row>
    <row r="123" spans="1:8" x14ac:dyDescent="0.35">
      <c r="A123" t="s">
        <v>500</v>
      </c>
      <c r="B123" t="s">
        <v>447</v>
      </c>
      <c r="C123" t="s">
        <v>232</v>
      </c>
      <c r="D123" t="s">
        <v>262</v>
      </c>
      <c r="E123" t="s">
        <v>251</v>
      </c>
      <c r="F123" t="s">
        <v>235</v>
      </c>
      <c r="G123" t="s">
        <v>314</v>
      </c>
      <c r="H123" t="s">
        <v>237</v>
      </c>
    </row>
    <row r="124" spans="1:8" x14ac:dyDescent="0.35">
      <c r="A124" t="s">
        <v>501</v>
      </c>
      <c r="B124" t="s">
        <v>363</v>
      </c>
      <c r="C124" t="s">
        <v>301</v>
      </c>
      <c r="D124" t="s">
        <v>325</v>
      </c>
      <c r="E124" t="s">
        <v>357</v>
      </c>
      <c r="F124" t="s">
        <v>264</v>
      </c>
      <c r="G124" t="s">
        <v>236</v>
      </c>
      <c r="H124" t="s">
        <v>237</v>
      </c>
    </row>
    <row r="125" spans="1:8" x14ac:dyDescent="0.35">
      <c r="A125" t="s">
        <v>502</v>
      </c>
      <c r="B125" t="s">
        <v>503</v>
      </c>
      <c r="C125" t="s">
        <v>280</v>
      </c>
      <c r="D125" t="s">
        <v>255</v>
      </c>
      <c r="E125" t="s">
        <v>251</v>
      </c>
      <c r="F125" t="s">
        <v>235</v>
      </c>
      <c r="G125" t="s">
        <v>236</v>
      </c>
      <c r="H125" t="s">
        <v>237</v>
      </c>
    </row>
    <row r="126" spans="1:8" x14ac:dyDescent="0.35">
      <c r="A126" t="s">
        <v>504</v>
      </c>
      <c r="B126" t="s">
        <v>505</v>
      </c>
      <c r="C126" t="s">
        <v>274</v>
      </c>
      <c r="D126" t="s">
        <v>293</v>
      </c>
      <c r="E126" t="s">
        <v>357</v>
      </c>
      <c r="F126" t="s">
        <v>264</v>
      </c>
      <c r="G126" t="s">
        <v>302</v>
      </c>
      <c r="H126" t="s">
        <v>265</v>
      </c>
    </row>
    <row r="127" spans="1:8" x14ac:dyDescent="0.35">
      <c r="A127" t="s">
        <v>506</v>
      </c>
      <c r="B127" t="s">
        <v>287</v>
      </c>
      <c r="C127" t="s">
        <v>280</v>
      </c>
      <c r="D127" t="s">
        <v>268</v>
      </c>
      <c r="E127" t="s">
        <v>294</v>
      </c>
      <c r="F127" t="s">
        <v>243</v>
      </c>
      <c r="G127" t="s">
        <v>302</v>
      </c>
      <c r="H127" t="s">
        <v>237</v>
      </c>
    </row>
    <row r="128" spans="1:8" x14ac:dyDescent="0.35">
      <c r="A128" t="s">
        <v>507</v>
      </c>
      <c r="B128" t="s">
        <v>508</v>
      </c>
      <c r="C128" t="s">
        <v>288</v>
      </c>
      <c r="D128" t="s">
        <v>461</v>
      </c>
      <c r="E128" t="s">
        <v>305</v>
      </c>
      <c r="F128" t="s">
        <v>243</v>
      </c>
      <c r="G128" t="s">
        <v>236</v>
      </c>
      <c r="H128" t="s">
        <v>237</v>
      </c>
    </row>
    <row r="129" spans="1:8" x14ac:dyDescent="0.35">
      <c r="A129" t="s">
        <v>509</v>
      </c>
      <c r="B129" t="s">
        <v>510</v>
      </c>
      <c r="C129" t="s">
        <v>274</v>
      </c>
      <c r="D129" t="s">
        <v>323</v>
      </c>
      <c r="E129" t="s">
        <v>413</v>
      </c>
      <c r="F129" t="s">
        <v>235</v>
      </c>
      <c r="G129" t="s">
        <v>236</v>
      </c>
      <c r="H129" t="s">
        <v>237</v>
      </c>
    </row>
    <row r="130" spans="1:8" x14ac:dyDescent="0.35">
      <c r="A130" t="s">
        <v>511</v>
      </c>
      <c r="B130" t="s">
        <v>512</v>
      </c>
      <c r="C130" t="s">
        <v>280</v>
      </c>
      <c r="D130" t="s">
        <v>246</v>
      </c>
      <c r="E130" t="s">
        <v>290</v>
      </c>
      <c r="F130" t="s">
        <v>264</v>
      </c>
      <c r="G130" t="s">
        <v>236</v>
      </c>
      <c r="H130" t="s">
        <v>237</v>
      </c>
    </row>
    <row r="131" spans="1:8" x14ac:dyDescent="0.35">
      <c r="A131" t="s">
        <v>513</v>
      </c>
      <c r="B131" t="s">
        <v>514</v>
      </c>
      <c r="C131" t="s">
        <v>297</v>
      </c>
      <c r="D131" t="s">
        <v>275</v>
      </c>
      <c r="E131" t="s">
        <v>326</v>
      </c>
      <c r="F131" t="s">
        <v>264</v>
      </c>
      <c r="G131" t="s">
        <v>236</v>
      </c>
      <c r="H131" t="s">
        <v>237</v>
      </c>
    </row>
    <row r="132" spans="1:8" x14ac:dyDescent="0.35">
      <c r="A132" t="s">
        <v>515</v>
      </c>
      <c r="B132" t="s">
        <v>512</v>
      </c>
      <c r="C132" t="s">
        <v>274</v>
      </c>
      <c r="D132" t="s">
        <v>241</v>
      </c>
      <c r="E132" t="s">
        <v>413</v>
      </c>
      <c r="F132" t="s">
        <v>235</v>
      </c>
      <c r="G132" t="s">
        <v>302</v>
      </c>
      <c r="H132" t="s">
        <v>237</v>
      </c>
    </row>
    <row r="133" spans="1:8" x14ac:dyDescent="0.35">
      <c r="A133" t="s">
        <v>516</v>
      </c>
      <c r="B133" t="s">
        <v>517</v>
      </c>
      <c r="C133" t="s">
        <v>349</v>
      </c>
      <c r="D133" t="s">
        <v>275</v>
      </c>
      <c r="E133" t="s">
        <v>309</v>
      </c>
      <c r="F133" t="s">
        <v>243</v>
      </c>
      <c r="G133" t="s">
        <v>236</v>
      </c>
      <c r="H133" t="s">
        <v>265</v>
      </c>
    </row>
    <row r="134" spans="1:8" x14ac:dyDescent="0.35">
      <c r="A134" t="s">
        <v>518</v>
      </c>
      <c r="B134" t="s">
        <v>519</v>
      </c>
      <c r="C134" t="s">
        <v>301</v>
      </c>
      <c r="D134" t="s">
        <v>233</v>
      </c>
      <c r="E134" t="s">
        <v>319</v>
      </c>
      <c r="F134" t="s">
        <v>264</v>
      </c>
      <c r="G134" t="s">
        <v>236</v>
      </c>
      <c r="H134" t="s">
        <v>237</v>
      </c>
    </row>
    <row r="135" spans="1:8" x14ac:dyDescent="0.35">
      <c r="A135" t="s">
        <v>520</v>
      </c>
      <c r="B135" t="s">
        <v>521</v>
      </c>
      <c r="C135" t="s">
        <v>301</v>
      </c>
      <c r="D135" t="s">
        <v>392</v>
      </c>
      <c r="E135" t="s">
        <v>269</v>
      </c>
      <c r="F135" t="s">
        <v>243</v>
      </c>
      <c r="G135" t="s">
        <v>236</v>
      </c>
      <c r="H135" t="s">
        <v>237</v>
      </c>
    </row>
    <row r="136" spans="1:8" x14ac:dyDescent="0.35">
      <c r="A136" t="s">
        <v>522</v>
      </c>
      <c r="B136" t="s">
        <v>523</v>
      </c>
      <c r="C136" t="s">
        <v>288</v>
      </c>
      <c r="D136" t="s">
        <v>325</v>
      </c>
      <c r="E136" t="s">
        <v>319</v>
      </c>
      <c r="F136" t="s">
        <v>264</v>
      </c>
      <c r="G136" t="s">
        <v>236</v>
      </c>
      <c r="H136" t="s">
        <v>237</v>
      </c>
    </row>
    <row r="137" spans="1:8" x14ac:dyDescent="0.35">
      <c r="A137" t="s">
        <v>524</v>
      </c>
      <c r="B137" t="s">
        <v>484</v>
      </c>
      <c r="C137" t="s">
        <v>280</v>
      </c>
      <c r="D137" t="s">
        <v>336</v>
      </c>
      <c r="E137" t="s">
        <v>242</v>
      </c>
      <c r="G137" t="s">
        <v>302</v>
      </c>
      <c r="H137" t="s">
        <v>265</v>
      </c>
    </row>
    <row r="138" spans="1:8" x14ac:dyDescent="0.35">
      <c r="A138" t="s">
        <v>525</v>
      </c>
      <c r="B138" t="s">
        <v>526</v>
      </c>
      <c r="C138" t="s">
        <v>288</v>
      </c>
      <c r="D138" t="s">
        <v>308</v>
      </c>
      <c r="E138" t="s">
        <v>256</v>
      </c>
      <c r="F138" t="s">
        <v>243</v>
      </c>
      <c r="G138" t="s">
        <v>236</v>
      </c>
      <c r="H138" t="s">
        <v>237</v>
      </c>
    </row>
    <row r="139" spans="1:8" x14ac:dyDescent="0.35">
      <c r="A139" t="s">
        <v>527</v>
      </c>
      <c r="B139" t="s">
        <v>282</v>
      </c>
      <c r="C139" t="s">
        <v>301</v>
      </c>
      <c r="D139" t="s">
        <v>246</v>
      </c>
      <c r="E139" t="s">
        <v>259</v>
      </c>
      <c r="F139" t="s">
        <v>235</v>
      </c>
      <c r="G139" t="s">
        <v>236</v>
      </c>
      <c r="H139" t="s">
        <v>237</v>
      </c>
    </row>
    <row r="140" spans="1:8" x14ac:dyDescent="0.35">
      <c r="A140" t="s">
        <v>528</v>
      </c>
      <c r="B140" t="s">
        <v>433</v>
      </c>
      <c r="C140" t="s">
        <v>240</v>
      </c>
      <c r="D140" t="s">
        <v>255</v>
      </c>
      <c r="E140" t="s">
        <v>290</v>
      </c>
      <c r="F140" t="s">
        <v>264</v>
      </c>
      <c r="G140" t="s">
        <v>314</v>
      </c>
      <c r="H140" t="s">
        <v>237</v>
      </c>
    </row>
    <row r="141" spans="1:8" x14ac:dyDescent="0.35">
      <c r="A141" t="s">
        <v>529</v>
      </c>
      <c r="B141" t="s">
        <v>253</v>
      </c>
      <c r="C141" t="s">
        <v>280</v>
      </c>
      <c r="D141" t="s">
        <v>262</v>
      </c>
      <c r="E141" t="s">
        <v>234</v>
      </c>
      <c r="F141" t="s">
        <v>235</v>
      </c>
      <c r="G141" t="s">
        <v>236</v>
      </c>
      <c r="H141" t="s">
        <v>237</v>
      </c>
    </row>
    <row r="142" spans="1:8" x14ac:dyDescent="0.35">
      <c r="A142" t="s">
        <v>530</v>
      </c>
      <c r="B142" t="s">
        <v>531</v>
      </c>
      <c r="C142" t="s">
        <v>240</v>
      </c>
      <c r="D142" t="s">
        <v>275</v>
      </c>
      <c r="E142" t="s">
        <v>251</v>
      </c>
      <c r="F142" t="s">
        <v>235</v>
      </c>
      <c r="G142" t="s">
        <v>236</v>
      </c>
      <c r="H142" t="s">
        <v>237</v>
      </c>
    </row>
    <row r="143" spans="1:8" x14ac:dyDescent="0.35">
      <c r="A143" t="s">
        <v>532</v>
      </c>
      <c r="B143" t="s">
        <v>533</v>
      </c>
      <c r="C143" t="s">
        <v>240</v>
      </c>
      <c r="D143" t="s">
        <v>268</v>
      </c>
      <c r="E143" t="s">
        <v>234</v>
      </c>
      <c r="F143" t="s">
        <v>235</v>
      </c>
      <c r="G143" t="s">
        <v>236</v>
      </c>
      <c r="H143" t="s">
        <v>237</v>
      </c>
    </row>
    <row r="144" spans="1:8" x14ac:dyDescent="0.35">
      <c r="A144" t="s">
        <v>534</v>
      </c>
      <c r="B144" t="s">
        <v>535</v>
      </c>
      <c r="C144" t="s">
        <v>341</v>
      </c>
      <c r="D144" t="s">
        <v>255</v>
      </c>
      <c r="E144" t="s">
        <v>309</v>
      </c>
      <c r="G144" t="s">
        <v>236</v>
      </c>
      <c r="H144" t="s">
        <v>237</v>
      </c>
    </row>
    <row r="145" spans="1:8" x14ac:dyDescent="0.35">
      <c r="A145" t="s">
        <v>536</v>
      </c>
      <c r="B145" t="s">
        <v>537</v>
      </c>
      <c r="C145" t="s">
        <v>341</v>
      </c>
      <c r="D145" t="s">
        <v>350</v>
      </c>
      <c r="E145" t="s">
        <v>234</v>
      </c>
      <c r="F145" t="s">
        <v>235</v>
      </c>
      <c r="G145" t="s">
        <v>314</v>
      </c>
      <c r="H145" t="s">
        <v>237</v>
      </c>
    </row>
    <row r="146" spans="1:8" x14ac:dyDescent="0.35">
      <c r="A146" t="s">
        <v>538</v>
      </c>
      <c r="B146" t="s">
        <v>539</v>
      </c>
      <c r="C146" t="s">
        <v>274</v>
      </c>
      <c r="D146" t="s">
        <v>255</v>
      </c>
      <c r="E146" t="s">
        <v>326</v>
      </c>
      <c r="F146" t="s">
        <v>264</v>
      </c>
      <c r="G146" t="s">
        <v>236</v>
      </c>
      <c r="H146" t="s">
        <v>237</v>
      </c>
    </row>
    <row r="147" spans="1:8" x14ac:dyDescent="0.35">
      <c r="A147" t="s">
        <v>540</v>
      </c>
      <c r="B147" t="s">
        <v>458</v>
      </c>
      <c r="C147" t="s">
        <v>232</v>
      </c>
      <c r="D147" t="s">
        <v>461</v>
      </c>
      <c r="E147" t="s">
        <v>357</v>
      </c>
      <c r="F147" t="s">
        <v>264</v>
      </c>
      <c r="G147" t="s">
        <v>236</v>
      </c>
      <c r="H147" t="s">
        <v>265</v>
      </c>
    </row>
    <row r="148" spans="1:8" x14ac:dyDescent="0.35">
      <c r="A148" t="s">
        <v>541</v>
      </c>
      <c r="B148" t="s">
        <v>542</v>
      </c>
      <c r="C148" t="s">
        <v>280</v>
      </c>
      <c r="D148" t="s">
        <v>250</v>
      </c>
      <c r="E148" t="s">
        <v>247</v>
      </c>
      <c r="F148" t="s">
        <v>235</v>
      </c>
      <c r="G148" t="s">
        <v>302</v>
      </c>
      <c r="H148" t="s">
        <v>237</v>
      </c>
    </row>
    <row r="149" spans="1:8" x14ac:dyDescent="0.35">
      <c r="A149" t="s">
        <v>543</v>
      </c>
      <c r="B149" t="s">
        <v>544</v>
      </c>
      <c r="C149" t="s">
        <v>288</v>
      </c>
      <c r="D149" t="s">
        <v>336</v>
      </c>
      <c r="E149" t="s">
        <v>305</v>
      </c>
      <c r="F149" t="s">
        <v>243</v>
      </c>
      <c r="G149" t="s">
        <v>236</v>
      </c>
      <c r="H149" t="s">
        <v>237</v>
      </c>
    </row>
    <row r="150" spans="1:8" x14ac:dyDescent="0.35">
      <c r="A150" t="s">
        <v>545</v>
      </c>
      <c r="B150" t="s">
        <v>546</v>
      </c>
      <c r="C150" t="s">
        <v>349</v>
      </c>
      <c r="D150" t="s">
        <v>289</v>
      </c>
      <c r="E150" t="s">
        <v>234</v>
      </c>
      <c r="F150" t="s">
        <v>235</v>
      </c>
      <c r="G150" t="s">
        <v>236</v>
      </c>
      <c r="H150" t="s">
        <v>237</v>
      </c>
    </row>
    <row r="151" spans="1:8" x14ac:dyDescent="0.35">
      <c r="A151" t="s">
        <v>547</v>
      </c>
      <c r="B151" t="s">
        <v>375</v>
      </c>
      <c r="C151" t="s">
        <v>297</v>
      </c>
      <c r="D151" t="s">
        <v>262</v>
      </c>
      <c r="E151" t="s">
        <v>256</v>
      </c>
      <c r="F151" t="s">
        <v>243</v>
      </c>
      <c r="G151" t="s">
        <v>302</v>
      </c>
      <c r="H151" t="s">
        <v>237</v>
      </c>
    </row>
    <row r="152" spans="1:8" x14ac:dyDescent="0.35">
      <c r="A152" t="s">
        <v>548</v>
      </c>
      <c r="B152" t="s">
        <v>549</v>
      </c>
      <c r="C152" t="s">
        <v>349</v>
      </c>
      <c r="D152" t="s">
        <v>325</v>
      </c>
      <c r="E152" t="s">
        <v>333</v>
      </c>
      <c r="F152" t="s">
        <v>264</v>
      </c>
      <c r="G152" t="s">
        <v>236</v>
      </c>
      <c r="H152" t="s">
        <v>237</v>
      </c>
    </row>
    <row r="153" spans="1:8" x14ac:dyDescent="0.35">
      <c r="A153" t="s">
        <v>550</v>
      </c>
      <c r="B153" t="s">
        <v>408</v>
      </c>
      <c r="C153" t="s">
        <v>301</v>
      </c>
      <c r="D153" t="s">
        <v>293</v>
      </c>
      <c r="E153" t="s">
        <v>256</v>
      </c>
      <c r="F153" t="s">
        <v>243</v>
      </c>
      <c r="G153" t="s">
        <v>236</v>
      </c>
      <c r="H153" t="s">
        <v>237</v>
      </c>
    </row>
    <row r="154" spans="1:8" x14ac:dyDescent="0.35">
      <c r="A154" t="s">
        <v>551</v>
      </c>
      <c r="B154" t="s">
        <v>304</v>
      </c>
      <c r="C154" t="s">
        <v>341</v>
      </c>
      <c r="D154" t="s">
        <v>233</v>
      </c>
      <c r="E154" t="s">
        <v>357</v>
      </c>
      <c r="F154" t="s">
        <v>264</v>
      </c>
      <c r="G154" t="s">
        <v>314</v>
      </c>
      <c r="H154" t="s">
        <v>265</v>
      </c>
    </row>
    <row r="155" spans="1:8" x14ac:dyDescent="0.35">
      <c r="A155" t="s">
        <v>552</v>
      </c>
      <c r="B155" t="s">
        <v>553</v>
      </c>
      <c r="C155" t="s">
        <v>274</v>
      </c>
      <c r="D155" t="s">
        <v>250</v>
      </c>
      <c r="E155" t="s">
        <v>271</v>
      </c>
      <c r="F155" t="s">
        <v>235</v>
      </c>
      <c r="G155" t="s">
        <v>236</v>
      </c>
      <c r="H155" t="s">
        <v>237</v>
      </c>
    </row>
    <row r="156" spans="1:8" x14ac:dyDescent="0.35">
      <c r="A156" t="s">
        <v>554</v>
      </c>
      <c r="B156" t="s">
        <v>445</v>
      </c>
      <c r="C156" t="s">
        <v>274</v>
      </c>
      <c r="D156" t="s">
        <v>262</v>
      </c>
      <c r="E156" t="s">
        <v>413</v>
      </c>
      <c r="F156" t="s">
        <v>235</v>
      </c>
      <c r="G156" t="s">
        <v>314</v>
      </c>
      <c r="H156" t="s">
        <v>237</v>
      </c>
    </row>
    <row r="157" spans="1:8" x14ac:dyDescent="0.35">
      <c r="A157" t="s">
        <v>555</v>
      </c>
      <c r="B157" t="s">
        <v>391</v>
      </c>
      <c r="C157" t="s">
        <v>232</v>
      </c>
      <c r="D157" t="s">
        <v>241</v>
      </c>
      <c r="E157" t="s">
        <v>263</v>
      </c>
      <c r="F157" t="s">
        <v>264</v>
      </c>
      <c r="G157" t="s">
        <v>236</v>
      </c>
      <c r="H157" t="s">
        <v>237</v>
      </c>
    </row>
    <row r="158" spans="1:8" x14ac:dyDescent="0.35">
      <c r="A158" t="s">
        <v>556</v>
      </c>
      <c r="B158" t="s">
        <v>472</v>
      </c>
      <c r="C158" t="s">
        <v>349</v>
      </c>
      <c r="D158" t="s">
        <v>336</v>
      </c>
      <c r="E158" t="s">
        <v>234</v>
      </c>
      <c r="F158" t="s">
        <v>235</v>
      </c>
      <c r="G158" t="s">
        <v>302</v>
      </c>
      <c r="H158" t="s">
        <v>237</v>
      </c>
    </row>
    <row r="159" spans="1:8" x14ac:dyDescent="0.35">
      <c r="A159" t="s">
        <v>557</v>
      </c>
      <c r="B159" t="s">
        <v>558</v>
      </c>
      <c r="C159" t="s">
        <v>297</v>
      </c>
      <c r="D159" t="s">
        <v>268</v>
      </c>
      <c r="E159" t="s">
        <v>251</v>
      </c>
      <c r="F159" t="s">
        <v>235</v>
      </c>
      <c r="G159" t="s">
        <v>314</v>
      </c>
      <c r="H159" t="s">
        <v>237</v>
      </c>
    </row>
    <row r="160" spans="1:8" x14ac:dyDescent="0.35">
      <c r="A160" t="s">
        <v>559</v>
      </c>
      <c r="B160" t="s">
        <v>311</v>
      </c>
      <c r="C160" t="s">
        <v>297</v>
      </c>
      <c r="D160" t="s">
        <v>293</v>
      </c>
      <c r="E160" t="s">
        <v>251</v>
      </c>
      <c r="F160" t="s">
        <v>235</v>
      </c>
      <c r="G160" t="s">
        <v>236</v>
      </c>
      <c r="H160" t="s">
        <v>237</v>
      </c>
    </row>
    <row r="161" spans="1:8" x14ac:dyDescent="0.35">
      <c r="A161" t="s">
        <v>560</v>
      </c>
      <c r="B161" t="s">
        <v>292</v>
      </c>
      <c r="C161" t="s">
        <v>280</v>
      </c>
      <c r="D161" t="s">
        <v>268</v>
      </c>
      <c r="E161" t="s">
        <v>319</v>
      </c>
      <c r="F161" t="s">
        <v>264</v>
      </c>
      <c r="G161" t="s">
        <v>236</v>
      </c>
      <c r="H161" t="s">
        <v>237</v>
      </c>
    </row>
    <row r="162" spans="1:8" x14ac:dyDescent="0.35">
      <c r="A162" t="s">
        <v>561</v>
      </c>
      <c r="B162" t="s">
        <v>562</v>
      </c>
      <c r="C162" t="s">
        <v>341</v>
      </c>
      <c r="D162" t="s">
        <v>293</v>
      </c>
      <c r="E162" t="s">
        <v>269</v>
      </c>
      <c r="F162" t="s">
        <v>243</v>
      </c>
      <c r="G162" t="s">
        <v>236</v>
      </c>
      <c r="H162" t="s">
        <v>237</v>
      </c>
    </row>
    <row r="163" spans="1:8" x14ac:dyDescent="0.35">
      <c r="A163" t="s">
        <v>563</v>
      </c>
      <c r="B163" t="s">
        <v>311</v>
      </c>
      <c r="C163" t="s">
        <v>254</v>
      </c>
      <c r="D163" t="s">
        <v>250</v>
      </c>
      <c r="E163" t="s">
        <v>290</v>
      </c>
      <c r="F163" t="s">
        <v>264</v>
      </c>
      <c r="G163" t="s">
        <v>236</v>
      </c>
      <c r="H163" t="s">
        <v>237</v>
      </c>
    </row>
    <row r="164" spans="1:8" x14ac:dyDescent="0.35">
      <c r="A164" t="s">
        <v>564</v>
      </c>
      <c r="B164" t="s">
        <v>526</v>
      </c>
      <c r="C164" t="s">
        <v>280</v>
      </c>
      <c r="D164" t="s">
        <v>392</v>
      </c>
      <c r="E164" t="s">
        <v>305</v>
      </c>
      <c r="F164" t="s">
        <v>243</v>
      </c>
      <c r="G164" t="s">
        <v>314</v>
      </c>
      <c r="H164" t="s">
        <v>237</v>
      </c>
    </row>
    <row r="165" spans="1:8" x14ac:dyDescent="0.35">
      <c r="A165" t="s">
        <v>565</v>
      </c>
      <c r="B165" t="s">
        <v>566</v>
      </c>
      <c r="C165" t="s">
        <v>254</v>
      </c>
      <c r="D165" t="s">
        <v>567</v>
      </c>
      <c r="E165" t="s">
        <v>357</v>
      </c>
      <c r="G165" t="s">
        <v>314</v>
      </c>
      <c r="H165" t="s">
        <v>237</v>
      </c>
    </row>
    <row r="166" spans="1:8" x14ac:dyDescent="0.35">
      <c r="A166" t="s">
        <v>568</v>
      </c>
      <c r="B166" t="s">
        <v>360</v>
      </c>
      <c r="C166" t="s">
        <v>341</v>
      </c>
      <c r="D166" t="s">
        <v>392</v>
      </c>
      <c r="E166" t="s">
        <v>413</v>
      </c>
      <c r="G166" t="s">
        <v>236</v>
      </c>
      <c r="H166" t="s">
        <v>237</v>
      </c>
    </row>
    <row r="167" spans="1:8" x14ac:dyDescent="0.35">
      <c r="A167" t="s">
        <v>569</v>
      </c>
      <c r="B167" t="s">
        <v>535</v>
      </c>
      <c r="C167" t="s">
        <v>349</v>
      </c>
      <c r="D167" t="s">
        <v>308</v>
      </c>
      <c r="E167" t="s">
        <v>294</v>
      </c>
      <c r="G167" t="s">
        <v>236</v>
      </c>
      <c r="H167" t="s">
        <v>265</v>
      </c>
    </row>
    <row r="168" spans="1:8" x14ac:dyDescent="0.35">
      <c r="A168" t="s">
        <v>570</v>
      </c>
      <c r="B168" t="s">
        <v>435</v>
      </c>
      <c r="C168" t="s">
        <v>341</v>
      </c>
      <c r="D168" t="s">
        <v>571</v>
      </c>
      <c r="E168" t="s">
        <v>290</v>
      </c>
      <c r="F168" t="s">
        <v>264</v>
      </c>
      <c r="G168" t="s">
        <v>236</v>
      </c>
      <c r="H168" t="s">
        <v>237</v>
      </c>
    </row>
    <row r="169" spans="1:8" x14ac:dyDescent="0.35">
      <c r="A169" t="s">
        <v>572</v>
      </c>
      <c r="B169" t="s">
        <v>304</v>
      </c>
      <c r="C169" t="s">
        <v>288</v>
      </c>
      <c r="D169" t="s">
        <v>323</v>
      </c>
      <c r="E169" t="s">
        <v>393</v>
      </c>
      <c r="F169" t="s">
        <v>235</v>
      </c>
      <c r="G169" t="s">
        <v>236</v>
      </c>
      <c r="H169" t="s">
        <v>237</v>
      </c>
    </row>
    <row r="170" spans="1:8" x14ac:dyDescent="0.35">
      <c r="A170" t="s">
        <v>573</v>
      </c>
      <c r="B170" t="s">
        <v>277</v>
      </c>
      <c r="C170" t="s">
        <v>274</v>
      </c>
      <c r="D170" t="s">
        <v>325</v>
      </c>
      <c r="E170" t="s">
        <v>234</v>
      </c>
      <c r="F170" t="s">
        <v>235</v>
      </c>
      <c r="G170" t="s">
        <v>236</v>
      </c>
      <c r="H170" t="s">
        <v>237</v>
      </c>
    </row>
    <row r="171" spans="1:8" x14ac:dyDescent="0.35">
      <c r="A171" t="s">
        <v>574</v>
      </c>
      <c r="B171" t="s">
        <v>458</v>
      </c>
      <c r="C171" t="s">
        <v>341</v>
      </c>
      <c r="D171" t="s">
        <v>490</v>
      </c>
      <c r="E171" t="s">
        <v>326</v>
      </c>
      <c r="G171" t="s">
        <v>236</v>
      </c>
      <c r="H171" t="s">
        <v>237</v>
      </c>
    </row>
    <row r="172" spans="1:8" x14ac:dyDescent="0.35">
      <c r="A172" t="s">
        <v>575</v>
      </c>
      <c r="B172" t="s">
        <v>439</v>
      </c>
      <c r="C172" t="s">
        <v>274</v>
      </c>
      <c r="D172" t="s">
        <v>241</v>
      </c>
      <c r="E172" t="s">
        <v>285</v>
      </c>
      <c r="F172" t="s">
        <v>264</v>
      </c>
      <c r="G172" t="s">
        <v>236</v>
      </c>
      <c r="H172" t="s">
        <v>237</v>
      </c>
    </row>
    <row r="173" spans="1:8" x14ac:dyDescent="0.35">
      <c r="A173" t="s">
        <v>576</v>
      </c>
      <c r="B173" t="s">
        <v>577</v>
      </c>
      <c r="C173" t="s">
        <v>349</v>
      </c>
      <c r="D173" t="s">
        <v>336</v>
      </c>
      <c r="E173" t="s">
        <v>256</v>
      </c>
      <c r="F173" t="s">
        <v>243</v>
      </c>
      <c r="G173" t="s">
        <v>236</v>
      </c>
      <c r="H173" t="s">
        <v>237</v>
      </c>
    </row>
    <row r="174" spans="1:8" x14ac:dyDescent="0.35">
      <c r="A174" t="s">
        <v>578</v>
      </c>
      <c r="B174" t="s">
        <v>368</v>
      </c>
      <c r="C174" t="s">
        <v>232</v>
      </c>
      <c r="D174" t="s">
        <v>461</v>
      </c>
      <c r="E174" t="s">
        <v>413</v>
      </c>
      <c r="F174" t="s">
        <v>235</v>
      </c>
      <c r="G174" t="s">
        <v>236</v>
      </c>
      <c r="H174" t="s">
        <v>237</v>
      </c>
    </row>
    <row r="175" spans="1:8" x14ac:dyDescent="0.35">
      <c r="A175" t="s">
        <v>579</v>
      </c>
      <c r="B175" t="s">
        <v>514</v>
      </c>
      <c r="C175" t="s">
        <v>349</v>
      </c>
      <c r="D175" t="s">
        <v>461</v>
      </c>
      <c r="E175" t="s">
        <v>309</v>
      </c>
      <c r="F175" t="s">
        <v>243</v>
      </c>
      <c r="G175" t="s">
        <v>236</v>
      </c>
      <c r="H175" t="s">
        <v>237</v>
      </c>
    </row>
    <row r="176" spans="1:8" x14ac:dyDescent="0.35">
      <c r="A176" t="s">
        <v>580</v>
      </c>
      <c r="B176" t="s">
        <v>581</v>
      </c>
      <c r="C176" t="s">
        <v>288</v>
      </c>
      <c r="D176" t="s">
        <v>392</v>
      </c>
      <c r="E176" t="s">
        <v>271</v>
      </c>
      <c r="F176" t="s">
        <v>235</v>
      </c>
      <c r="G176" t="s">
        <v>236</v>
      </c>
      <c r="H176" t="s">
        <v>265</v>
      </c>
    </row>
    <row r="177" spans="1:8" x14ac:dyDescent="0.35">
      <c r="A177" t="s">
        <v>582</v>
      </c>
      <c r="B177" t="s">
        <v>583</v>
      </c>
      <c r="C177" t="s">
        <v>274</v>
      </c>
      <c r="D177" t="s">
        <v>275</v>
      </c>
      <c r="E177" t="s">
        <v>298</v>
      </c>
      <c r="F177" t="s">
        <v>264</v>
      </c>
      <c r="G177" t="s">
        <v>314</v>
      </c>
      <c r="H177" t="s">
        <v>237</v>
      </c>
    </row>
    <row r="178" spans="1:8" x14ac:dyDescent="0.35">
      <c r="A178" t="s">
        <v>584</v>
      </c>
      <c r="B178" t="s">
        <v>562</v>
      </c>
      <c r="C178" t="s">
        <v>274</v>
      </c>
      <c r="D178" t="s">
        <v>293</v>
      </c>
      <c r="E178" t="s">
        <v>357</v>
      </c>
      <c r="F178" t="s">
        <v>264</v>
      </c>
      <c r="G178" t="s">
        <v>236</v>
      </c>
      <c r="H178" t="s">
        <v>237</v>
      </c>
    </row>
    <row r="179" spans="1:8" x14ac:dyDescent="0.35">
      <c r="A179" t="s">
        <v>585</v>
      </c>
      <c r="B179" t="s">
        <v>586</v>
      </c>
      <c r="C179" t="s">
        <v>301</v>
      </c>
      <c r="D179" t="s">
        <v>323</v>
      </c>
      <c r="E179" t="s">
        <v>234</v>
      </c>
      <c r="F179" t="s">
        <v>235</v>
      </c>
      <c r="G179" t="s">
        <v>236</v>
      </c>
      <c r="H179" t="s">
        <v>237</v>
      </c>
    </row>
    <row r="180" spans="1:8" x14ac:dyDescent="0.35">
      <c r="A180" t="s">
        <v>587</v>
      </c>
      <c r="B180" t="s">
        <v>431</v>
      </c>
      <c r="C180" t="s">
        <v>280</v>
      </c>
      <c r="D180" t="s">
        <v>250</v>
      </c>
      <c r="E180" t="s">
        <v>247</v>
      </c>
      <c r="F180" t="s">
        <v>235</v>
      </c>
      <c r="G180" t="s">
        <v>236</v>
      </c>
      <c r="H180" t="s">
        <v>237</v>
      </c>
    </row>
    <row r="181" spans="1:8" x14ac:dyDescent="0.35">
      <c r="A181" t="s">
        <v>588</v>
      </c>
      <c r="B181" t="s">
        <v>435</v>
      </c>
      <c r="C181" t="s">
        <v>341</v>
      </c>
      <c r="D181" t="s">
        <v>323</v>
      </c>
      <c r="E181" t="s">
        <v>290</v>
      </c>
      <c r="F181" t="s">
        <v>264</v>
      </c>
      <c r="G181" t="s">
        <v>236</v>
      </c>
      <c r="H181" t="s">
        <v>237</v>
      </c>
    </row>
    <row r="182" spans="1:8" x14ac:dyDescent="0.35">
      <c r="A182" t="s">
        <v>589</v>
      </c>
      <c r="B182" t="s">
        <v>484</v>
      </c>
      <c r="C182" t="s">
        <v>288</v>
      </c>
      <c r="D182" t="s">
        <v>293</v>
      </c>
      <c r="E182" t="s">
        <v>290</v>
      </c>
      <c r="F182" t="s">
        <v>264</v>
      </c>
      <c r="G182" t="s">
        <v>302</v>
      </c>
      <c r="H182" t="s">
        <v>237</v>
      </c>
    </row>
    <row r="183" spans="1:8" x14ac:dyDescent="0.35">
      <c r="A183" t="s">
        <v>590</v>
      </c>
      <c r="B183" t="s">
        <v>591</v>
      </c>
      <c r="C183" t="s">
        <v>301</v>
      </c>
      <c r="D183" t="s">
        <v>461</v>
      </c>
      <c r="E183" t="s">
        <v>393</v>
      </c>
      <c r="F183" t="s">
        <v>235</v>
      </c>
      <c r="G183" t="s">
        <v>236</v>
      </c>
      <c r="H183" t="s">
        <v>237</v>
      </c>
    </row>
    <row r="184" spans="1:8" x14ac:dyDescent="0.35">
      <c r="A184" t="s">
        <v>592</v>
      </c>
      <c r="B184" t="s">
        <v>478</v>
      </c>
      <c r="C184" t="s">
        <v>297</v>
      </c>
      <c r="D184" t="s">
        <v>250</v>
      </c>
      <c r="E184" t="s">
        <v>294</v>
      </c>
      <c r="F184" t="s">
        <v>243</v>
      </c>
      <c r="G184" t="s">
        <v>302</v>
      </c>
      <c r="H184" t="s">
        <v>237</v>
      </c>
    </row>
    <row r="185" spans="1:8" x14ac:dyDescent="0.35">
      <c r="A185" t="s">
        <v>593</v>
      </c>
      <c r="B185" t="s">
        <v>594</v>
      </c>
      <c r="C185" t="s">
        <v>349</v>
      </c>
      <c r="D185" t="s">
        <v>241</v>
      </c>
      <c r="E185" t="s">
        <v>269</v>
      </c>
      <c r="F185" t="s">
        <v>243</v>
      </c>
      <c r="G185" t="s">
        <v>236</v>
      </c>
      <c r="H185" t="s">
        <v>237</v>
      </c>
    </row>
    <row r="186" spans="1:8" x14ac:dyDescent="0.35">
      <c r="A186" t="s">
        <v>595</v>
      </c>
      <c r="B186" t="s">
        <v>253</v>
      </c>
      <c r="C186" t="s">
        <v>232</v>
      </c>
      <c r="D186" t="s">
        <v>250</v>
      </c>
      <c r="E186" t="s">
        <v>271</v>
      </c>
      <c r="F186" t="s">
        <v>235</v>
      </c>
      <c r="G186" t="s">
        <v>236</v>
      </c>
      <c r="H186" t="s">
        <v>237</v>
      </c>
    </row>
    <row r="187" spans="1:8" x14ac:dyDescent="0.35">
      <c r="A187" t="s">
        <v>596</v>
      </c>
      <c r="B187" t="s">
        <v>443</v>
      </c>
      <c r="C187" t="s">
        <v>349</v>
      </c>
      <c r="D187" t="s">
        <v>233</v>
      </c>
      <c r="E187" t="s">
        <v>326</v>
      </c>
      <c r="F187" t="s">
        <v>264</v>
      </c>
      <c r="G187" t="s">
        <v>302</v>
      </c>
      <c r="H187" t="s">
        <v>237</v>
      </c>
    </row>
    <row r="188" spans="1:8" x14ac:dyDescent="0.35">
      <c r="A188" t="s">
        <v>597</v>
      </c>
      <c r="B188" t="s">
        <v>598</v>
      </c>
      <c r="C188" t="s">
        <v>240</v>
      </c>
      <c r="D188" t="s">
        <v>275</v>
      </c>
      <c r="E188" t="s">
        <v>251</v>
      </c>
      <c r="F188" t="s">
        <v>235</v>
      </c>
      <c r="G188" t="s">
        <v>236</v>
      </c>
      <c r="H188" t="s">
        <v>237</v>
      </c>
    </row>
    <row r="189" spans="1:8" x14ac:dyDescent="0.35">
      <c r="A189" t="s">
        <v>599</v>
      </c>
      <c r="B189" t="s">
        <v>600</v>
      </c>
      <c r="C189" t="s">
        <v>288</v>
      </c>
      <c r="D189" t="s">
        <v>241</v>
      </c>
      <c r="E189" t="s">
        <v>309</v>
      </c>
      <c r="F189" t="s">
        <v>243</v>
      </c>
      <c r="G189" t="s">
        <v>302</v>
      </c>
      <c r="H189" t="s">
        <v>237</v>
      </c>
    </row>
    <row r="190" spans="1:8" x14ac:dyDescent="0.35">
      <c r="A190" t="s">
        <v>601</v>
      </c>
      <c r="B190" t="s">
        <v>602</v>
      </c>
      <c r="C190" t="s">
        <v>274</v>
      </c>
      <c r="D190" t="s">
        <v>255</v>
      </c>
      <c r="E190" t="s">
        <v>271</v>
      </c>
      <c r="F190" t="s">
        <v>235</v>
      </c>
      <c r="G190" t="s">
        <v>302</v>
      </c>
      <c r="H190" t="s">
        <v>237</v>
      </c>
    </row>
    <row r="191" spans="1:8" x14ac:dyDescent="0.35">
      <c r="A191" t="s">
        <v>603</v>
      </c>
      <c r="B191" t="s">
        <v>508</v>
      </c>
      <c r="C191" t="s">
        <v>341</v>
      </c>
      <c r="D191" t="s">
        <v>262</v>
      </c>
      <c r="E191" t="s">
        <v>290</v>
      </c>
      <c r="F191" t="s">
        <v>264</v>
      </c>
      <c r="G191" t="s">
        <v>302</v>
      </c>
      <c r="H191" t="s">
        <v>237</v>
      </c>
    </row>
    <row r="192" spans="1:8" x14ac:dyDescent="0.35">
      <c r="A192" t="s">
        <v>604</v>
      </c>
      <c r="B192" t="s">
        <v>431</v>
      </c>
      <c r="C192" t="s">
        <v>232</v>
      </c>
      <c r="D192" t="s">
        <v>246</v>
      </c>
      <c r="E192" t="s">
        <v>256</v>
      </c>
      <c r="F192" t="s">
        <v>243</v>
      </c>
      <c r="G192" t="s">
        <v>236</v>
      </c>
      <c r="H192" t="s">
        <v>237</v>
      </c>
    </row>
    <row r="193" spans="1:8" x14ac:dyDescent="0.35">
      <c r="A193" t="s">
        <v>605</v>
      </c>
      <c r="B193" t="s">
        <v>389</v>
      </c>
      <c r="C193" t="s">
        <v>341</v>
      </c>
      <c r="D193" t="s">
        <v>323</v>
      </c>
      <c r="E193" t="s">
        <v>290</v>
      </c>
      <c r="F193" t="s">
        <v>264</v>
      </c>
      <c r="G193" t="s">
        <v>236</v>
      </c>
      <c r="H193" t="s">
        <v>237</v>
      </c>
    </row>
    <row r="194" spans="1:8" x14ac:dyDescent="0.35">
      <c r="A194" t="s">
        <v>606</v>
      </c>
      <c r="B194" t="s">
        <v>600</v>
      </c>
      <c r="C194" t="s">
        <v>280</v>
      </c>
      <c r="D194" t="s">
        <v>293</v>
      </c>
      <c r="E194" t="s">
        <v>294</v>
      </c>
      <c r="G194" t="s">
        <v>302</v>
      </c>
      <c r="H194" t="s">
        <v>237</v>
      </c>
    </row>
    <row r="195" spans="1:8" x14ac:dyDescent="0.35">
      <c r="A195" t="s">
        <v>607</v>
      </c>
      <c r="B195" t="s">
        <v>608</v>
      </c>
      <c r="C195" t="s">
        <v>288</v>
      </c>
      <c r="D195" t="s">
        <v>268</v>
      </c>
      <c r="E195" t="s">
        <v>290</v>
      </c>
      <c r="F195" t="s">
        <v>264</v>
      </c>
      <c r="G195" t="s">
        <v>236</v>
      </c>
      <c r="H195" t="s">
        <v>265</v>
      </c>
    </row>
    <row r="196" spans="1:8" x14ac:dyDescent="0.35">
      <c r="A196" t="s">
        <v>609</v>
      </c>
      <c r="B196" t="s">
        <v>610</v>
      </c>
      <c r="C196" t="s">
        <v>280</v>
      </c>
      <c r="D196" t="s">
        <v>325</v>
      </c>
      <c r="E196" t="s">
        <v>285</v>
      </c>
      <c r="G196" t="s">
        <v>236</v>
      </c>
      <c r="H196" t="s">
        <v>237</v>
      </c>
    </row>
    <row r="197" spans="1:8" x14ac:dyDescent="0.35">
      <c r="A197" t="s">
        <v>611</v>
      </c>
      <c r="B197" t="s">
        <v>287</v>
      </c>
      <c r="C197" t="s">
        <v>232</v>
      </c>
      <c r="D197" t="s">
        <v>241</v>
      </c>
      <c r="E197" t="s">
        <v>247</v>
      </c>
      <c r="F197" t="s">
        <v>235</v>
      </c>
      <c r="G197" t="s">
        <v>236</v>
      </c>
      <c r="H197" t="s">
        <v>237</v>
      </c>
    </row>
    <row r="198" spans="1:8" x14ac:dyDescent="0.35">
      <c r="A198" t="s">
        <v>612</v>
      </c>
      <c r="B198" t="s">
        <v>447</v>
      </c>
      <c r="C198" t="s">
        <v>240</v>
      </c>
      <c r="D198" t="s">
        <v>325</v>
      </c>
      <c r="E198" t="s">
        <v>393</v>
      </c>
      <c r="F198" t="s">
        <v>235</v>
      </c>
      <c r="G198" t="s">
        <v>236</v>
      </c>
      <c r="H198" t="s">
        <v>237</v>
      </c>
    </row>
    <row r="199" spans="1:8" x14ac:dyDescent="0.35">
      <c r="A199" t="s">
        <v>613</v>
      </c>
      <c r="B199" t="s">
        <v>304</v>
      </c>
      <c r="C199" t="s">
        <v>349</v>
      </c>
      <c r="D199" t="s">
        <v>571</v>
      </c>
      <c r="E199" t="s">
        <v>242</v>
      </c>
      <c r="F199" t="s">
        <v>243</v>
      </c>
      <c r="G199" t="s">
        <v>302</v>
      </c>
      <c r="H199" t="s">
        <v>237</v>
      </c>
    </row>
    <row r="200" spans="1:8" x14ac:dyDescent="0.35">
      <c r="A200" t="s">
        <v>614</v>
      </c>
      <c r="B200" t="s">
        <v>615</v>
      </c>
      <c r="C200" t="s">
        <v>288</v>
      </c>
      <c r="D200" t="s">
        <v>275</v>
      </c>
      <c r="E200" t="s">
        <v>234</v>
      </c>
      <c r="F200" t="s">
        <v>235</v>
      </c>
      <c r="G200" t="s">
        <v>302</v>
      </c>
      <c r="H200" t="s">
        <v>237</v>
      </c>
    </row>
    <row r="201" spans="1:8" x14ac:dyDescent="0.35">
      <c r="A201" t="s">
        <v>616</v>
      </c>
      <c r="B201" t="s">
        <v>231</v>
      </c>
      <c r="C201" t="s">
        <v>232</v>
      </c>
      <c r="D201" t="s">
        <v>246</v>
      </c>
      <c r="E201" t="s">
        <v>319</v>
      </c>
      <c r="F201" t="s">
        <v>264</v>
      </c>
      <c r="G201" t="s">
        <v>236</v>
      </c>
      <c r="H201" t="s">
        <v>237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FAE5-F2AF-4A88-A492-CF813D7EE833}">
  <dimension ref="A1:K26"/>
  <sheetViews>
    <sheetView topLeftCell="A5" zoomScale="90" zoomScaleNormal="90" workbookViewId="0">
      <selection activeCell="G16" sqref="G16"/>
    </sheetView>
  </sheetViews>
  <sheetFormatPr defaultRowHeight="14.5" x14ac:dyDescent="0.35"/>
  <cols>
    <col min="1" max="1" width="13.81640625" bestFit="1" customWidth="1"/>
    <col min="2" max="2" width="16.81640625" bestFit="1" customWidth="1"/>
    <col min="3" max="3" width="20" bestFit="1" customWidth="1"/>
    <col min="4" max="4" width="15.26953125" bestFit="1" customWidth="1"/>
    <col min="5" max="5" width="16.81640625" bestFit="1" customWidth="1"/>
    <col min="6" max="6" width="14.26953125" bestFit="1" customWidth="1"/>
    <col min="7" max="7" width="21.26953125" bestFit="1" customWidth="1"/>
    <col min="8" max="8" width="18.54296875" bestFit="1" customWidth="1"/>
    <col min="9" max="9" width="11.26953125" bestFit="1" customWidth="1"/>
    <col min="10" max="10" width="10.54296875" bestFit="1" customWidth="1"/>
    <col min="11" max="11" width="19.54296875" bestFit="1" customWidth="1"/>
  </cols>
  <sheetData>
    <row r="1" spans="1:11" ht="19" thickBot="1" x14ac:dyDescent="0.5">
      <c r="A1" s="4" t="s">
        <v>3477</v>
      </c>
      <c r="B1" s="4" t="s">
        <v>3478</v>
      </c>
      <c r="C1" s="4" t="s">
        <v>3479</v>
      </c>
      <c r="D1" s="4" t="s">
        <v>620</v>
      </c>
      <c r="E1" s="4" t="s">
        <v>3480</v>
      </c>
      <c r="F1" s="4" t="s">
        <v>3481</v>
      </c>
      <c r="G1" s="4" t="s">
        <v>3482</v>
      </c>
      <c r="H1" s="4" t="s">
        <v>3483</v>
      </c>
      <c r="I1" s="4" t="s">
        <v>3484</v>
      </c>
      <c r="J1" s="4" t="s">
        <v>3485</v>
      </c>
      <c r="K1" s="4" t="s">
        <v>3486</v>
      </c>
    </row>
    <row r="2" spans="1:11" x14ac:dyDescent="0.35">
      <c r="A2" t="s">
        <v>3487</v>
      </c>
      <c r="B2" s="5">
        <v>46027</v>
      </c>
      <c r="C2" t="s">
        <v>892</v>
      </c>
      <c r="D2" t="s">
        <v>633</v>
      </c>
      <c r="E2" t="s">
        <v>14</v>
      </c>
      <c r="F2" t="s">
        <v>3488</v>
      </c>
      <c r="G2" t="s">
        <v>3489</v>
      </c>
      <c r="H2" s="3">
        <v>1250</v>
      </c>
      <c r="I2">
        <v>2</v>
      </c>
      <c r="J2" t="s">
        <v>813</v>
      </c>
      <c r="K2" t="s">
        <v>3490</v>
      </c>
    </row>
    <row r="3" spans="1:11" x14ac:dyDescent="0.35">
      <c r="A3" t="s">
        <v>3491</v>
      </c>
      <c r="B3" s="5">
        <v>46028</v>
      </c>
      <c r="C3" t="s">
        <v>3492</v>
      </c>
      <c r="D3" t="s">
        <v>254</v>
      </c>
      <c r="E3" t="s">
        <v>20</v>
      </c>
      <c r="F3" t="s">
        <v>3493</v>
      </c>
      <c r="G3" t="s">
        <v>3494</v>
      </c>
      <c r="H3" s="23" t="s">
        <v>3567</v>
      </c>
      <c r="I3">
        <v>5</v>
      </c>
      <c r="J3" t="s">
        <v>798</v>
      </c>
      <c r="K3" t="s">
        <v>793</v>
      </c>
    </row>
    <row r="4" spans="1:11" x14ac:dyDescent="0.35">
      <c r="A4" t="s">
        <v>3495</v>
      </c>
      <c r="B4" s="5">
        <v>46029</v>
      </c>
      <c r="C4" t="s">
        <v>3245</v>
      </c>
      <c r="D4" t="s">
        <v>674</v>
      </c>
      <c r="E4" t="s">
        <v>797</v>
      </c>
      <c r="F4" t="s">
        <v>3496</v>
      </c>
      <c r="G4" t="s">
        <v>3489</v>
      </c>
      <c r="H4" s="3">
        <v>95</v>
      </c>
      <c r="I4">
        <v>10</v>
      </c>
      <c r="J4" t="s">
        <v>786</v>
      </c>
      <c r="K4" t="s">
        <v>793</v>
      </c>
    </row>
    <row r="5" spans="1:11" x14ac:dyDescent="0.35">
      <c r="A5" t="s">
        <v>3577</v>
      </c>
      <c r="B5" s="5">
        <v>46030</v>
      </c>
      <c r="C5" t="s">
        <v>888</v>
      </c>
      <c r="D5" t="s">
        <v>696</v>
      </c>
      <c r="E5" t="s">
        <v>48</v>
      </c>
      <c r="F5" t="s">
        <v>3497</v>
      </c>
      <c r="G5" t="s">
        <v>3494</v>
      </c>
      <c r="H5" s="3">
        <v>850</v>
      </c>
      <c r="I5">
        <v>1</v>
      </c>
      <c r="J5" t="s">
        <v>813</v>
      </c>
      <c r="K5" t="s">
        <v>3490</v>
      </c>
    </row>
    <row r="6" spans="1:11" x14ac:dyDescent="0.35">
      <c r="A6" t="s">
        <v>3498</v>
      </c>
      <c r="B6" s="5">
        <v>46031</v>
      </c>
      <c r="C6" t="s">
        <v>3499</v>
      </c>
      <c r="D6" t="s">
        <v>681</v>
      </c>
      <c r="E6" t="s">
        <v>20</v>
      </c>
      <c r="F6" t="s">
        <v>3500</v>
      </c>
      <c r="G6" t="s">
        <v>3489</v>
      </c>
      <c r="H6" s="3">
        <v>1200</v>
      </c>
      <c r="I6">
        <v>3</v>
      </c>
      <c r="J6" t="s">
        <v>798</v>
      </c>
      <c r="K6" t="s">
        <v>3501</v>
      </c>
    </row>
    <row r="7" spans="1:11" x14ac:dyDescent="0.35">
      <c r="A7" t="s">
        <v>3502</v>
      </c>
      <c r="B7" s="24" t="s">
        <v>3573</v>
      </c>
      <c r="C7" t="s">
        <v>3503</v>
      </c>
      <c r="D7" t="s">
        <v>627</v>
      </c>
      <c r="E7" t="s">
        <v>14</v>
      </c>
      <c r="F7" t="s">
        <v>3488</v>
      </c>
      <c r="G7" t="s">
        <v>3489</v>
      </c>
      <c r="H7" s="3">
        <v>640</v>
      </c>
      <c r="I7">
        <v>4</v>
      </c>
      <c r="J7" t="s">
        <v>813</v>
      </c>
      <c r="K7" t="s">
        <v>3490</v>
      </c>
    </row>
    <row r="8" spans="1:11" x14ac:dyDescent="0.35">
      <c r="A8" t="s">
        <v>3504</v>
      </c>
      <c r="B8" s="5">
        <v>46033</v>
      </c>
      <c r="C8" t="s">
        <v>3505</v>
      </c>
      <c r="D8" t="s">
        <v>633</v>
      </c>
      <c r="E8" t="s">
        <v>3572</v>
      </c>
      <c r="F8" t="s">
        <v>3506</v>
      </c>
      <c r="G8" t="s">
        <v>3494</v>
      </c>
      <c r="H8" s="3">
        <v>2200</v>
      </c>
      <c r="I8">
        <v>2</v>
      </c>
      <c r="J8" t="s">
        <v>813</v>
      </c>
      <c r="K8" t="s">
        <v>793</v>
      </c>
    </row>
    <row r="9" spans="1:11" x14ac:dyDescent="0.35">
      <c r="A9" t="s">
        <v>3578</v>
      </c>
      <c r="B9" s="5">
        <v>46034</v>
      </c>
      <c r="C9" t="s">
        <v>3507</v>
      </c>
      <c r="D9" t="s">
        <v>254</v>
      </c>
      <c r="E9" t="s">
        <v>48</v>
      </c>
      <c r="F9" t="s">
        <v>3508</v>
      </c>
      <c r="G9" t="s">
        <v>3494</v>
      </c>
      <c r="H9" s="3">
        <v>1800</v>
      </c>
      <c r="I9">
        <v>1</v>
      </c>
      <c r="J9" t="s">
        <v>798</v>
      </c>
      <c r="K9" t="s">
        <v>793</v>
      </c>
    </row>
    <row r="10" spans="1:11" x14ac:dyDescent="0.35">
      <c r="A10" t="s">
        <v>3509</v>
      </c>
      <c r="B10" s="24" t="s">
        <v>3574</v>
      </c>
      <c r="C10" t="s">
        <v>3510</v>
      </c>
      <c r="D10" t="s">
        <v>674</v>
      </c>
      <c r="E10" t="s">
        <v>797</v>
      </c>
      <c r="F10" t="s">
        <v>3496</v>
      </c>
      <c r="G10" t="s">
        <v>3489</v>
      </c>
      <c r="H10" s="3">
        <v>210</v>
      </c>
      <c r="I10">
        <v>15</v>
      </c>
      <c r="J10" t="s">
        <v>786</v>
      </c>
      <c r="K10" t="s">
        <v>793</v>
      </c>
    </row>
    <row r="11" spans="1:11" x14ac:dyDescent="0.35">
      <c r="A11" t="s">
        <v>3511</v>
      </c>
      <c r="B11" s="5">
        <v>46036</v>
      </c>
      <c r="C11" t="s">
        <v>3512</v>
      </c>
      <c r="D11" t="s">
        <v>696</v>
      </c>
      <c r="E11" t="s">
        <v>3570</v>
      </c>
      <c r="F11" t="s">
        <v>3513</v>
      </c>
      <c r="G11" t="s">
        <v>3494</v>
      </c>
      <c r="H11" s="3">
        <v>3400</v>
      </c>
      <c r="I11">
        <v>6</v>
      </c>
      <c r="J11" t="s">
        <v>813</v>
      </c>
      <c r="K11" t="s">
        <v>3490</v>
      </c>
    </row>
    <row r="12" spans="1:11" x14ac:dyDescent="0.35">
      <c r="A12" t="s">
        <v>3514</v>
      </c>
      <c r="B12" s="5">
        <v>46037</v>
      </c>
      <c r="C12" t="s">
        <v>3515</v>
      </c>
      <c r="D12" t="s">
        <v>681</v>
      </c>
      <c r="E12" t="s">
        <v>48</v>
      </c>
      <c r="F12" t="s">
        <v>3516</v>
      </c>
      <c r="G12" t="s">
        <v>3489</v>
      </c>
      <c r="H12" s="23" t="s">
        <v>3568</v>
      </c>
      <c r="I12">
        <v>1</v>
      </c>
      <c r="J12" t="s">
        <v>798</v>
      </c>
      <c r="K12" t="s">
        <v>793</v>
      </c>
    </row>
    <row r="13" spans="1:11" x14ac:dyDescent="0.35">
      <c r="A13" t="s">
        <v>3517</v>
      </c>
      <c r="B13" s="5">
        <v>46038</v>
      </c>
      <c r="C13" t="s">
        <v>3518</v>
      </c>
      <c r="D13" t="s">
        <v>627</v>
      </c>
      <c r="E13" t="s">
        <v>20</v>
      </c>
      <c r="F13" t="s">
        <v>3519</v>
      </c>
      <c r="G13" t="s">
        <v>3489</v>
      </c>
      <c r="H13" s="3">
        <v>1100</v>
      </c>
      <c r="I13">
        <v>2</v>
      </c>
      <c r="J13" t="s">
        <v>813</v>
      </c>
      <c r="K13" t="s">
        <v>3490</v>
      </c>
    </row>
    <row r="14" spans="1:11" x14ac:dyDescent="0.35">
      <c r="A14" t="s">
        <v>3520</v>
      </c>
      <c r="B14" s="5">
        <v>46039</v>
      </c>
      <c r="C14" t="s">
        <v>3521</v>
      </c>
      <c r="D14" t="s">
        <v>633</v>
      </c>
      <c r="E14" t="s">
        <v>14</v>
      </c>
      <c r="F14" t="s">
        <v>3488</v>
      </c>
      <c r="G14" t="s">
        <v>3494</v>
      </c>
      <c r="H14" s="3">
        <v>4200</v>
      </c>
      <c r="I14">
        <v>8</v>
      </c>
      <c r="J14" t="s">
        <v>813</v>
      </c>
      <c r="K14" t="s">
        <v>793</v>
      </c>
    </row>
    <row r="15" spans="1:11" x14ac:dyDescent="0.35">
      <c r="A15" t="s">
        <v>3522</v>
      </c>
      <c r="B15" s="5" t="s">
        <v>3575</v>
      </c>
      <c r="C15" t="s">
        <v>3523</v>
      </c>
      <c r="D15" t="s">
        <v>254</v>
      </c>
      <c r="E15" t="s">
        <v>3571</v>
      </c>
      <c r="F15" t="s">
        <v>3524</v>
      </c>
      <c r="G15" t="s">
        <v>3489</v>
      </c>
      <c r="H15" s="3">
        <v>75</v>
      </c>
      <c r="I15">
        <v>20</v>
      </c>
      <c r="J15" t="s">
        <v>786</v>
      </c>
      <c r="K15" t="s">
        <v>793</v>
      </c>
    </row>
    <row r="16" spans="1:11" x14ac:dyDescent="0.35">
      <c r="A16" t="s">
        <v>3525</v>
      </c>
      <c r="B16" s="5">
        <v>46041</v>
      </c>
      <c r="C16" t="s">
        <v>3526</v>
      </c>
      <c r="D16" t="s">
        <v>696</v>
      </c>
      <c r="E16" t="s">
        <v>48</v>
      </c>
      <c r="F16" t="s">
        <v>3527</v>
      </c>
      <c r="G16" t="s">
        <v>3494</v>
      </c>
      <c r="H16" s="3">
        <v>2600</v>
      </c>
      <c r="I16">
        <v>2</v>
      </c>
      <c r="J16" t="s">
        <v>798</v>
      </c>
      <c r="K16" t="s">
        <v>793</v>
      </c>
    </row>
    <row r="17" spans="1:11" x14ac:dyDescent="0.35">
      <c r="A17" t="s">
        <v>3579</v>
      </c>
      <c r="B17" s="5">
        <v>46042</v>
      </c>
      <c r="C17" t="s">
        <v>3528</v>
      </c>
      <c r="D17" t="s">
        <v>674</v>
      </c>
      <c r="E17" t="s">
        <v>20</v>
      </c>
      <c r="F17" t="s">
        <v>3529</v>
      </c>
      <c r="G17" t="s">
        <v>3489</v>
      </c>
      <c r="H17" s="3">
        <v>890</v>
      </c>
      <c r="I17">
        <v>1</v>
      </c>
      <c r="J17" t="s">
        <v>798</v>
      </c>
      <c r="K17" t="s">
        <v>793</v>
      </c>
    </row>
    <row r="18" spans="1:11" x14ac:dyDescent="0.35">
      <c r="A18" t="s">
        <v>3530</v>
      </c>
      <c r="B18" s="5">
        <v>46043</v>
      </c>
      <c r="C18" t="s">
        <v>3531</v>
      </c>
      <c r="D18" t="s">
        <v>681</v>
      </c>
      <c r="E18" t="s">
        <v>14</v>
      </c>
      <c r="F18" t="s">
        <v>3532</v>
      </c>
      <c r="G18" t="s">
        <v>3489</v>
      </c>
      <c r="H18" s="3">
        <v>1350</v>
      </c>
      <c r="I18">
        <v>3</v>
      </c>
      <c r="J18" t="s">
        <v>813</v>
      </c>
      <c r="K18" t="s">
        <v>3490</v>
      </c>
    </row>
    <row r="19" spans="1:11" x14ac:dyDescent="0.35">
      <c r="A19" t="s">
        <v>3533</v>
      </c>
      <c r="B19" s="5">
        <v>46044</v>
      </c>
      <c r="C19" t="s">
        <v>3534</v>
      </c>
      <c r="D19" t="s">
        <v>627</v>
      </c>
      <c r="E19" t="s">
        <v>797</v>
      </c>
      <c r="F19" t="s">
        <v>3496</v>
      </c>
      <c r="G19" t="s">
        <v>3489</v>
      </c>
      <c r="H19" s="3">
        <v>160</v>
      </c>
      <c r="I19">
        <v>12</v>
      </c>
      <c r="J19" t="s">
        <v>786</v>
      </c>
      <c r="K19" t="s">
        <v>793</v>
      </c>
    </row>
    <row r="20" spans="1:11" x14ac:dyDescent="0.35">
      <c r="A20" t="s">
        <v>3535</v>
      </c>
      <c r="B20" s="5">
        <v>46045</v>
      </c>
      <c r="C20" t="s">
        <v>3536</v>
      </c>
      <c r="D20" t="s">
        <v>633</v>
      </c>
      <c r="E20" t="s">
        <v>48</v>
      </c>
      <c r="F20" t="s">
        <v>3537</v>
      </c>
      <c r="G20" t="s">
        <v>3494</v>
      </c>
      <c r="H20" s="3">
        <v>3100</v>
      </c>
      <c r="I20">
        <v>1</v>
      </c>
      <c r="J20" t="s">
        <v>813</v>
      </c>
      <c r="K20" t="s">
        <v>793</v>
      </c>
    </row>
    <row r="21" spans="1:11" x14ac:dyDescent="0.35">
      <c r="A21" t="s">
        <v>3538</v>
      </c>
      <c r="B21" s="5">
        <v>46046</v>
      </c>
      <c r="C21" t="s">
        <v>3539</v>
      </c>
      <c r="D21" t="s">
        <v>254</v>
      </c>
      <c r="E21" t="s">
        <v>20</v>
      </c>
      <c r="F21" t="s">
        <v>3493</v>
      </c>
      <c r="G21" t="s">
        <v>3494</v>
      </c>
      <c r="H21" s="3">
        <v>2750</v>
      </c>
      <c r="I21">
        <v>4</v>
      </c>
      <c r="J21" t="s">
        <v>798</v>
      </c>
      <c r="K21" t="s">
        <v>793</v>
      </c>
    </row>
    <row r="22" spans="1:11" x14ac:dyDescent="0.35">
      <c r="A22" t="s">
        <v>3540</v>
      </c>
      <c r="B22" s="5">
        <v>46047</v>
      </c>
      <c r="C22" t="s">
        <v>3541</v>
      </c>
      <c r="D22" t="s">
        <v>696</v>
      </c>
      <c r="E22" t="s">
        <v>14</v>
      </c>
      <c r="F22" t="s">
        <v>3513</v>
      </c>
      <c r="G22" t="s">
        <v>3489</v>
      </c>
      <c r="H22" s="3">
        <v>980</v>
      </c>
      <c r="I22">
        <v>2</v>
      </c>
      <c r="J22" t="s">
        <v>798</v>
      </c>
      <c r="K22" t="s">
        <v>793</v>
      </c>
    </row>
    <row r="23" spans="1:11" x14ac:dyDescent="0.35">
      <c r="A23" t="s">
        <v>3542</v>
      </c>
      <c r="B23" s="5">
        <v>46048</v>
      </c>
      <c r="C23" t="s">
        <v>3543</v>
      </c>
      <c r="D23" t="s">
        <v>681</v>
      </c>
      <c r="E23" t="s">
        <v>48</v>
      </c>
      <c r="F23" t="s">
        <v>3544</v>
      </c>
      <c r="G23" t="s">
        <v>3494</v>
      </c>
      <c r="H23" s="23" t="s">
        <v>3569</v>
      </c>
      <c r="I23">
        <v>1</v>
      </c>
      <c r="J23" t="s">
        <v>813</v>
      </c>
      <c r="K23" t="s">
        <v>3490</v>
      </c>
    </row>
    <row r="24" spans="1:11" x14ac:dyDescent="0.35">
      <c r="A24" t="s">
        <v>3545</v>
      </c>
      <c r="B24" s="5">
        <v>46049</v>
      </c>
      <c r="C24" t="s">
        <v>3546</v>
      </c>
      <c r="D24" t="s">
        <v>627</v>
      </c>
      <c r="E24" t="s">
        <v>20</v>
      </c>
      <c r="F24" t="s">
        <v>3519</v>
      </c>
      <c r="G24" t="s">
        <v>3489</v>
      </c>
      <c r="H24" s="3">
        <v>1250</v>
      </c>
      <c r="I24">
        <v>3</v>
      </c>
      <c r="J24" t="s">
        <v>813</v>
      </c>
      <c r="K24" t="s">
        <v>3501</v>
      </c>
    </row>
    <row r="25" spans="1:11" x14ac:dyDescent="0.35">
      <c r="A25" t="s">
        <v>3547</v>
      </c>
      <c r="B25" s="24" t="s">
        <v>3576</v>
      </c>
      <c r="C25" t="s">
        <v>3548</v>
      </c>
      <c r="D25" t="s">
        <v>674</v>
      </c>
      <c r="E25" t="s">
        <v>797</v>
      </c>
      <c r="F25" t="s">
        <v>3524</v>
      </c>
      <c r="G25" t="s">
        <v>3489</v>
      </c>
      <c r="H25" s="3">
        <v>45</v>
      </c>
      <c r="I25">
        <v>25</v>
      </c>
      <c r="J25" t="s">
        <v>786</v>
      </c>
      <c r="K25" t="s">
        <v>793</v>
      </c>
    </row>
    <row r="26" spans="1:11" x14ac:dyDescent="0.35">
      <c r="A26" t="s">
        <v>3549</v>
      </c>
      <c r="B26" s="5">
        <v>46051</v>
      </c>
      <c r="C26" t="s">
        <v>3550</v>
      </c>
      <c r="D26" t="s">
        <v>633</v>
      </c>
      <c r="E26" t="s">
        <v>14</v>
      </c>
      <c r="F26" t="s">
        <v>3488</v>
      </c>
      <c r="G26" t="s">
        <v>3494</v>
      </c>
      <c r="H26" s="3">
        <v>4999</v>
      </c>
      <c r="I26">
        <v>10</v>
      </c>
      <c r="J26" t="s">
        <v>813</v>
      </c>
      <c r="K26" t="s">
        <v>3551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501"/>
  <sheetViews>
    <sheetView workbookViewId="0">
      <selection activeCell="I11" sqref="I11"/>
    </sheetView>
  </sheetViews>
  <sheetFormatPr defaultRowHeight="14.5" x14ac:dyDescent="0.35"/>
  <cols>
    <col min="1" max="1" width="14.1796875" customWidth="1"/>
    <col min="2" max="2" width="12" customWidth="1"/>
    <col min="3" max="3" width="14.81640625" bestFit="1" customWidth="1"/>
    <col min="4" max="4" width="13" customWidth="1"/>
    <col min="5" max="5" width="26" customWidth="1"/>
    <col min="6" max="6" width="13" customWidth="1"/>
    <col min="7" max="7" width="10" customWidth="1"/>
    <col min="8" max="8" width="17" customWidth="1"/>
    <col min="9" max="9" width="18" customWidth="1"/>
    <col min="10" max="10" width="11" customWidth="1"/>
    <col min="11" max="11" width="10" customWidth="1"/>
    <col min="12" max="12" width="11" customWidth="1"/>
    <col min="13" max="13" width="12" customWidth="1"/>
    <col min="14" max="15" width="10" customWidth="1"/>
    <col min="16" max="16" width="11" customWidth="1"/>
    <col min="17" max="17" width="14" customWidth="1"/>
    <col min="18" max="18" width="12" customWidth="1"/>
    <col min="19" max="19" width="18" customWidth="1"/>
  </cols>
  <sheetData>
    <row r="1" spans="1:19" x14ac:dyDescent="0.35">
      <c r="A1" s="1" t="s">
        <v>772</v>
      </c>
      <c r="B1" s="2" t="s">
        <v>223</v>
      </c>
      <c r="C1" s="2" t="s">
        <v>773</v>
      </c>
      <c r="D1" s="2" t="s">
        <v>779</v>
      </c>
      <c r="E1" s="2" t="s">
        <v>224</v>
      </c>
      <c r="F1" s="2" t="s">
        <v>620</v>
      </c>
      <c r="G1" s="2" t="s">
        <v>228</v>
      </c>
      <c r="H1" s="2" t="s">
        <v>774</v>
      </c>
      <c r="I1" s="2" t="s">
        <v>775</v>
      </c>
      <c r="J1" s="2" t="s">
        <v>0</v>
      </c>
      <c r="K1" s="2" t="s">
        <v>776</v>
      </c>
      <c r="L1" s="2" t="s">
        <v>5</v>
      </c>
      <c r="M1" s="2" t="s">
        <v>777</v>
      </c>
      <c r="N1" s="2" t="s">
        <v>780</v>
      </c>
      <c r="O1" s="2" t="s">
        <v>3</v>
      </c>
      <c r="P1" s="2" t="s">
        <v>4</v>
      </c>
      <c r="Q1" s="2" t="s">
        <v>781</v>
      </c>
      <c r="R1" s="2" t="s">
        <v>782</v>
      </c>
      <c r="S1" s="2" t="s">
        <v>783</v>
      </c>
    </row>
    <row r="2" spans="1:19" x14ac:dyDescent="0.35">
      <c r="A2" t="s">
        <v>784</v>
      </c>
      <c r="B2" t="s">
        <v>612</v>
      </c>
      <c r="C2" s="5">
        <v>45834</v>
      </c>
      <c r="E2" t="s">
        <v>447</v>
      </c>
      <c r="F2" t="s">
        <v>627</v>
      </c>
      <c r="G2" t="s">
        <v>235</v>
      </c>
      <c r="H2" t="s">
        <v>48</v>
      </c>
      <c r="I2" t="s">
        <v>20</v>
      </c>
      <c r="J2" t="s">
        <v>102</v>
      </c>
      <c r="K2" t="s">
        <v>786</v>
      </c>
      <c r="L2" t="s">
        <v>787</v>
      </c>
      <c r="M2" t="s">
        <v>788</v>
      </c>
      <c r="N2">
        <v>2</v>
      </c>
      <c r="O2" s="3">
        <v>19.04</v>
      </c>
      <c r="P2" s="3">
        <v>25.7</v>
      </c>
      <c r="Q2" s="6">
        <v>0</v>
      </c>
      <c r="R2" s="3">
        <v>51.4</v>
      </c>
      <c r="S2" t="s">
        <v>790</v>
      </c>
    </row>
    <row r="3" spans="1:19" x14ac:dyDescent="0.35">
      <c r="A3" t="s">
        <v>791</v>
      </c>
      <c r="B3" t="s">
        <v>611</v>
      </c>
      <c r="C3" s="5">
        <v>46046</v>
      </c>
      <c r="E3" t="s">
        <v>287</v>
      </c>
      <c r="F3" t="s">
        <v>674</v>
      </c>
      <c r="G3" t="s">
        <v>235</v>
      </c>
      <c r="H3" t="s">
        <v>14</v>
      </c>
      <c r="I3" t="s">
        <v>29</v>
      </c>
      <c r="J3" t="s">
        <v>27</v>
      </c>
      <c r="K3" t="s">
        <v>786</v>
      </c>
      <c r="L3" t="s">
        <v>793</v>
      </c>
      <c r="M3" t="s">
        <v>788</v>
      </c>
      <c r="N3">
        <v>5</v>
      </c>
      <c r="O3" s="3">
        <v>33.06</v>
      </c>
      <c r="P3" s="3">
        <v>47.94</v>
      </c>
      <c r="Q3" s="6">
        <v>0</v>
      </c>
      <c r="R3" s="3">
        <v>239.7</v>
      </c>
      <c r="S3" t="s">
        <v>794</v>
      </c>
    </row>
    <row r="4" spans="1:19" x14ac:dyDescent="0.35">
      <c r="A4" t="s">
        <v>795</v>
      </c>
      <c r="B4" t="s">
        <v>601</v>
      </c>
      <c r="C4" s="5">
        <v>45898</v>
      </c>
      <c r="D4" s="5">
        <v>45901</v>
      </c>
      <c r="E4" t="s">
        <v>602</v>
      </c>
      <c r="F4" t="s">
        <v>681</v>
      </c>
      <c r="G4" t="s">
        <v>235</v>
      </c>
      <c r="H4" t="s">
        <v>797</v>
      </c>
      <c r="I4" t="s">
        <v>48</v>
      </c>
      <c r="J4" t="s">
        <v>135</v>
      </c>
      <c r="K4" t="s">
        <v>798</v>
      </c>
      <c r="L4" t="s">
        <v>799</v>
      </c>
      <c r="M4" t="s">
        <v>800</v>
      </c>
      <c r="N4">
        <v>5</v>
      </c>
      <c r="O4" s="3">
        <v>51.72</v>
      </c>
      <c r="P4" s="3">
        <v>67.239999999999995</v>
      </c>
      <c r="Q4" s="6">
        <v>0.1</v>
      </c>
      <c r="R4" s="3">
        <v>302.58</v>
      </c>
      <c r="S4" t="s">
        <v>803</v>
      </c>
    </row>
    <row r="5" spans="1:19" x14ac:dyDescent="0.35">
      <c r="A5" t="s">
        <v>804</v>
      </c>
      <c r="B5" t="s">
        <v>507</v>
      </c>
      <c r="C5" s="5">
        <v>45868</v>
      </c>
      <c r="E5" t="s">
        <v>508</v>
      </c>
      <c r="F5" t="s">
        <v>627</v>
      </c>
      <c r="G5" t="s">
        <v>243</v>
      </c>
      <c r="H5" t="s">
        <v>797</v>
      </c>
      <c r="I5" t="s">
        <v>79</v>
      </c>
      <c r="J5" t="s">
        <v>77</v>
      </c>
      <c r="K5" t="s">
        <v>798</v>
      </c>
      <c r="L5" t="s">
        <v>787</v>
      </c>
      <c r="M5" t="s">
        <v>788</v>
      </c>
      <c r="N5">
        <v>2</v>
      </c>
      <c r="O5" s="3">
        <v>13.71</v>
      </c>
      <c r="P5" s="3">
        <v>17.82</v>
      </c>
      <c r="Q5" s="6">
        <v>0.1</v>
      </c>
      <c r="R5" s="3">
        <v>32.076000000000001</v>
      </c>
      <c r="S5" t="s">
        <v>794</v>
      </c>
    </row>
    <row r="6" spans="1:19" x14ac:dyDescent="0.35">
      <c r="A6" t="s">
        <v>807</v>
      </c>
      <c r="B6" t="s">
        <v>501</v>
      </c>
      <c r="C6" s="5">
        <v>45312</v>
      </c>
      <c r="D6" s="5">
        <v>45318</v>
      </c>
      <c r="E6" t="s">
        <v>363</v>
      </c>
      <c r="F6" t="s">
        <v>254</v>
      </c>
      <c r="G6" t="s">
        <v>264</v>
      </c>
      <c r="H6" t="s">
        <v>797</v>
      </c>
      <c r="I6" t="s">
        <v>43</v>
      </c>
      <c r="J6" t="s">
        <v>215</v>
      </c>
      <c r="K6" t="s">
        <v>798</v>
      </c>
      <c r="L6" t="s">
        <v>799</v>
      </c>
      <c r="M6" t="s">
        <v>800</v>
      </c>
      <c r="N6">
        <v>5</v>
      </c>
      <c r="O6" s="3">
        <v>28.96</v>
      </c>
      <c r="P6" s="3">
        <v>40.54</v>
      </c>
      <c r="Q6" s="6">
        <v>0.15</v>
      </c>
      <c r="R6" s="3">
        <v>172.29499999999999</v>
      </c>
      <c r="S6" t="s">
        <v>810</v>
      </c>
    </row>
    <row r="7" spans="1:19" x14ac:dyDescent="0.35">
      <c r="A7" t="s">
        <v>811</v>
      </c>
      <c r="B7" t="s">
        <v>351</v>
      </c>
      <c r="C7" s="5">
        <v>45352</v>
      </c>
      <c r="E7" t="s">
        <v>352</v>
      </c>
      <c r="F7" t="s">
        <v>627</v>
      </c>
      <c r="G7" t="s">
        <v>264</v>
      </c>
      <c r="H7" t="s">
        <v>20</v>
      </c>
      <c r="I7" t="s">
        <v>14</v>
      </c>
      <c r="J7" t="s">
        <v>30</v>
      </c>
      <c r="K7" t="s">
        <v>813</v>
      </c>
      <c r="L7" t="s">
        <v>787</v>
      </c>
      <c r="M7" t="s">
        <v>800</v>
      </c>
      <c r="N7">
        <v>2</v>
      </c>
      <c r="O7" s="3">
        <v>19.010000000000002</v>
      </c>
      <c r="P7" s="3">
        <v>27.56</v>
      </c>
      <c r="Q7" s="6">
        <v>0</v>
      </c>
      <c r="R7" s="3">
        <v>55.12</v>
      </c>
      <c r="S7" t="s">
        <v>814</v>
      </c>
    </row>
    <row r="8" spans="1:19" x14ac:dyDescent="0.35">
      <c r="A8" t="s">
        <v>815</v>
      </c>
      <c r="B8" t="s">
        <v>548</v>
      </c>
      <c r="C8" s="5">
        <v>46013</v>
      </c>
      <c r="E8" t="s">
        <v>549</v>
      </c>
      <c r="F8" t="s">
        <v>254</v>
      </c>
      <c r="G8" t="s">
        <v>264</v>
      </c>
      <c r="H8" t="s">
        <v>797</v>
      </c>
      <c r="I8" t="s">
        <v>8</v>
      </c>
      <c r="J8" t="s">
        <v>23</v>
      </c>
      <c r="K8" t="s">
        <v>798</v>
      </c>
      <c r="L8" t="s">
        <v>817</v>
      </c>
      <c r="M8" t="s">
        <v>818</v>
      </c>
      <c r="N8">
        <v>3</v>
      </c>
      <c r="O8" s="3">
        <v>58.47</v>
      </c>
      <c r="P8" s="3">
        <v>84.78</v>
      </c>
      <c r="Q8" s="6">
        <v>0.15</v>
      </c>
      <c r="R8" s="3">
        <v>216.18900000000002</v>
      </c>
      <c r="S8" t="s">
        <v>819</v>
      </c>
    </row>
    <row r="9" spans="1:19" x14ac:dyDescent="0.35">
      <c r="A9" t="s">
        <v>820</v>
      </c>
      <c r="B9" t="s">
        <v>364</v>
      </c>
      <c r="C9" s="5">
        <v>45956</v>
      </c>
      <c r="D9" s="5">
        <v>45966</v>
      </c>
      <c r="E9" t="s">
        <v>365</v>
      </c>
      <c r="F9" t="s">
        <v>681</v>
      </c>
      <c r="G9" t="s">
        <v>243</v>
      </c>
      <c r="H9" t="s">
        <v>48</v>
      </c>
      <c r="I9" t="s">
        <v>29</v>
      </c>
      <c r="J9" t="s">
        <v>183</v>
      </c>
      <c r="K9" t="s">
        <v>798</v>
      </c>
      <c r="L9" t="s">
        <v>822</v>
      </c>
      <c r="M9" t="s">
        <v>800</v>
      </c>
      <c r="N9">
        <v>10</v>
      </c>
      <c r="O9" s="3">
        <v>10.97</v>
      </c>
      <c r="P9" s="3">
        <v>15.91</v>
      </c>
      <c r="Q9" s="6">
        <v>0</v>
      </c>
      <c r="R9" s="3">
        <v>159.1</v>
      </c>
      <c r="S9" t="s">
        <v>825</v>
      </c>
    </row>
    <row r="10" spans="1:19" x14ac:dyDescent="0.35">
      <c r="A10" t="s">
        <v>826</v>
      </c>
      <c r="B10" t="s">
        <v>426</v>
      </c>
      <c r="C10" s="5">
        <v>45471</v>
      </c>
      <c r="D10" s="5">
        <v>45474</v>
      </c>
      <c r="E10" t="s">
        <v>427</v>
      </c>
      <c r="F10" t="s">
        <v>681</v>
      </c>
      <c r="G10" t="s">
        <v>264</v>
      </c>
      <c r="H10" t="s">
        <v>14</v>
      </c>
      <c r="I10" t="s">
        <v>14</v>
      </c>
      <c r="J10" t="s">
        <v>93</v>
      </c>
      <c r="K10" t="s">
        <v>813</v>
      </c>
      <c r="L10" t="s">
        <v>799</v>
      </c>
      <c r="M10" t="s">
        <v>818</v>
      </c>
      <c r="N10">
        <v>10</v>
      </c>
      <c r="O10" s="3">
        <v>26.96</v>
      </c>
      <c r="P10" s="3">
        <v>37.74</v>
      </c>
      <c r="Q10" s="6">
        <v>0.1</v>
      </c>
      <c r="R10" s="3">
        <v>339.66</v>
      </c>
      <c r="S10" t="s">
        <v>829</v>
      </c>
    </row>
    <row r="11" spans="1:19" x14ac:dyDescent="0.35">
      <c r="A11" t="s">
        <v>830</v>
      </c>
      <c r="B11" t="s">
        <v>556</v>
      </c>
      <c r="C11" s="5">
        <v>45908</v>
      </c>
      <c r="D11" s="5">
        <v>45912</v>
      </c>
      <c r="E11" t="s">
        <v>472</v>
      </c>
      <c r="F11" t="s">
        <v>674</v>
      </c>
      <c r="G11" t="s">
        <v>235</v>
      </c>
      <c r="H11" t="s">
        <v>14</v>
      </c>
      <c r="I11" t="s">
        <v>8</v>
      </c>
      <c r="J11" t="s">
        <v>101</v>
      </c>
      <c r="K11" t="s">
        <v>813</v>
      </c>
      <c r="L11" t="s">
        <v>799</v>
      </c>
      <c r="M11" t="s">
        <v>800</v>
      </c>
      <c r="N11">
        <v>10</v>
      </c>
      <c r="O11" s="3">
        <v>16.510000000000002</v>
      </c>
      <c r="P11" s="3">
        <v>23.94</v>
      </c>
      <c r="Q11" s="6">
        <v>0.15</v>
      </c>
      <c r="R11" s="3">
        <v>203.49</v>
      </c>
      <c r="S11" t="s">
        <v>834</v>
      </c>
    </row>
    <row r="12" spans="1:19" x14ac:dyDescent="0.35">
      <c r="A12" t="s">
        <v>835</v>
      </c>
      <c r="B12" t="s">
        <v>359</v>
      </c>
      <c r="C12" s="5">
        <v>45647</v>
      </c>
      <c r="D12" s="5">
        <v>45652</v>
      </c>
      <c r="E12" t="s">
        <v>360</v>
      </c>
      <c r="F12" t="s">
        <v>681</v>
      </c>
      <c r="G12" t="s">
        <v>235</v>
      </c>
      <c r="H12" t="s">
        <v>20</v>
      </c>
      <c r="I12" t="s">
        <v>8</v>
      </c>
      <c r="J12" t="s">
        <v>95</v>
      </c>
      <c r="K12" t="s">
        <v>813</v>
      </c>
      <c r="L12" t="s">
        <v>799</v>
      </c>
      <c r="M12" t="s">
        <v>800</v>
      </c>
      <c r="N12">
        <v>3</v>
      </c>
      <c r="O12" s="3">
        <v>23.02</v>
      </c>
      <c r="P12" s="3">
        <v>28.77</v>
      </c>
      <c r="Q12" s="6">
        <v>0.05</v>
      </c>
      <c r="R12" s="3">
        <v>81.994500000000002</v>
      </c>
      <c r="S12" t="s">
        <v>839</v>
      </c>
    </row>
    <row r="13" spans="1:19" x14ac:dyDescent="0.35">
      <c r="A13" t="s">
        <v>840</v>
      </c>
      <c r="B13" t="s">
        <v>585</v>
      </c>
      <c r="C13" s="5">
        <v>45506</v>
      </c>
      <c r="D13" s="5">
        <v>45513</v>
      </c>
      <c r="E13" t="s">
        <v>586</v>
      </c>
      <c r="F13" t="s">
        <v>254</v>
      </c>
      <c r="G13" t="s">
        <v>235</v>
      </c>
      <c r="H13" t="s">
        <v>797</v>
      </c>
      <c r="I13" t="s">
        <v>48</v>
      </c>
      <c r="J13" t="s">
        <v>61</v>
      </c>
      <c r="K13" t="s">
        <v>786</v>
      </c>
      <c r="L13" t="s">
        <v>799</v>
      </c>
      <c r="M13" t="s">
        <v>842</v>
      </c>
      <c r="N13">
        <v>5</v>
      </c>
      <c r="O13" s="3">
        <v>26.08</v>
      </c>
      <c r="P13" s="3">
        <v>35.21</v>
      </c>
      <c r="Q13" s="6">
        <v>0.05</v>
      </c>
      <c r="R13" s="3">
        <v>167.2475</v>
      </c>
      <c r="S13" t="s">
        <v>845</v>
      </c>
    </row>
    <row r="14" spans="1:19" x14ac:dyDescent="0.35">
      <c r="A14" t="s">
        <v>846</v>
      </c>
      <c r="B14" t="s">
        <v>507</v>
      </c>
      <c r="C14" s="5">
        <v>45462</v>
      </c>
      <c r="D14" s="5">
        <v>45464</v>
      </c>
      <c r="E14" t="s">
        <v>508</v>
      </c>
      <c r="F14" t="s">
        <v>696</v>
      </c>
      <c r="G14" t="s">
        <v>243</v>
      </c>
      <c r="H14" t="s">
        <v>797</v>
      </c>
      <c r="I14" t="s">
        <v>20</v>
      </c>
      <c r="J14" t="s">
        <v>97</v>
      </c>
      <c r="K14" t="s">
        <v>798</v>
      </c>
      <c r="L14" t="s">
        <v>799</v>
      </c>
      <c r="M14" t="s">
        <v>788</v>
      </c>
      <c r="N14">
        <v>1</v>
      </c>
      <c r="O14" s="3">
        <v>20.79</v>
      </c>
      <c r="P14" s="3">
        <v>28.07</v>
      </c>
      <c r="Q14" s="6">
        <v>0</v>
      </c>
      <c r="R14" s="3">
        <v>28.07</v>
      </c>
      <c r="S14" t="s">
        <v>845</v>
      </c>
    </row>
    <row r="15" spans="1:19" x14ac:dyDescent="0.35">
      <c r="A15" t="s">
        <v>849</v>
      </c>
      <c r="B15" t="s">
        <v>257</v>
      </c>
      <c r="C15" s="5">
        <v>45326</v>
      </c>
      <c r="E15" t="s">
        <v>258</v>
      </c>
      <c r="F15" t="s">
        <v>633</v>
      </c>
      <c r="G15" t="s">
        <v>235</v>
      </c>
      <c r="H15" t="s">
        <v>797</v>
      </c>
      <c r="I15" t="s">
        <v>38</v>
      </c>
      <c r="J15" t="s">
        <v>82</v>
      </c>
      <c r="K15" t="s">
        <v>813</v>
      </c>
      <c r="L15" t="s">
        <v>793</v>
      </c>
      <c r="M15" t="s">
        <v>818</v>
      </c>
      <c r="N15">
        <v>1</v>
      </c>
      <c r="O15" s="3">
        <v>12.54</v>
      </c>
      <c r="P15" s="3">
        <v>16.93</v>
      </c>
      <c r="Q15" s="6">
        <v>0</v>
      </c>
      <c r="R15" s="3">
        <v>16.93</v>
      </c>
      <c r="S15" t="s">
        <v>834</v>
      </c>
    </row>
    <row r="16" spans="1:19" x14ac:dyDescent="0.35">
      <c r="A16" t="s">
        <v>852</v>
      </c>
      <c r="B16" t="s">
        <v>440</v>
      </c>
      <c r="C16" s="5">
        <v>45852</v>
      </c>
      <c r="D16" s="5">
        <v>45862</v>
      </c>
      <c r="E16" t="s">
        <v>441</v>
      </c>
      <c r="F16" t="s">
        <v>627</v>
      </c>
      <c r="G16" t="s">
        <v>264</v>
      </c>
      <c r="H16" t="s">
        <v>48</v>
      </c>
      <c r="I16" t="s">
        <v>14</v>
      </c>
      <c r="J16" t="s">
        <v>30</v>
      </c>
      <c r="K16" t="s">
        <v>786</v>
      </c>
      <c r="L16" t="s">
        <v>799</v>
      </c>
      <c r="M16" t="s">
        <v>818</v>
      </c>
      <c r="N16">
        <v>3</v>
      </c>
      <c r="O16" s="3">
        <v>19.010000000000002</v>
      </c>
      <c r="P16" s="3">
        <v>27.56</v>
      </c>
      <c r="Q16" s="6">
        <v>0.15</v>
      </c>
      <c r="R16" s="3">
        <v>70.277999999999992</v>
      </c>
      <c r="S16" t="s">
        <v>810</v>
      </c>
    </row>
    <row r="17" spans="1:19" x14ac:dyDescent="0.35">
      <c r="A17" t="s">
        <v>856</v>
      </c>
      <c r="B17" t="s">
        <v>283</v>
      </c>
      <c r="C17" s="5">
        <v>45736</v>
      </c>
      <c r="E17" t="s">
        <v>284</v>
      </c>
      <c r="F17" t="s">
        <v>254</v>
      </c>
      <c r="G17" t="s">
        <v>264</v>
      </c>
      <c r="H17" t="s">
        <v>797</v>
      </c>
      <c r="I17" t="s">
        <v>38</v>
      </c>
      <c r="J17" t="s">
        <v>69</v>
      </c>
      <c r="K17" t="s">
        <v>786</v>
      </c>
      <c r="L17" t="s">
        <v>793</v>
      </c>
      <c r="M17" t="s">
        <v>800</v>
      </c>
      <c r="N17">
        <v>10</v>
      </c>
      <c r="O17" s="3">
        <v>20.9</v>
      </c>
      <c r="P17" s="3">
        <v>28.21</v>
      </c>
      <c r="Q17" s="6">
        <v>0.15</v>
      </c>
      <c r="R17" s="3">
        <v>239.78500000000003</v>
      </c>
      <c r="S17" t="s">
        <v>859</v>
      </c>
    </row>
    <row r="18" spans="1:19" x14ac:dyDescent="0.35">
      <c r="A18" t="s">
        <v>860</v>
      </c>
      <c r="B18" t="s">
        <v>320</v>
      </c>
      <c r="C18" s="5">
        <v>45596</v>
      </c>
      <c r="D18" s="5">
        <v>45603</v>
      </c>
      <c r="E18" t="s">
        <v>321</v>
      </c>
      <c r="F18" t="s">
        <v>254</v>
      </c>
      <c r="G18" t="s">
        <v>235</v>
      </c>
      <c r="H18" t="s">
        <v>797</v>
      </c>
      <c r="I18" t="s">
        <v>8</v>
      </c>
      <c r="J18" t="s">
        <v>73</v>
      </c>
      <c r="K18" t="s">
        <v>798</v>
      </c>
      <c r="L18" t="s">
        <v>799</v>
      </c>
      <c r="M18" t="s">
        <v>842</v>
      </c>
      <c r="N18">
        <v>1</v>
      </c>
      <c r="O18" s="3">
        <v>67.95</v>
      </c>
      <c r="P18" s="3">
        <v>88.34</v>
      </c>
      <c r="Q18" s="6">
        <v>0</v>
      </c>
      <c r="R18" s="3">
        <v>88.34</v>
      </c>
      <c r="S18" t="s">
        <v>839</v>
      </c>
    </row>
    <row r="19" spans="1:19" x14ac:dyDescent="0.35">
      <c r="A19" t="s">
        <v>863</v>
      </c>
      <c r="B19" t="s">
        <v>574</v>
      </c>
      <c r="C19" s="5">
        <v>45381</v>
      </c>
      <c r="E19" t="s">
        <v>458</v>
      </c>
      <c r="F19" t="s">
        <v>681</v>
      </c>
      <c r="H19" t="s">
        <v>14</v>
      </c>
      <c r="I19" t="s">
        <v>43</v>
      </c>
      <c r="J19" t="s">
        <v>146</v>
      </c>
      <c r="K19" t="s">
        <v>813</v>
      </c>
      <c r="L19" t="s">
        <v>787</v>
      </c>
      <c r="M19" t="s">
        <v>788</v>
      </c>
      <c r="N19">
        <v>3</v>
      </c>
      <c r="O19" s="3">
        <v>24.05</v>
      </c>
      <c r="P19" s="3">
        <v>31.27</v>
      </c>
      <c r="Q19" s="6">
        <v>0.15</v>
      </c>
      <c r="R19" s="3">
        <v>79.738500000000002</v>
      </c>
      <c r="S19" t="s">
        <v>859</v>
      </c>
    </row>
    <row r="20" spans="1:19" x14ac:dyDescent="0.35">
      <c r="A20" t="s">
        <v>866</v>
      </c>
      <c r="B20" t="s">
        <v>331</v>
      </c>
      <c r="C20" s="5">
        <v>45375</v>
      </c>
      <c r="D20" s="5">
        <v>45384</v>
      </c>
      <c r="E20" t="s">
        <v>332</v>
      </c>
      <c r="F20" t="s">
        <v>633</v>
      </c>
      <c r="G20" t="s">
        <v>264</v>
      </c>
      <c r="H20" t="s">
        <v>20</v>
      </c>
      <c r="I20" t="s">
        <v>43</v>
      </c>
      <c r="J20" t="s">
        <v>113</v>
      </c>
      <c r="K20" t="s">
        <v>798</v>
      </c>
      <c r="L20" t="s">
        <v>822</v>
      </c>
      <c r="M20" t="s">
        <v>800</v>
      </c>
      <c r="N20">
        <v>3</v>
      </c>
      <c r="O20" s="3">
        <v>16.91</v>
      </c>
      <c r="P20" s="3">
        <v>21.14</v>
      </c>
      <c r="Q20" s="6">
        <v>0</v>
      </c>
      <c r="R20" s="3">
        <v>63.42</v>
      </c>
      <c r="S20" t="s">
        <v>869</v>
      </c>
    </row>
    <row r="21" spans="1:19" x14ac:dyDescent="0.35">
      <c r="A21" t="s">
        <v>870</v>
      </c>
      <c r="B21" t="s">
        <v>453</v>
      </c>
      <c r="C21" s="5">
        <v>45688</v>
      </c>
      <c r="E21" t="s">
        <v>454</v>
      </c>
      <c r="F21" t="s">
        <v>696</v>
      </c>
      <c r="G21" t="s">
        <v>235</v>
      </c>
      <c r="H21" t="s">
        <v>797</v>
      </c>
      <c r="I21" t="s">
        <v>8</v>
      </c>
      <c r="J21" t="s">
        <v>21</v>
      </c>
      <c r="K21" t="s">
        <v>798</v>
      </c>
      <c r="L21" t="s">
        <v>793</v>
      </c>
      <c r="M21" t="s">
        <v>818</v>
      </c>
      <c r="N21">
        <v>2</v>
      </c>
      <c r="O21" s="3">
        <v>21.57</v>
      </c>
      <c r="P21" s="3">
        <v>26.96</v>
      </c>
      <c r="Q21" s="6">
        <v>0</v>
      </c>
      <c r="R21" s="3">
        <v>53.92</v>
      </c>
      <c r="S21" t="s">
        <v>794</v>
      </c>
    </row>
    <row r="22" spans="1:19" x14ac:dyDescent="0.35">
      <c r="A22" t="s">
        <v>873</v>
      </c>
      <c r="B22" t="s">
        <v>291</v>
      </c>
      <c r="C22" s="5">
        <v>45567</v>
      </c>
      <c r="E22" t="s">
        <v>292</v>
      </c>
      <c r="F22" t="s">
        <v>674</v>
      </c>
      <c r="G22" t="s">
        <v>243</v>
      </c>
      <c r="H22" t="s">
        <v>20</v>
      </c>
      <c r="I22" t="s">
        <v>14</v>
      </c>
      <c r="J22" t="s">
        <v>25</v>
      </c>
      <c r="K22" t="s">
        <v>798</v>
      </c>
      <c r="L22" t="s">
        <v>787</v>
      </c>
      <c r="M22" t="s">
        <v>800</v>
      </c>
      <c r="N22">
        <v>3</v>
      </c>
      <c r="O22" s="3">
        <v>18.95</v>
      </c>
      <c r="P22" s="3">
        <v>25.58</v>
      </c>
      <c r="Q22" s="6">
        <v>0.1</v>
      </c>
      <c r="R22" s="3">
        <v>69.066000000000003</v>
      </c>
      <c r="S22" t="s">
        <v>876</v>
      </c>
    </row>
    <row r="23" spans="1:19" x14ac:dyDescent="0.35">
      <c r="A23" t="s">
        <v>877</v>
      </c>
      <c r="B23" t="s">
        <v>532</v>
      </c>
      <c r="C23" s="5">
        <v>45895</v>
      </c>
      <c r="E23" t="s">
        <v>533</v>
      </c>
      <c r="F23" t="s">
        <v>254</v>
      </c>
      <c r="G23" t="s">
        <v>235</v>
      </c>
      <c r="H23" t="s">
        <v>20</v>
      </c>
      <c r="I23" t="s">
        <v>14</v>
      </c>
      <c r="J23" t="s">
        <v>56</v>
      </c>
      <c r="K23" t="s">
        <v>786</v>
      </c>
      <c r="L23" t="s">
        <v>793</v>
      </c>
      <c r="M23" t="s">
        <v>818</v>
      </c>
      <c r="N23">
        <v>10</v>
      </c>
      <c r="O23" s="3">
        <v>25.46</v>
      </c>
      <c r="P23" s="3">
        <v>31.83</v>
      </c>
      <c r="Q23" s="6">
        <v>0.1</v>
      </c>
      <c r="R23" s="3">
        <v>286.46999999999997</v>
      </c>
      <c r="S23" t="s">
        <v>794</v>
      </c>
    </row>
    <row r="24" spans="1:19" x14ac:dyDescent="0.35">
      <c r="A24" t="s">
        <v>880</v>
      </c>
      <c r="B24" t="s">
        <v>310</v>
      </c>
      <c r="C24" s="5">
        <v>45779</v>
      </c>
      <c r="D24" s="5">
        <v>45782</v>
      </c>
      <c r="E24" t="s">
        <v>311</v>
      </c>
      <c r="F24" t="s">
        <v>696</v>
      </c>
      <c r="G24" t="s">
        <v>264</v>
      </c>
      <c r="H24" t="s">
        <v>48</v>
      </c>
      <c r="I24" t="s">
        <v>14</v>
      </c>
      <c r="J24" t="s">
        <v>24</v>
      </c>
      <c r="K24" t="s">
        <v>798</v>
      </c>
      <c r="L24" t="s">
        <v>799</v>
      </c>
      <c r="M24" t="s">
        <v>788</v>
      </c>
      <c r="N24">
        <v>2</v>
      </c>
      <c r="O24" s="3">
        <v>37.42</v>
      </c>
      <c r="P24" s="3">
        <v>50.52</v>
      </c>
      <c r="Q24" s="6">
        <v>0</v>
      </c>
      <c r="R24" s="3">
        <v>101.04</v>
      </c>
      <c r="S24" t="s">
        <v>845</v>
      </c>
    </row>
    <row r="25" spans="1:19" x14ac:dyDescent="0.35">
      <c r="A25" t="s">
        <v>884</v>
      </c>
      <c r="B25" t="s">
        <v>372</v>
      </c>
      <c r="C25" s="5">
        <v>45463</v>
      </c>
      <c r="D25" s="5">
        <v>45473</v>
      </c>
      <c r="E25" t="s">
        <v>373</v>
      </c>
      <c r="F25" t="s">
        <v>674</v>
      </c>
      <c r="G25" t="s">
        <v>235</v>
      </c>
      <c r="H25" t="s">
        <v>797</v>
      </c>
      <c r="I25" t="s">
        <v>8</v>
      </c>
      <c r="J25" t="s">
        <v>174</v>
      </c>
      <c r="K25" t="s">
        <v>813</v>
      </c>
      <c r="L25" t="s">
        <v>799</v>
      </c>
      <c r="M25" t="s">
        <v>788</v>
      </c>
      <c r="N25">
        <v>10</v>
      </c>
      <c r="O25" s="3">
        <v>32.53</v>
      </c>
      <c r="P25" s="3">
        <v>43.92</v>
      </c>
      <c r="Q25" s="6">
        <v>0.15</v>
      </c>
      <c r="R25" s="3">
        <v>373.32000000000005</v>
      </c>
      <c r="S25" t="s">
        <v>888</v>
      </c>
    </row>
    <row r="26" spans="1:19" x14ac:dyDescent="0.35">
      <c r="A26" t="s">
        <v>889</v>
      </c>
      <c r="B26" t="s">
        <v>597</v>
      </c>
      <c r="C26" s="5">
        <v>45556</v>
      </c>
      <c r="E26" t="s">
        <v>598</v>
      </c>
      <c r="F26" t="s">
        <v>637</v>
      </c>
      <c r="G26" t="s">
        <v>235</v>
      </c>
      <c r="H26" t="s">
        <v>797</v>
      </c>
      <c r="I26" t="s">
        <v>48</v>
      </c>
      <c r="J26" t="s">
        <v>84</v>
      </c>
      <c r="K26" t="s">
        <v>798</v>
      </c>
      <c r="L26" t="s">
        <v>793</v>
      </c>
      <c r="M26" t="s">
        <v>800</v>
      </c>
      <c r="N26">
        <v>5</v>
      </c>
      <c r="O26" s="3">
        <v>27.52</v>
      </c>
      <c r="P26" s="3">
        <v>34.4</v>
      </c>
      <c r="Q26" s="6">
        <v>0</v>
      </c>
      <c r="R26" s="3">
        <v>172</v>
      </c>
      <c r="S26" t="s">
        <v>892</v>
      </c>
    </row>
    <row r="27" spans="1:19" x14ac:dyDescent="0.35">
      <c r="A27" t="s">
        <v>893</v>
      </c>
      <c r="B27" t="s">
        <v>588</v>
      </c>
      <c r="C27" s="5">
        <v>45761</v>
      </c>
      <c r="E27" t="s">
        <v>435</v>
      </c>
      <c r="F27" t="s">
        <v>627</v>
      </c>
      <c r="G27" t="s">
        <v>264</v>
      </c>
      <c r="H27" t="s">
        <v>14</v>
      </c>
      <c r="I27" t="s">
        <v>79</v>
      </c>
      <c r="J27" t="s">
        <v>77</v>
      </c>
      <c r="K27" t="s">
        <v>786</v>
      </c>
      <c r="L27" t="s">
        <v>787</v>
      </c>
      <c r="M27" t="s">
        <v>788</v>
      </c>
      <c r="N27">
        <v>1</v>
      </c>
      <c r="O27" s="3">
        <v>13.71</v>
      </c>
      <c r="P27" s="3">
        <v>17.82</v>
      </c>
      <c r="Q27" s="6">
        <v>0</v>
      </c>
      <c r="R27" s="3">
        <v>17.82</v>
      </c>
      <c r="S27" t="s">
        <v>803</v>
      </c>
    </row>
    <row r="28" spans="1:19" x14ac:dyDescent="0.35">
      <c r="A28" t="s">
        <v>896</v>
      </c>
      <c r="B28" t="s">
        <v>609</v>
      </c>
      <c r="C28" s="5">
        <v>45894</v>
      </c>
      <c r="E28" t="s">
        <v>610</v>
      </c>
      <c r="F28" t="s">
        <v>254</v>
      </c>
      <c r="H28" t="s">
        <v>48</v>
      </c>
      <c r="I28" t="s">
        <v>29</v>
      </c>
      <c r="J28" t="s">
        <v>121</v>
      </c>
      <c r="K28" t="s">
        <v>798</v>
      </c>
      <c r="L28" t="s">
        <v>787</v>
      </c>
      <c r="M28" t="s">
        <v>800</v>
      </c>
      <c r="N28">
        <v>3</v>
      </c>
      <c r="O28" s="3">
        <v>15.46</v>
      </c>
      <c r="P28" s="3">
        <v>22.42</v>
      </c>
      <c r="Q28" s="6">
        <v>0.1</v>
      </c>
      <c r="R28" s="3">
        <v>60.534000000000006</v>
      </c>
      <c r="S28" t="s">
        <v>814</v>
      </c>
    </row>
    <row r="29" spans="1:19" x14ac:dyDescent="0.35">
      <c r="A29" t="s">
        <v>898</v>
      </c>
      <c r="B29" t="s">
        <v>462</v>
      </c>
      <c r="C29" s="5">
        <v>45712</v>
      </c>
      <c r="E29" t="s">
        <v>396</v>
      </c>
      <c r="F29" t="s">
        <v>681</v>
      </c>
      <c r="G29" t="s">
        <v>264</v>
      </c>
      <c r="H29" t="s">
        <v>14</v>
      </c>
      <c r="I29" t="s">
        <v>48</v>
      </c>
      <c r="J29" t="s">
        <v>217</v>
      </c>
      <c r="K29" t="s">
        <v>798</v>
      </c>
      <c r="L29" t="s">
        <v>787</v>
      </c>
      <c r="M29" t="s">
        <v>800</v>
      </c>
      <c r="N29">
        <v>5</v>
      </c>
      <c r="O29" s="3">
        <v>24.07</v>
      </c>
      <c r="P29" s="3">
        <v>34.9</v>
      </c>
      <c r="Q29" s="6">
        <v>0.05</v>
      </c>
      <c r="R29" s="3">
        <v>165.77500000000001</v>
      </c>
      <c r="S29" t="s">
        <v>888</v>
      </c>
    </row>
    <row r="30" spans="1:19" x14ac:dyDescent="0.35">
      <c r="A30" t="s">
        <v>901</v>
      </c>
      <c r="B30" t="s">
        <v>580</v>
      </c>
      <c r="C30" s="5">
        <v>45925</v>
      </c>
      <c r="D30" s="5">
        <v>45930</v>
      </c>
      <c r="E30" t="s">
        <v>581</v>
      </c>
      <c r="F30" t="s">
        <v>681</v>
      </c>
      <c r="G30" t="s">
        <v>235</v>
      </c>
      <c r="H30" t="s">
        <v>797</v>
      </c>
      <c r="I30" t="s">
        <v>20</v>
      </c>
      <c r="J30" t="s">
        <v>159</v>
      </c>
      <c r="K30" t="s">
        <v>798</v>
      </c>
      <c r="L30" t="s">
        <v>799</v>
      </c>
      <c r="M30" t="s">
        <v>788</v>
      </c>
      <c r="N30">
        <v>10</v>
      </c>
      <c r="O30" s="3">
        <v>8.2200000000000006</v>
      </c>
      <c r="P30" s="3">
        <v>11.1</v>
      </c>
      <c r="Q30" s="6">
        <v>0</v>
      </c>
      <c r="R30" s="3">
        <v>111</v>
      </c>
      <c r="S30" t="s">
        <v>819</v>
      </c>
    </row>
    <row r="31" spans="1:19" x14ac:dyDescent="0.35">
      <c r="A31" t="s">
        <v>905</v>
      </c>
      <c r="B31" t="s">
        <v>440</v>
      </c>
      <c r="C31" s="5">
        <v>45673</v>
      </c>
      <c r="D31" s="5">
        <v>45678</v>
      </c>
      <c r="E31" t="s">
        <v>441</v>
      </c>
      <c r="F31" t="s">
        <v>637</v>
      </c>
      <c r="G31" t="s">
        <v>264</v>
      </c>
      <c r="H31" t="s">
        <v>20</v>
      </c>
      <c r="I31" t="s">
        <v>8</v>
      </c>
      <c r="J31" t="s">
        <v>91</v>
      </c>
      <c r="K31" t="s">
        <v>798</v>
      </c>
      <c r="L31" t="s">
        <v>799</v>
      </c>
      <c r="M31" t="s">
        <v>842</v>
      </c>
      <c r="N31">
        <v>20</v>
      </c>
      <c r="O31" s="3">
        <v>36.82</v>
      </c>
      <c r="P31" s="3">
        <v>47.87</v>
      </c>
      <c r="Q31" s="6">
        <v>0</v>
      </c>
      <c r="R31" s="3">
        <v>957.4</v>
      </c>
      <c r="S31" t="s">
        <v>888</v>
      </c>
    </row>
    <row r="32" spans="1:19" x14ac:dyDescent="0.35">
      <c r="A32" t="s">
        <v>908</v>
      </c>
      <c r="B32" t="s">
        <v>614</v>
      </c>
      <c r="C32" s="5">
        <v>46053</v>
      </c>
      <c r="D32" s="5">
        <v>46057</v>
      </c>
      <c r="E32" t="s">
        <v>615</v>
      </c>
      <c r="F32" t="s">
        <v>637</v>
      </c>
      <c r="G32" t="s">
        <v>235</v>
      </c>
      <c r="H32" t="s">
        <v>797</v>
      </c>
      <c r="I32" t="s">
        <v>79</v>
      </c>
      <c r="J32" t="s">
        <v>124</v>
      </c>
      <c r="K32" t="s">
        <v>798</v>
      </c>
      <c r="L32" t="s">
        <v>799</v>
      </c>
      <c r="M32" t="s">
        <v>842</v>
      </c>
      <c r="N32">
        <v>3</v>
      </c>
      <c r="O32" s="3">
        <v>29.44</v>
      </c>
      <c r="P32" s="3">
        <v>41.22</v>
      </c>
      <c r="Q32" s="6">
        <v>0</v>
      </c>
      <c r="R32" s="3">
        <v>123.66</v>
      </c>
      <c r="S32" t="s">
        <v>845</v>
      </c>
    </row>
    <row r="33" spans="1:19" x14ac:dyDescent="0.35">
      <c r="A33" t="s">
        <v>910</v>
      </c>
      <c r="B33" t="s">
        <v>609</v>
      </c>
      <c r="C33" s="5">
        <v>45708</v>
      </c>
      <c r="D33" s="5">
        <v>45717</v>
      </c>
      <c r="E33" t="s">
        <v>610</v>
      </c>
      <c r="F33" t="s">
        <v>627</v>
      </c>
      <c r="H33" t="s">
        <v>20</v>
      </c>
      <c r="I33" t="s">
        <v>20</v>
      </c>
      <c r="J33" t="s">
        <v>188</v>
      </c>
      <c r="K33" t="s">
        <v>786</v>
      </c>
      <c r="L33" t="s">
        <v>799</v>
      </c>
      <c r="M33" t="s">
        <v>788</v>
      </c>
      <c r="N33">
        <v>2</v>
      </c>
      <c r="O33" s="3">
        <v>24.6</v>
      </c>
      <c r="P33" s="3">
        <v>35.67</v>
      </c>
      <c r="Q33" s="6">
        <v>0</v>
      </c>
      <c r="R33" s="3">
        <v>71.34</v>
      </c>
      <c r="S33" t="s">
        <v>859</v>
      </c>
    </row>
    <row r="34" spans="1:19" x14ac:dyDescent="0.35">
      <c r="A34" t="s">
        <v>914</v>
      </c>
      <c r="B34" t="s">
        <v>616</v>
      </c>
      <c r="C34" s="5">
        <v>45705</v>
      </c>
      <c r="E34" t="s">
        <v>231</v>
      </c>
      <c r="F34" t="s">
        <v>637</v>
      </c>
      <c r="G34" t="s">
        <v>264</v>
      </c>
      <c r="H34" t="s">
        <v>14</v>
      </c>
      <c r="I34" t="s">
        <v>29</v>
      </c>
      <c r="J34" t="s">
        <v>123</v>
      </c>
      <c r="K34" t="s">
        <v>798</v>
      </c>
      <c r="L34" t="s">
        <v>787</v>
      </c>
      <c r="M34" t="s">
        <v>788</v>
      </c>
      <c r="N34">
        <v>12</v>
      </c>
      <c r="O34" s="3">
        <v>20.7</v>
      </c>
      <c r="P34" s="3">
        <v>30.01</v>
      </c>
      <c r="Q34" s="6">
        <v>0</v>
      </c>
      <c r="R34" s="3">
        <v>360.12</v>
      </c>
      <c r="S34" t="s">
        <v>794</v>
      </c>
    </row>
    <row r="35" spans="1:19" x14ac:dyDescent="0.35">
      <c r="A35" t="s">
        <v>916</v>
      </c>
      <c r="B35" t="s">
        <v>281</v>
      </c>
      <c r="C35" s="5">
        <v>45325</v>
      </c>
      <c r="D35" s="5">
        <v>45326</v>
      </c>
      <c r="E35" t="s">
        <v>282</v>
      </c>
      <c r="F35" t="s">
        <v>633</v>
      </c>
      <c r="G35" t="s">
        <v>243</v>
      </c>
      <c r="H35" t="s">
        <v>20</v>
      </c>
      <c r="I35" t="s">
        <v>48</v>
      </c>
      <c r="J35" t="s">
        <v>202</v>
      </c>
      <c r="K35" t="s">
        <v>798</v>
      </c>
      <c r="L35" t="s">
        <v>799</v>
      </c>
      <c r="M35" t="s">
        <v>818</v>
      </c>
      <c r="N35">
        <v>1</v>
      </c>
      <c r="O35" s="3">
        <v>27</v>
      </c>
      <c r="P35" s="3">
        <v>39.15</v>
      </c>
      <c r="Q35" s="6">
        <v>0.15</v>
      </c>
      <c r="R35" s="3">
        <v>33.277499999999996</v>
      </c>
      <c r="S35" t="s">
        <v>919</v>
      </c>
    </row>
    <row r="36" spans="1:19" x14ac:dyDescent="0.35">
      <c r="A36" t="s">
        <v>920</v>
      </c>
      <c r="B36" t="s">
        <v>506</v>
      </c>
      <c r="C36" s="5">
        <v>45539</v>
      </c>
      <c r="D36" s="5">
        <v>45544</v>
      </c>
      <c r="E36" t="s">
        <v>287</v>
      </c>
      <c r="F36" t="s">
        <v>627</v>
      </c>
      <c r="G36" t="s">
        <v>243</v>
      </c>
      <c r="H36" t="s">
        <v>797</v>
      </c>
      <c r="I36" t="s">
        <v>43</v>
      </c>
      <c r="J36" t="s">
        <v>53</v>
      </c>
      <c r="K36" t="s">
        <v>786</v>
      </c>
      <c r="L36" t="s">
        <v>799</v>
      </c>
      <c r="M36" t="s">
        <v>800</v>
      </c>
      <c r="N36">
        <v>5</v>
      </c>
      <c r="O36" s="3">
        <v>54.93</v>
      </c>
      <c r="P36" s="3">
        <v>79.650000000000006</v>
      </c>
      <c r="Q36" s="6">
        <v>0</v>
      </c>
      <c r="R36" s="3">
        <v>398.25</v>
      </c>
      <c r="S36" t="s">
        <v>810</v>
      </c>
    </row>
    <row r="37" spans="1:19" x14ac:dyDescent="0.35">
      <c r="A37" t="s">
        <v>924</v>
      </c>
      <c r="B37" t="s">
        <v>416</v>
      </c>
      <c r="C37" s="5">
        <v>45997</v>
      </c>
      <c r="D37" s="5">
        <v>46001</v>
      </c>
      <c r="E37" t="s">
        <v>417</v>
      </c>
      <c r="F37" t="s">
        <v>254</v>
      </c>
      <c r="G37" t="s">
        <v>264</v>
      </c>
      <c r="H37" t="s">
        <v>797</v>
      </c>
      <c r="I37" t="s">
        <v>8</v>
      </c>
      <c r="J37" t="s">
        <v>129</v>
      </c>
      <c r="K37" t="s">
        <v>813</v>
      </c>
      <c r="L37" t="s">
        <v>799</v>
      </c>
      <c r="M37" t="s">
        <v>788</v>
      </c>
      <c r="N37">
        <v>5</v>
      </c>
      <c r="O37" s="3">
        <v>22.15</v>
      </c>
      <c r="P37" s="3">
        <v>31.01</v>
      </c>
      <c r="Q37" s="6">
        <v>0</v>
      </c>
      <c r="R37" s="3">
        <v>155.05000000000001</v>
      </c>
      <c r="S37" t="s">
        <v>869</v>
      </c>
    </row>
    <row r="38" spans="1:19" x14ac:dyDescent="0.35">
      <c r="A38" t="s">
        <v>928</v>
      </c>
      <c r="B38" t="s">
        <v>407</v>
      </c>
      <c r="C38" s="5">
        <v>45985</v>
      </c>
      <c r="D38" s="5">
        <v>45988</v>
      </c>
      <c r="E38" t="s">
        <v>408</v>
      </c>
      <c r="F38" t="s">
        <v>681</v>
      </c>
      <c r="G38" t="s">
        <v>235</v>
      </c>
      <c r="H38" t="s">
        <v>797</v>
      </c>
      <c r="I38" t="s">
        <v>48</v>
      </c>
      <c r="J38" t="s">
        <v>135</v>
      </c>
      <c r="K38" t="s">
        <v>813</v>
      </c>
      <c r="L38" t="s">
        <v>799</v>
      </c>
      <c r="M38" t="s">
        <v>842</v>
      </c>
      <c r="N38">
        <v>3</v>
      </c>
      <c r="O38" s="3">
        <v>51.72</v>
      </c>
      <c r="P38" s="3">
        <v>67.239999999999995</v>
      </c>
      <c r="Q38" s="6">
        <v>0.05</v>
      </c>
      <c r="R38" s="3">
        <v>191.63399999999996</v>
      </c>
      <c r="S38" t="s">
        <v>888</v>
      </c>
    </row>
    <row r="39" spans="1:19" x14ac:dyDescent="0.35">
      <c r="A39" t="s">
        <v>931</v>
      </c>
      <c r="B39" t="s">
        <v>388</v>
      </c>
      <c r="C39" s="5">
        <v>45907</v>
      </c>
      <c r="D39" s="5">
        <v>45913</v>
      </c>
      <c r="E39" t="s">
        <v>389</v>
      </c>
      <c r="F39" t="s">
        <v>633</v>
      </c>
      <c r="G39" t="s">
        <v>243</v>
      </c>
      <c r="H39" t="s">
        <v>14</v>
      </c>
      <c r="I39" t="s">
        <v>29</v>
      </c>
      <c r="J39" t="s">
        <v>86</v>
      </c>
      <c r="K39" t="s">
        <v>786</v>
      </c>
      <c r="L39" t="s">
        <v>799</v>
      </c>
      <c r="M39" t="s">
        <v>800</v>
      </c>
      <c r="N39">
        <v>20</v>
      </c>
      <c r="O39" s="3">
        <v>8.35</v>
      </c>
      <c r="P39" s="3">
        <v>12.11</v>
      </c>
      <c r="Q39" s="6">
        <v>0.05</v>
      </c>
      <c r="R39" s="3">
        <v>230.08999999999997</v>
      </c>
      <c r="S39" t="s">
        <v>935</v>
      </c>
    </row>
    <row r="40" spans="1:19" x14ac:dyDescent="0.35">
      <c r="A40" t="s">
        <v>936</v>
      </c>
      <c r="B40" t="s">
        <v>384</v>
      </c>
      <c r="C40" s="5">
        <v>45762</v>
      </c>
      <c r="D40" s="5">
        <v>45768</v>
      </c>
      <c r="E40" t="s">
        <v>385</v>
      </c>
      <c r="F40" t="s">
        <v>696</v>
      </c>
      <c r="G40" t="s">
        <v>264</v>
      </c>
      <c r="H40" t="s">
        <v>797</v>
      </c>
      <c r="I40" t="s">
        <v>8</v>
      </c>
      <c r="J40" t="s">
        <v>192</v>
      </c>
      <c r="K40" t="s">
        <v>798</v>
      </c>
      <c r="L40" t="s">
        <v>799</v>
      </c>
      <c r="M40" t="s">
        <v>842</v>
      </c>
      <c r="N40">
        <v>2</v>
      </c>
      <c r="O40" s="3">
        <v>19.47</v>
      </c>
      <c r="P40" s="3">
        <v>28.23</v>
      </c>
      <c r="Q40" s="6">
        <v>0</v>
      </c>
      <c r="R40" s="3">
        <v>56.46</v>
      </c>
      <c r="S40" t="s">
        <v>892</v>
      </c>
    </row>
    <row r="41" spans="1:19" x14ac:dyDescent="0.35">
      <c r="A41" t="s">
        <v>940</v>
      </c>
      <c r="B41" t="s">
        <v>551</v>
      </c>
      <c r="C41" s="5">
        <v>45866</v>
      </c>
      <c r="D41" s="5">
        <v>45872</v>
      </c>
      <c r="E41" t="s">
        <v>304</v>
      </c>
      <c r="F41" t="s">
        <v>627</v>
      </c>
      <c r="G41" t="s">
        <v>264</v>
      </c>
      <c r="H41" t="s">
        <v>797</v>
      </c>
      <c r="I41" t="s">
        <v>20</v>
      </c>
      <c r="J41" t="s">
        <v>102</v>
      </c>
      <c r="K41" t="s">
        <v>798</v>
      </c>
      <c r="L41" t="s">
        <v>799</v>
      </c>
      <c r="M41" t="s">
        <v>800</v>
      </c>
      <c r="N41">
        <v>20</v>
      </c>
      <c r="O41" s="3">
        <v>19.04</v>
      </c>
      <c r="P41" s="3">
        <v>25.7</v>
      </c>
      <c r="Q41" s="6">
        <v>0</v>
      </c>
      <c r="R41" s="3">
        <v>514</v>
      </c>
      <c r="S41" t="s">
        <v>869</v>
      </c>
    </row>
    <row r="42" spans="1:19" x14ac:dyDescent="0.35">
      <c r="A42" t="s">
        <v>943</v>
      </c>
      <c r="B42" t="s">
        <v>572</v>
      </c>
      <c r="C42" s="5">
        <v>45575</v>
      </c>
      <c r="E42" t="s">
        <v>304</v>
      </c>
      <c r="F42" t="s">
        <v>681</v>
      </c>
      <c r="G42" t="s">
        <v>235</v>
      </c>
      <c r="H42" t="s">
        <v>48</v>
      </c>
      <c r="I42" t="s">
        <v>20</v>
      </c>
      <c r="J42" t="s">
        <v>102</v>
      </c>
      <c r="K42" t="s">
        <v>798</v>
      </c>
      <c r="L42" t="s">
        <v>793</v>
      </c>
      <c r="M42" t="s">
        <v>788</v>
      </c>
      <c r="N42">
        <v>3</v>
      </c>
      <c r="O42" s="3">
        <v>19.04</v>
      </c>
      <c r="P42" s="3">
        <v>25.7</v>
      </c>
      <c r="Q42" s="6">
        <v>0</v>
      </c>
      <c r="R42" s="3">
        <v>77.099999999999994</v>
      </c>
      <c r="S42" t="s">
        <v>946</v>
      </c>
    </row>
    <row r="43" spans="1:19" x14ac:dyDescent="0.35">
      <c r="A43" t="s">
        <v>947</v>
      </c>
      <c r="B43" t="s">
        <v>580</v>
      </c>
      <c r="C43" s="5">
        <v>45705</v>
      </c>
      <c r="E43" t="s">
        <v>581</v>
      </c>
      <c r="F43" t="s">
        <v>674</v>
      </c>
      <c r="G43" t="s">
        <v>235</v>
      </c>
      <c r="H43" t="s">
        <v>20</v>
      </c>
      <c r="I43" t="s">
        <v>8</v>
      </c>
      <c r="J43" t="s">
        <v>101</v>
      </c>
      <c r="K43" t="s">
        <v>798</v>
      </c>
      <c r="L43" t="s">
        <v>817</v>
      </c>
      <c r="M43" t="s">
        <v>800</v>
      </c>
      <c r="N43">
        <v>10</v>
      </c>
      <c r="O43" s="3">
        <v>16.510000000000002</v>
      </c>
      <c r="P43" s="3">
        <v>23.94</v>
      </c>
      <c r="Q43" s="6">
        <v>0.05</v>
      </c>
      <c r="R43" s="3">
        <v>227.43</v>
      </c>
      <c r="S43" t="s">
        <v>935</v>
      </c>
    </row>
    <row r="44" spans="1:19" x14ac:dyDescent="0.35">
      <c r="A44" t="s">
        <v>948</v>
      </c>
      <c r="B44" t="s">
        <v>547</v>
      </c>
      <c r="C44" s="5">
        <v>45689</v>
      </c>
      <c r="E44" t="s">
        <v>375</v>
      </c>
      <c r="F44" t="s">
        <v>681</v>
      </c>
      <c r="G44" t="s">
        <v>243</v>
      </c>
      <c r="H44" t="s">
        <v>48</v>
      </c>
      <c r="I44" t="s">
        <v>48</v>
      </c>
      <c r="J44" t="s">
        <v>135</v>
      </c>
      <c r="K44" t="s">
        <v>786</v>
      </c>
      <c r="L44" t="s">
        <v>793</v>
      </c>
      <c r="M44" t="s">
        <v>788</v>
      </c>
      <c r="N44">
        <v>12</v>
      </c>
      <c r="O44" s="3">
        <v>51.72</v>
      </c>
      <c r="P44" s="3">
        <v>67.239999999999995</v>
      </c>
      <c r="Q44" s="6">
        <v>0.15</v>
      </c>
      <c r="R44" s="3">
        <v>685.84799999999996</v>
      </c>
      <c r="S44" t="s">
        <v>790</v>
      </c>
    </row>
    <row r="45" spans="1:19" x14ac:dyDescent="0.35">
      <c r="A45" t="s">
        <v>951</v>
      </c>
      <c r="B45" t="s">
        <v>576</v>
      </c>
      <c r="C45" s="5">
        <v>45945</v>
      </c>
      <c r="D45" s="5">
        <v>45953</v>
      </c>
      <c r="E45" t="s">
        <v>577</v>
      </c>
      <c r="F45" t="s">
        <v>633</v>
      </c>
      <c r="G45" t="s">
        <v>243</v>
      </c>
      <c r="H45" t="s">
        <v>14</v>
      </c>
      <c r="I45" t="s">
        <v>20</v>
      </c>
      <c r="J45" t="s">
        <v>119</v>
      </c>
      <c r="K45" t="s">
        <v>786</v>
      </c>
      <c r="L45" t="s">
        <v>799</v>
      </c>
      <c r="M45" t="s">
        <v>788</v>
      </c>
      <c r="N45">
        <v>1</v>
      </c>
      <c r="O45" s="3">
        <v>40.94</v>
      </c>
      <c r="P45" s="3">
        <v>53.22</v>
      </c>
      <c r="Q45" s="6">
        <v>0</v>
      </c>
      <c r="R45" s="3">
        <v>53.22</v>
      </c>
      <c r="S45" t="s">
        <v>919</v>
      </c>
    </row>
    <row r="46" spans="1:19" x14ac:dyDescent="0.35">
      <c r="A46" t="s">
        <v>954</v>
      </c>
      <c r="B46" t="s">
        <v>596</v>
      </c>
      <c r="C46" s="5">
        <v>45423</v>
      </c>
      <c r="D46" s="5">
        <v>45427</v>
      </c>
      <c r="E46" t="s">
        <v>443</v>
      </c>
      <c r="F46" t="s">
        <v>637</v>
      </c>
      <c r="G46" t="s">
        <v>264</v>
      </c>
      <c r="H46" t="s">
        <v>14</v>
      </c>
      <c r="I46" t="s">
        <v>48</v>
      </c>
      <c r="J46" t="s">
        <v>190</v>
      </c>
      <c r="K46" t="s">
        <v>786</v>
      </c>
      <c r="L46" t="s">
        <v>822</v>
      </c>
      <c r="M46" t="s">
        <v>800</v>
      </c>
      <c r="N46">
        <v>3</v>
      </c>
      <c r="O46" s="3">
        <v>21.56</v>
      </c>
      <c r="P46" s="3">
        <v>31.26</v>
      </c>
      <c r="Q46" s="6">
        <v>0.15</v>
      </c>
      <c r="R46" s="3">
        <v>79.712999999999994</v>
      </c>
      <c r="S46" t="s">
        <v>834</v>
      </c>
    </row>
    <row r="47" spans="1:19" x14ac:dyDescent="0.35">
      <c r="A47" t="s">
        <v>958</v>
      </c>
      <c r="B47" t="s">
        <v>604</v>
      </c>
      <c r="C47" s="5">
        <v>45655</v>
      </c>
      <c r="E47" t="s">
        <v>431</v>
      </c>
      <c r="F47" t="s">
        <v>637</v>
      </c>
      <c r="G47" t="s">
        <v>243</v>
      </c>
      <c r="H47" t="s">
        <v>797</v>
      </c>
      <c r="I47" t="s">
        <v>29</v>
      </c>
      <c r="J47" t="s">
        <v>86</v>
      </c>
      <c r="K47" t="s">
        <v>786</v>
      </c>
      <c r="L47" t="s">
        <v>793</v>
      </c>
      <c r="M47" t="s">
        <v>800</v>
      </c>
      <c r="N47">
        <v>3</v>
      </c>
      <c r="O47" s="3">
        <v>8.35</v>
      </c>
      <c r="P47" s="3">
        <v>12.11</v>
      </c>
      <c r="Q47" s="6">
        <v>0.1</v>
      </c>
      <c r="R47" s="3">
        <v>32.696999999999996</v>
      </c>
      <c r="S47" t="s">
        <v>859</v>
      </c>
    </row>
    <row r="48" spans="1:19" x14ac:dyDescent="0.35">
      <c r="A48" t="s">
        <v>960</v>
      </c>
      <c r="B48" t="s">
        <v>498</v>
      </c>
      <c r="C48" s="5">
        <v>45766</v>
      </c>
      <c r="D48" s="5">
        <v>45775</v>
      </c>
      <c r="E48" t="s">
        <v>499</v>
      </c>
      <c r="F48" t="s">
        <v>254</v>
      </c>
      <c r="G48" t="s">
        <v>235</v>
      </c>
      <c r="H48" t="s">
        <v>20</v>
      </c>
      <c r="I48" t="s">
        <v>20</v>
      </c>
      <c r="J48" t="s">
        <v>159</v>
      </c>
      <c r="K48" t="s">
        <v>798</v>
      </c>
      <c r="L48" t="s">
        <v>822</v>
      </c>
      <c r="M48" t="s">
        <v>842</v>
      </c>
      <c r="N48">
        <v>1</v>
      </c>
      <c r="O48" s="3">
        <v>8.2200000000000006</v>
      </c>
      <c r="P48" s="3">
        <v>11.1</v>
      </c>
      <c r="Q48" s="6">
        <v>0.05</v>
      </c>
      <c r="R48" s="3">
        <v>10.545</v>
      </c>
      <c r="S48" t="s">
        <v>963</v>
      </c>
    </row>
    <row r="49" spans="1:19" x14ac:dyDescent="0.35">
      <c r="A49" t="s">
        <v>964</v>
      </c>
      <c r="B49" t="s">
        <v>524</v>
      </c>
      <c r="C49" s="5">
        <v>45414</v>
      </c>
      <c r="E49" t="s">
        <v>484</v>
      </c>
      <c r="F49" t="s">
        <v>633</v>
      </c>
      <c r="H49" t="s">
        <v>797</v>
      </c>
      <c r="I49" t="s">
        <v>29</v>
      </c>
      <c r="J49" t="s">
        <v>106</v>
      </c>
      <c r="K49" t="s">
        <v>786</v>
      </c>
      <c r="L49" t="s">
        <v>787</v>
      </c>
      <c r="M49" t="s">
        <v>788</v>
      </c>
      <c r="N49">
        <v>1</v>
      </c>
      <c r="O49" s="3">
        <v>29.64</v>
      </c>
      <c r="P49" s="3">
        <v>41.5</v>
      </c>
      <c r="Q49" s="6">
        <v>0</v>
      </c>
      <c r="R49" s="3">
        <v>41.5</v>
      </c>
      <c r="S49" t="s">
        <v>876</v>
      </c>
    </row>
    <row r="50" spans="1:19" x14ac:dyDescent="0.35">
      <c r="A50" t="s">
        <v>967</v>
      </c>
      <c r="B50" t="s">
        <v>347</v>
      </c>
      <c r="C50" s="5">
        <v>45875</v>
      </c>
      <c r="E50" t="s">
        <v>348</v>
      </c>
      <c r="F50" t="s">
        <v>633</v>
      </c>
      <c r="G50" t="s">
        <v>243</v>
      </c>
      <c r="H50" t="s">
        <v>20</v>
      </c>
      <c r="I50" t="s">
        <v>48</v>
      </c>
      <c r="J50" t="s">
        <v>190</v>
      </c>
      <c r="K50" t="s">
        <v>813</v>
      </c>
      <c r="L50" t="s">
        <v>787</v>
      </c>
      <c r="M50" t="s">
        <v>800</v>
      </c>
      <c r="N50">
        <v>5</v>
      </c>
      <c r="O50" s="3">
        <v>21.56</v>
      </c>
      <c r="P50" s="3">
        <v>31.26</v>
      </c>
      <c r="Q50" s="6">
        <v>0.15</v>
      </c>
      <c r="R50" s="3">
        <v>132.85500000000002</v>
      </c>
      <c r="S50" t="s">
        <v>810</v>
      </c>
    </row>
    <row r="51" spans="1:19" x14ac:dyDescent="0.35">
      <c r="A51" t="s">
        <v>968</v>
      </c>
      <c r="B51" t="s">
        <v>286</v>
      </c>
      <c r="C51" s="5">
        <v>45612</v>
      </c>
      <c r="D51" s="5">
        <v>45615</v>
      </c>
      <c r="E51" t="s">
        <v>287</v>
      </c>
      <c r="F51" t="s">
        <v>254</v>
      </c>
      <c r="G51" t="s">
        <v>264</v>
      </c>
      <c r="H51" t="s">
        <v>14</v>
      </c>
      <c r="I51" t="s">
        <v>48</v>
      </c>
      <c r="J51" t="s">
        <v>84</v>
      </c>
      <c r="K51" t="s">
        <v>798</v>
      </c>
      <c r="L51" t="s">
        <v>799</v>
      </c>
      <c r="M51" t="s">
        <v>788</v>
      </c>
      <c r="N51">
        <v>1</v>
      </c>
      <c r="O51" s="3">
        <v>27.52</v>
      </c>
      <c r="P51" s="3">
        <v>34.4</v>
      </c>
      <c r="Q51" s="6">
        <v>0.05</v>
      </c>
      <c r="R51" s="3">
        <v>32.68</v>
      </c>
      <c r="S51" t="s">
        <v>834</v>
      </c>
    </row>
    <row r="52" spans="1:19" x14ac:dyDescent="0.35">
      <c r="A52" t="s">
        <v>972</v>
      </c>
      <c r="B52" t="s">
        <v>564</v>
      </c>
      <c r="C52" s="5">
        <v>45921</v>
      </c>
      <c r="E52" t="s">
        <v>526</v>
      </c>
      <c r="F52" t="s">
        <v>696</v>
      </c>
      <c r="G52" t="s">
        <v>243</v>
      </c>
      <c r="H52" t="s">
        <v>797</v>
      </c>
      <c r="I52" t="s">
        <v>48</v>
      </c>
      <c r="J52" t="s">
        <v>61</v>
      </c>
      <c r="K52" t="s">
        <v>786</v>
      </c>
      <c r="L52" t="s">
        <v>793</v>
      </c>
      <c r="M52" t="s">
        <v>842</v>
      </c>
      <c r="N52">
        <v>20</v>
      </c>
      <c r="O52" s="3">
        <v>26.08</v>
      </c>
      <c r="P52" s="3">
        <v>35.21</v>
      </c>
      <c r="Q52" s="6">
        <v>0.1</v>
      </c>
      <c r="R52" s="3">
        <v>633.78000000000009</v>
      </c>
      <c r="S52" t="s">
        <v>963</v>
      </c>
    </row>
    <row r="53" spans="1:19" x14ac:dyDescent="0.35">
      <c r="A53" t="s">
        <v>974</v>
      </c>
      <c r="B53" t="s">
        <v>248</v>
      </c>
      <c r="C53" s="5">
        <v>46040</v>
      </c>
      <c r="E53" t="s">
        <v>249</v>
      </c>
      <c r="F53" t="s">
        <v>633</v>
      </c>
      <c r="H53" t="s">
        <v>20</v>
      </c>
      <c r="I53" t="s">
        <v>14</v>
      </c>
      <c r="J53" t="s">
        <v>93</v>
      </c>
      <c r="K53" t="s">
        <v>798</v>
      </c>
      <c r="L53" t="s">
        <v>787</v>
      </c>
      <c r="M53" t="s">
        <v>842</v>
      </c>
      <c r="N53">
        <v>5</v>
      </c>
      <c r="O53" s="3">
        <v>26.96</v>
      </c>
      <c r="P53" s="3">
        <v>37.74</v>
      </c>
      <c r="Q53" s="6">
        <v>0.15</v>
      </c>
      <c r="R53" s="3">
        <v>160.39500000000001</v>
      </c>
      <c r="S53" t="s">
        <v>794</v>
      </c>
    </row>
    <row r="54" spans="1:19" x14ac:dyDescent="0.35">
      <c r="A54" t="s">
        <v>977</v>
      </c>
      <c r="B54" t="s">
        <v>428</v>
      </c>
      <c r="C54" s="5">
        <v>45523</v>
      </c>
      <c r="E54" t="s">
        <v>429</v>
      </c>
      <c r="F54" t="s">
        <v>674</v>
      </c>
      <c r="G54" t="s">
        <v>264</v>
      </c>
      <c r="H54" t="s">
        <v>797</v>
      </c>
      <c r="I54" t="s">
        <v>29</v>
      </c>
      <c r="J54" t="s">
        <v>32</v>
      </c>
      <c r="K54" t="s">
        <v>798</v>
      </c>
      <c r="L54" t="s">
        <v>793</v>
      </c>
      <c r="M54" t="s">
        <v>842</v>
      </c>
      <c r="N54">
        <v>3</v>
      </c>
      <c r="O54" s="3">
        <v>18.989999999999998</v>
      </c>
      <c r="P54" s="3">
        <v>25.64</v>
      </c>
      <c r="Q54" s="6">
        <v>0</v>
      </c>
      <c r="R54" s="3">
        <v>76.92</v>
      </c>
      <c r="S54" t="s">
        <v>859</v>
      </c>
    </row>
    <row r="55" spans="1:19" x14ac:dyDescent="0.35">
      <c r="A55" t="s">
        <v>980</v>
      </c>
      <c r="B55" t="s">
        <v>597</v>
      </c>
      <c r="C55" s="5">
        <v>45589</v>
      </c>
      <c r="D55" s="5">
        <v>45595</v>
      </c>
      <c r="E55" t="s">
        <v>598</v>
      </c>
      <c r="F55" t="s">
        <v>627</v>
      </c>
      <c r="G55" t="s">
        <v>235</v>
      </c>
      <c r="H55" t="s">
        <v>14</v>
      </c>
      <c r="I55" t="s">
        <v>8</v>
      </c>
      <c r="J55" t="s">
        <v>91</v>
      </c>
      <c r="K55" t="s">
        <v>798</v>
      </c>
      <c r="L55" t="s">
        <v>822</v>
      </c>
      <c r="M55" t="s">
        <v>788</v>
      </c>
      <c r="N55">
        <v>3</v>
      </c>
      <c r="O55" s="3">
        <v>36.82</v>
      </c>
      <c r="P55" s="3">
        <v>47.87</v>
      </c>
      <c r="Q55" s="6">
        <v>0</v>
      </c>
      <c r="R55" s="3">
        <v>143.60999999999999</v>
      </c>
      <c r="S55" t="s">
        <v>819</v>
      </c>
    </row>
    <row r="56" spans="1:19" x14ac:dyDescent="0.35">
      <c r="A56" t="s">
        <v>983</v>
      </c>
      <c r="B56" t="s">
        <v>469</v>
      </c>
      <c r="C56" s="5">
        <v>45484</v>
      </c>
      <c r="E56" t="s">
        <v>470</v>
      </c>
      <c r="F56" t="s">
        <v>254</v>
      </c>
      <c r="G56" t="s">
        <v>235</v>
      </c>
      <c r="H56" t="s">
        <v>797</v>
      </c>
      <c r="I56" t="s">
        <v>8</v>
      </c>
      <c r="J56" t="s">
        <v>207</v>
      </c>
      <c r="K56" t="s">
        <v>798</v>
      </c>
      <c r="L56" t="s">
        <v>787</v>
      </c>
      <c r="M56" t="s">
        <v>842</v>
      </c>
      <c r="N56">
        <v>1</v>
      </c>
      <c r="O56" s="3">
        <v>8.5399999999999991</v>
      </c>
      <c r="P56" s="3">
        <v>10.67</v>
      </c>
      <c r="Q56" s="6">
        <v>0.1</v>
      </c>
      <c r="R56" s="3">
        <v>9.6029999999999998</v>
      </c>
      <c r="S56" t="s">
        <v>892</v>
      </c>
    </row>
    <row r="57" spans="1:19" x14ac:dyDescent="0.35">
      <c r="A57" t="s">
        <v>986</v>
      </c>
      <c r="B57" t="s">
        <v>452</v>
      </c>
      <c r="C57" s="5">
        <v>45465</v>
      </c>
      <c r="D57" s="5">
        <v>45466</v>
      </c>
      <c r="E57" t="s">
        <v>420</v>
      </c>
      <c r="F57" t="s">
        <v>681</v>
      </c>
      <c r="G57" t="s">
        <v>264</v>
      </c>
      <c r="H57" t="s">
        <v>14</v>
      </c>
      <c r="I57" t="s">
        <v>43</v>
      </c>
      <c r="J57" t="s">
        <v>146</v>
      </c>
      <c r="K57" t="s">
        <v>813</v>
      </c>
      <c r="L57" t="s">
        <v>799</v>
      </c>
      <c r="M57" t="s">
        <v>800</v>
      </c>
      <c r="N57">
        <v>10</v>
      </c>
      <c r="O57" s="3">
        <v>24.05</v>
      </c>
      <c r="P57" s="3">
        <v>31.27</v>
      </c>
      <c r="Q57" s="6">
        <v>0.1</v>
      </c>
      <c r="R57" s="3">
        <v>281.43</v>
      </c>
      <c r="S57" t="s">
        <v>946</v>
      </c>
    </row>
    <row r="58" spans="1:19" x14ac:dyDescent="0.35">
      <c r="A58" t="s">
        <v>988</v>
      </c>
      <c r="B58" t="s">
        <v>574</v>
      </c>
      <c r="C58" s="5">
        <v>45900</v>
      </c>
      <c r="D58" s="5">
        <v>45902</v>
      </c>
      <c r="E58" t="s">
        <v>458</v>
      </c>
      <c r="F58" t="s">
        <v>254</v>
      </c>
      <c r="H58" t="s">
        <v>14</v>
      </c>
      <c r="I58" t="s">
        <v>48</v>
      </c>
      <c r="J58" t="s">
        <v>179</v>
      </c>
      <c r="K58" t="s">
        <v>813</v>
      </c>
      <c r="L58" t="s">
        <v>799</v>
      </c>
      <c r="M58" t="s">
        <v>818</v>
      </c>
      <c r="N58">
        <v>5</v>
      </c>
      <c r="O58" s="3">
        <v>16.670000000000002</v>
      </c>
      <c r="P58" s="3">
        <v>22.5</v>
      </c>
      <c r="Q58" s="6">
        <v>0.05</v>
      </c>
      <c r="R58" s="3">
        <v>106.875</v>
      </c>
      <c r="S58" t="s">
        <v>935</v>
      </c>
    </row>
    <row r="59" spans="1:19" x14ac:dyDescent="0.35">
      <c r="A59" t="s">
        <v>992</v>
      </c>
      <c r="B59" t="s">
        <v>500</v>
      </c>
      <c r="C59" s="5">
        <v>45852</v>
      </c>
      <c r="D59" s="5">
        <v>45854</v>
      </c>
      <c r="E59" t="s">
        <v>447</v>
      </c>
      <c r="F59" t="s">
        <v>681</v>
      </c>
      <c r="G59" t="s">
        <v>235</v>
      </c>
      <c r="H59" t="s">
        <v>797</v>
      </c>
      <c r="I59" t="s">
        <v>20</v>
      </c>
      <c r="J59" t="s">
        <v>97</v>
      </c>
      <c r="K59" t="s">
        <v>798</v>
      </c>
      <c r="L59" t="s">
        <v>799</v>
      </c>
      <c r="M59" t="s">
        <v>800</v>
      </c>
      <c r="N59">
        <v>5</v>
      </c>
      <c r="O59" s="3">
        <v>20.79</v>
      </c>
      <c r="P59" s="3">
        <v>28.07</v>
      </c>
      <c r="Q59" s="6">
        <v>0.05</v>
      </c>
      <c r="R59" s="3">
        <v>133.33249999999998</v>
      </c>
      <c r="S59" t="s">
        <v>825</v>
      </c>
    </row>
    <row r="60" spans="1:19" x14ac:dyDescent="0.35">
      <c r="A60" t="s">
        <v>995</v>
      </c>
      <c r="B60" t="s">
        <v>409</v>
      </c>
      <c r="C60" s="5">
        <v>45970</v>
      </c>
      <c r="D60" s="5">
        <v>45972</v>
      </c>
      <c r="E60" t="s">
        <v>410</v>
      </c>
      <c r="F60" t="s">
        <v>627</v>
      </c>
      <c r="G60" t="s">
        <v>235</v>
      </c>
      <c r="H60" t="s">
        <v>14</v>
      </c>
      <c r="I60" t="s">
        <v>43</v>
      </c>
      <c r="J60" t="s">
        <v>99</v>
      </c>
      <c r="K60" t="s">
        <v>813</v>
      </c>
      <c r="L60" t="s">
        <v>799</v>
      </c>
      <c r="M60" t="s">
        <v>842</v>
      </c>
      <c r="N60">
        <v>12</v>
      </c>
      <c r="O60" s="3">
        <v>10.88</v>
      </c>
      <c r="P60" s="3">
        <v>15.78</v>
      </c>
      <c r="Q60" s="6">
        <v>0.1</v>
      </c>
      <c r="R60" s="3">
        <v>170.42399999999998</v>
      </c>
      <c r="S60" t="s">
        <v>946</v>
      </c>
    </row>
    <row r="61" spans="1:19" x14ac:dyDescent="0.35">
      <c r="A61" t="s">
        <v>999</v>
      </c>
      <c r="B61" t="s">
        <v>327</v>
      </c>
      <c r="C61" s="5">
        <v>45581</v>
      </c>
      <c r="E61" t="s">
        <v>328</v>
      </c>
      <c r="F61" t="s">
        <v>696</v>
      </c>
      <c r="G61" t="s">
        <v>264</v>
      </c>
      <c r="H61" t="s">
        <v>797</v>
      </c>
      <c r="I61" t="s">
        <v>79</v>
      </c>
      <c r="J61" t="s">
        <v>77</v>
      </c>
      <c r="K61" t="s">
        <v>813</v>
      </c>
      <c r="L61" t="s">
        <v>793</v>
      </c>
      <c r="M61" t="s">
        <v>788</v>
      </c>
      <c r="N61">
        <v>10</v>
      </c>
      <c r="O61" s="3">
        <v>13.71</v>
      </c>
      <c r="P61" s="3">
        <v>17.82</v>
      </c>
      <c r="Q61" s="6">
        <v>0</v>
      </c>
      <c r="R61" s="3">
        <v>178.2</v>
      </c>
      <c r="S61" t="s">
        <v>1001</v>
      </c>
    </row>
    <row r="62" spans="1:19" x14ac:dyDescent="0.35">
      <c r="A62" t="s">
        <v>1002</v>
      </c>
      <c r="B62" t="s">
        <v>358</v>
      </c>
      <c r="C62" s="5">
        <v>45711</v>
      </c>
      <c r="D62" s="5">
        <v>45712</v>
      </c>
      <c r="E62" t="s">
        <v>287</v>
      </c>
      <c r="F62" t="s">
        <v>254</v>
      </c>
      <c r="G62" t="s">
        <v>243</v>
      </c>
      <c r="H62" t="s">
        <v>14</v>
      </c>
      <c r="I62" t="s">
        <v>20</v>
      </c>
      <c r="J62" t="s">
        <v>102</v>
      </c>
      <c r="K62" t="s">
        <v>786</v>
      </c>
      <c r="L62" t="s">
        <v>799</v>
      </c>
      <c r="M62" t="s">
        <v>818</v>
      </c>
      <c r="N62">
        <v>5</v>
      </c>
      <c r="O62" s="3">
        <v>19.04</v>
      </c>
      <c r="P62" s="3">
        <v>25.7</v>
      </c>
      <c r="Q62" s="6">
        <v>0</v>
      </c>
      <c r="R62" s="3">
        <v>128.5</v>
      </c>
      <c r="S62" t="s">
        <v>794</v>
      </c>
    </row>
    <row r="63" spans="1:19" x14ac:dyDescent="0.35">
      <c r="A63" t="s">
        <v>1005</v>
      </c>
      <c r="B63" t="s">
        <v>329</v>
      </c>
      <c r="C63" s="5">
        <v>45305</v>
      </c>
      <c r="D63" s="5">
        <v>45310</v>
      </c>
      <c r="E63" t="s">
        <v>330</v>
      </c>
      <c r="F63" t="s">
        <v>637</v>
      </c>
      <c r="G63" t="s">
        <v>235</v>
      </c>
      <c r="H63" t="s">
        <v>14</v>
      </c>
      <c r="I63" t="s">
        <v>14</v>
      </c>
      <c r="J63" t="s">
        <v>67</v>
      </c>
      <c r="K63" t="s">
        <v>798</v>
      </c>
      <c r="L63" t="s">
        <v>822</v>
      </c>
      <c r="M63" t="s">
        <v>842</v>
      </c>
      <c r="N63">
        <v>1</v>
      </c>
      <c r="O63" s="3">
        <v>17.63</v>
      </c>
      <c r="P63" s="3">
        <v>22.92</v>
      </c>
      <c r="Q63" s="6">
        <v>0.15</v>
      </c>
      <c r="R63" s="3">
        <v>19.482000000000003</v>
      </c>
      <c r="S63" t="s">
        <v>919</v>
      </c>
    </row>
    <row r="64" spans="1:19" x14ac:dyDescent="0.35">
      <c r="A64" t="s">
        <v>1008</v>
      </c>
      <c r="B64" t="s">
        <v>493</v>
      </c>
      <c r="C64" s="5">
        <v>45951</v>
      </c>
      <c r="D64" s="5">
        <v>45957</v>
      </c>
      <c r="E64" t="s">
        <v>311</v>
      </c>
      <c r="F64" t="s">
        <v>633</v>
      </c>
      <c r="G64" t="s">
        <v>243</v>
      </c>
      <c r="H64" t="s">
        <v>797</v>
      </c>
      <c r="I64" t="s">
        <v>14</v>
      </c>
      <c r="J64" t="s">
        <v>24</v>
      </c>
      <c r="K64" t="s">
        <v>813</v>
      </c>
      <c r="L64" t="s">
        <v>799</v>
      </c>
      <c r="M64" t="s">
        <v>842</v>
      </c>
      <c r="N64">
        <v>10</v>
      </c>
      <c r="O64" s="3">
        <v>37.42</v>
      </c>
      <c r="P64" s="3">
        <v>50.52</v>
      </c>
      <c r="Q64" s="6">
        <v>0</v>
      </c>
      <c r="R64" s="3">
        <v>505.20000000000005</v>
      </c>
      <c r="S64" t="s">
        <v>814</v>
      </c>
    </row>
    <row r="65" spans="1:19" x14ac:dyDescent="0.35">
      <c r="A65" t="s">
        <v>1012</v>
      </c>
      <c r="B65" t="s">
        <v>320</v>
      </c>
      <c r="C65" s="5">
        <v>45728</v>
      </c>
      <c r="D65" s="5">
        <v>45736</v>
      </c>
      <c r="E65" t="s">
        <v>321</v>
      </c>
      <c r="F65" t="s">
        <v>637</v>
      </c>
      <c r="G65" t="s">
        <v>235</v>
      </c>
      <c r="H65" t="s">
        <v>20</v>
      </c>
      <c r="I65" t="s">
        <v>8</v>
      </c>
      <c r="J65" t="s">
        <v>212</v>
      </c>
      <c r="K65" t="s">
        <v>813</v>
      </c>
      <c r="L65" t="s">
        <v>799</v>
      </c>
      <c r="M65" t="s">
        <v>788</v>
      </c>
      <c r="N65">
        <v>10</v>
      </c>
      <c r="O65" s="3">
        <v>95.09</v>
      </c>
      <c r="P65" s="3">
        <v>133.13</v>
      </c>
      <c r="Q65" s="6">
        <v>0</v>
      </c>
      <c r="R65" s="3">
        <v>1331.3</v>
      </c>
      <c r="S65" t="s">
        <v>814</v>
      </c>
    </row>
    <row r="66" spans="1:19" x14ac:dyDescent="0.35">
      <c r="A66" t="s">
        <v>1015</v>
      </c>
      <c r="B66" t="s">
        <v>599</v>
      </c>
      <c r="C66" s="5">
        <v>45928</v>
      </c>
      <c r="E66" t="s">
        <v>600</v>
      </c>
      <c r="F66" t="s">
        <v>254</v>
      </c>
      <c r="G66" t="s">
        <v>243</v>
      </c>
      <c r="H66" t="s">
        <v>797</v>
      </c>
      <c r="I66" t="s">
        <v>29</v>
      </c>
      <c r="J66" t="s">
        <v>49</v>
      </c>
      <c r="K66" t="s">
        <v>798</v>
      </c>
      <c r="L66" t="s">
        <v>787</v>
      </c>
      <c r="M66" t="s">
        <v>818</v>
      </c>
      <c r="N66">
        <v>5</v>
      </c>
      <c r="O66" s="3">
        <v>14.89</v>
      </c>
      <c r="P66" s="3">
        <v>20.85</v>
      </c>
      <c r="Q66" s="6">
        <v>0.05</v>
      </c>
      <c r="R66" s="3">
        <v>99.037499999999994</v>
      </c>
      <c r="S66" t="s">
        <v>1017</v>
      </c>
    </row>
    <row r="67" spans="1:19" x14ac:dyDescent="0.35">
      <c r="A67" t="s">
        <v>1018</v>
      </c>
      <c r="B67" t="s">
        <v>475</v>
      </c>
      <c r="C67" s="5">
        <v>45686</v>
      </c>
      <c r="E67" t="s">
        <v>476</v>
      </c>
      <c r="F67" t="s">
        <v>681</v>
      </c>
      <c r="G67" t="s">
        <v>243</v>
      </c>
      <c r="H67" t="s">
        <v>20</v>
      </c>
      <c r="I67" t="s">
        <v>43</v>
      </c>
      <c r="J67" t="s">
        <v>58</v>
      </c>
      <c r="K67" t="s">
        <v>813</v>
      </c>
      <c r="L67" t="s">
        <v>787</v>
      </c>
      <c r="M67" t="s">
        <v>842</v>
      </c>
      <c r="N67">
        <v>2</v>
      </c>
      <c r="O67" s="3">
        <v>11.21</v>
      </c>
      <c r="P67" s="3">
        <v>15.13</v>
      </c>
      <c r="Q67" s="6">
        <v>0</v>
      </c>
      <c r="R67" s="3">
        <v>30.26</v>
      </c>
      <c r="S67" t="s">
        <v>919</v>
      </c>
    </row>
    <row r="68" spans="1:19" x14ac:dyDescent="0.35">
      <c r="A68" t="s">
        <v>1020</v>
      </c>
      <c r="B68" t="s">
        <v>502</v>
      </c>
      <c r="C68" s="5">
        <v>45718</v>
      </c>
      <c r="D68" s="5">
        <v>45721</v>
      </c>
      <c r="E68" t="s">
        <v>503</v>
      </c>
      <c r="F68" t="s">
        <v>637</v>
      </c>
      <c r="G68" t="s">
        <v>235</v>
      </c>
      <c r="H68" t="s">
        <v>14</v>
      </c>
      <c r="I68" t="s">
        <v>79</v>
      </c>
      <c r="J68" t="s">
        <v>108</v>
      </c>
      <c r="K68" t="s">
        <v>798</v>
      </c>
      <c r="L68" t="s">
        <v>799</v>
      </c>
      <c r="M68" t="s">
        <v>800</v>
      </c>
      <c r="N68">
        <v>2</v>
      </c>
      <c r="O68" s="3">
        <v>9.3000000000000007</v>
      </c>
      <c r="P68" s="3">
        <v>12.56</v>
      </c>
      <c r="Q68" s="6">
        <v>0.1</v>
      </c>
      <c r="R68" s="3">
        <v>22.608000000000001</v>
      </c>
      <c r="S68" t="s">
        <v>839</v>
      </c>
    </row>
    <row r="69" spans="1:19" x14ac:dyDescent="0.35">
      <c r="A69" t="s">
        <v>1023</v>
      </c>
      <c r="B69" t="s">
        <v>329</v>
      </c>
      <c r="C69" s="5">
        <v>45786</v>
      </c>
      <c r="D69" s="5">
        <v>45795</v>
      </c>
      <c r="E69" t="s">
        <v>330</v>
      </c>
      <c r="F69" t="s">
        <v>696</v>
      </c>
      <c r="G69" t="s">
        <v>235</v>
      </c>
      <c r="H69" t="s">
        <v>797</v>
      </c>
      <c r="I69" t="s">
        <v>29</v>
      </c>
      <c r="J69" t="s">
        <v>49</v>
      </c>
      <c r="K69" t="s">
        <v>813</v>
      </c>
      <c r="L69" t="s">
        <v>799</v>
      </c>
      <c r="M69" t="s">
        <v>842</v>
      </c>
      <c r="N69">
        <v>12</v>
      </c>
      <c r="O69" s="3">
        <v>14.89</v>
      </c>
      <c r="P69" s="3">
        <v>20.85</v>
      </c>
      <c r="Q69" s="6">
        <v>0.15</v>
      </c>
      <c r="R69" s="3">
        <v>212.67000000000002</v>
      </c>
      <c r="S69" t="s">
        <v>825</v>
      </c>
    </row>
    <row r="70" spans="1:19" x14ac:dyDescent="0.35">
      <c r="A70" t="s">
        <v>1026</v>
      </c>
      <c r="B70" t="s">
        <v>596</v>
      </c>
      <c r="C70" s="5">
        <v>46053</v>
      </c>
      <c r="D70" s="5">
        <v>46057</v>
      </c>
      <c r="E70" t="s">
        <v>443</v>
      </c>
      <c r="F70" t="s">
        <v>627</v>
      </c>
      <c r="G70" t="s">
        <v>264</v>
      </c>
      <c r="H70" t="s">
        <v>797</v>
      </c>
      <c r="I70" t="s">
        <v>43</v>
      </c>
      <c r="J70" t="s">
        <v>171</v>
      </c>
      <c r="K70" t="s">
        <v>786</v>
      </c>
      <c r="L70" t="s">
        <v>799</v>
      </c>
      <c r="M70" t="s">
        <v>842</v>
      </c>
      <c r="N70">
        <v>12</v>
      </c>
      <c r="O70" s="3">
        <v>29.39</v>
      </c>
      <c r="P70" s="3">
        <v>39.68</v>
      </c>
      <c r="Q70" s="6">
        <v>0.05</v>
      </c>
      <c r="R70" s="3">
        <v>452.35199999999998</v>
      </c>
      <c r="S70" t="s">
        <v>825</v>
      </c>
    </row>
    <row r="71" spans="1:19" x14ac:dyDescent="0.35">
      <c r="A71" t="s">
        <v>1027</v>
      </c>
      <c r="B71" t="s">
        <v>574</v>
      </c>
      <c r="C71" s="5">
        <v>45785</v>
      </c>
      <c r="D71" s="5">
        <v>45788</v>
      </c>
      <c r="E71" t="s">
        <v>458</v>
      </c>
      <c r="F71" t="s">
        <v>681</v>
      </c>
      <c r="H71" t="s">
        <v>14</v>
      </c>
      <c r="I71" t="s">
        <v>14</v>
      </c>
      <c r="J71" t="s">
        <v>128</v>
      </c>
      <c r="K71" t="s">
        <v>813</v>
      </c>
      <c r="L71" t="s">
        <v>799</v>
      </c>
      <c r="M71" t="s">
        <v>842</v>
      </c>
      <c r="N71">
        <v>1</v>
      </c>
      <c r="O71" s="3">
        <v>18.850000000000001</v>
      </c>
      <c r="P71" s="3">
        <v>27.33</v>
      </c>
      <c r="Q71" s="6">
        <v>0</v>
      </c>
      <c r="R71" s="3">
        <v>27.33</v>
      </c>
      <c r="S71" t="s">
        <v>869</v>
      </c>
    </row>
    <row r="72" spans="1:19" x14ac:dyDescent="0.35">
      <c r="A72" t="s">
        <v>1030</v>
      </c>
      <c r="B72" t="s">
        <v>507</v>
      </c>
      <c r="C72" s="5">
        <v>45809</v>
      </c>
      <c r="E72" t="s">
        <v>508</v>
      </c>
      <c r="F72" t="s">
        <v>637</v>
      </c>
      <c r="G72" t="s">
        <v>243</v>
      </c>
      <c r="H72" t="s">
        <v>797</v>
      </c>
      <c r="I72" t="s">
        <v>20</v>
      </c>
      <c r="J72" t="s">
        <v>159</v>
      </c>
      <c r="K72" t="s">
        <v>786</v>
      </c>
      <c r="L72" t="s">
        <v>793</v>
      </c>
      <c r="M72" t="s">
        <v>800</v>
      </c>
      <c r="N72">
        <v>20</v>
      </c>
      <c r="O72" s="3">
        <v>8.2200000000000006</v>
      </c>
      <c r="P72" s="3">
        <v>11.1</v>
      </c>
      <c r="Q72" s="6">
        <v>0</v>
      </c>
      <c r="R72" s="3">
        <v>222</v>
      </c>
      <c r="S72" t="s">
        <v>829</v>
      </c>
    </row>
    <row r="73" spans="1:19" x14ac:dyDescent="0.35">
      <c r="A73" t="s">
        <v>1033</v>
      </c>
      <c r="B73" t="s">
        <v>530</v>
      </c>
      <c r="C73" s="5">
        <v>45811</v>
      </c>
      <c r="E73" t="s">
        <v>531</v>
      </c>
      <c r="F73" t="s">
        <v>681</v>
      </c>
      <c r="G73" t="s">
        <v>235</v>
      </c>
      <c r="H73" t="s">
        <v>797</v>
      </c>
      <c r="I73" t="s">
        <v>29</v>
      </c>
      <c r="J73" t="s">
        <v>27</v>
      </c>
      <c r="K73" t="s">
        <v>786</v>
      </c>
      <c r="L73" t="s">
        <v>787</v>
      </c>
      <c r="M73" t="s">
        <v>818</v>
      </c>
      <c r="N73">
        <v>1</v>
      </c>
      <c r="O73" s="3">
        <v>33.06</v>
      </c>
      <c r="P73" s="3">
        <v>47.94</v>
      </c>
      <c r="Q73" s="6">
        <v>0.1</v>
      </c>
      <c r="R73" s="3">
        <v>43.146000000000001</v>
      </c>
      <c r="S73" t="s">
        <v>845</v>
      </c>
    </row>
    <row r="74" spans="1:19" x14ac:dyDescent="0.35">
      <c r="A74" t="s">
        <v>1035</v>
      </c>
      <c r="B74" t="s">
        <v>489</v>
      </c>
      <c r="C74" s="5">
        <v>45382</v>
      </c>
      <c r="D74" s="5">
        <v>45383</v>
      </c>
      <c r="E74" t="s">
        <v>318</v>
      </c>
      <c r="F74" t="s">
        <v>633</v>
      </c>
      <c r="G74" t="s">
        <v>243</v>
      </c>
      <c r="H74" t="s">
        <v>797</v>
      </c>
      <c r="I74" t="s">
        <v>14</v>
      </c>
      <c r="J74" t="s">
        <v>138</v>
      </c>
      <c r="K74" t="s">
        <v>798</v>
      </c>
      <c r="L74" t="s">
        <v>799</v>
      </c>
      <c r="M74" t="s">
        <v>842</v>
      </c>
      <c r="N74">
        <v>3</v>
      </c>
      <c r="O74" s="3">
        <v>42.6</v>
      </c>
      <c r="P74" s="3">
        <v>59.64</v>
      </c>
      <c r="Q74" s="6">
        <v>0.05</v>
      </c>
      <c r="R74" s="3">
        <v>169.97400000000002</v>
      </c>
      <c r="S74" t="s">
        <v>876</v>
      </c>
    </row>
    <row r="75" spans="1:19" x14ac:dyDescent="0.35">
      <c r="A75" t="s">
        <v>1037</v>
      </c>
      <c r="B75" t="s">
        <v>230</v>
      </c>
      <c r="C75" s="5">
        <v>45862</v>
      </c>
      <c r="D75" s="5">
        <v>45866</v>
      </c>
      <c r="E75" t="s">
        <v>231</v>
      </c>
      <c r="F75" t="s">
        <v>637</v>
      </c>
      <c r="G75" t="s">
        <v>235</v>
      </c>
      <c r="H75" t="s">
        <v>797</v>
      </c>
      <c r="I75" t="s">
        <v>20</v>
      </c>
      <c r="J75" t="s">
        <v>119</v>
      </c>
      <c r="K75" t="s">
        <v>798</v>
      </c>
      <c r="L75" t="s">
        <v>799</v>
      </c>
      <c r="M75" t="s">
        <v>800</v>
      </c>
      <c r="N75">
        <v>2</v>
      </c>
      <c r="O75" s="3">
        <v>40.94</v>
      </c>
      <c r="P75" s="3">
        <v>53.22</v>
      </c>
      <c r="Q75" s="6">
        <v>0.1</v>
      </c>
      <c r="R75" s="3">
        <v>95.795999999999992</v>
      </c>
      <c r="S75" t="s">
        <v>790</v>
      </c>
    </row>
    <row r="76" spans="1:19" x14ac:dyDescent="0.35">
      <c r="A76" t="s">
        <v>1039</v>
      </c>
      <c r="B76" t="s">
        <v>442</v>
      </c>
      <c r="C76" s="5">
        <v>45962</v>
      </c>
      <c r="D76" s="5">
        <v>45972</v>
      </c>
      <c r="E76" t="s">
        <v>443</v>
      </c>
      <c r="F76" t="s">
        <v>633</v>
      </c>
      <c r="G76" t="s">
        <v>235</v>
      </c>
      <c r="H76" t="s">
        <v>20</v>
      </c>
      <c r="I76" t="s">
        <v>14</v>
      </c>
      <c r="J76" t="s">
        <v>194</v>
      </c>
      <c r="K76" t="s">
        <v>786</v>
      </c>
      <c r="L76" t="s">
        <v>799</v>
      </c>
      <c r="M76" t="s">
        <v>800</v>
      </c>
      <c r="N76">
        <v>1</v>
      </c>
      <c r="O76" s="3">
        <v>20.32</v>
      </c>
      <c r="P76" s="3">
        <v>25.4</v>
      </c>
      <c r="Q76" s="6">
        <v>0.1</v>
      </c>
      <c r="R76" s="3">
        <v>22.86</v>
      </c>
      <c r="S76" t="s">
        <v>946</v>
      </c>
    </row>
    <row r="77" spans="1:19" x14ac:dyDescent="0.35">
      <c r="A77" t="s">
        <v>1042</v>
      </c>
      <c r="B77" t="s">
        <v>452</v>
      </c>
      <c r="C77" s="5">
        <v>45776</v>
      </c>
      <c r="D77" s="5">
        <v>45781</v>
      </c>
      <c r="E77" t="s">
        <v>420</v>
      </c>
      <c r="F77" t="s">
        <v>681</v>
      </c>
      <c r="G77" t="s">
        <v>264</v>
      </c>
      <c r="H77" t="s">
        <v>14</v>
      </c>
      <c r="I77" t="s">
        <v>8</v>
      </c>
      <c r="J77" t="s">
        <v>10</v>
      </c>
      <c r="K77" t="s">
        <v>813</v>
      </c>
      <c r="L77" t="s">
        <v>799</v>
      </c>
      <c r="M77" t="s">
        <v>842</v>
      </c>
      <c r="N77">
        <v>1</v>
      </c>
      <c r="O77" s="3">
        <v>22.74</v>
      </c>
      <c r="P77" s="3">
        <v>28.42</v>
      </c>
      <c r="Q77" s="6">
        <v>0</v>
      </c>
      <c r="R77" s="3">
        <v>28.42</v>
      </c>
      <c r="S77" t="s">
        <v>814</v>
      </c>
    </row>
    <row r="78" spans="1:19" x14ac:dyDescent="0.35">
      <c r="A78" t="s">
        <v>1045</v>
      </c>
      <c r="B78" t="s">
        <v>455</v>
      </c>
      <c r="C78" s="5">
        <v>45852</v>
      </c>
      <c r="D78" s="5">
        <v>45862</v>
      </c>
      <c r="E78" t="s">
        <v>456</v>
      </c>
      <c r="F78" t="s">
        <v>681</v>
      </c>
      <c r="G78" t="s">
        <v>264</v>
      </c>
      <c r="H78" t="s">
        <v>797</v>
      </c>
      <c r="I78" t="s">
        <v>38</v>
      </c>
      <c r="J78" t="s">
        <v>126</v>
      </c>
      <c r="K78" t="s">
        <v>786</v>
      </c>
      <c r="L78" t="s">
        <v>799</v>
      </c>
      <c r="M78" t="s">
        <v>818</v>
      </c>
      <c r="N78">
        <v>5</v>
      </c>
      <c r="O78" s="3">
        <v>41.95</v>
      </c>
      <c r="P78" s="3">
        <v>58.73</v>
      </c>
      <c r="Q78" s="6">
        <v>0</v>
      </c>
      <c r="R78" s="3">
        <v>293.64999999999998</v>
      </c>
      <c r="S78" t="s">
        <v>1017</v>
      </c>
    </row>
    <row r="79" spans="1:19" x14ac:dyDescent="0.35">
      <c r="A79" t="s">
        <v>1046</v>
      </c>
      <c r="B79" t="s">
        <v>334</v>
      </c>
      <c r="C79" s="5">
        <v>45492</v>
      </c>
      <c r="D79" s="5">
        <v>45493</v>
      </c>
      <c r="E79" t="s">
        <v>335</v>
      </c>
      <c r="F79" t="s">
        <v>637</v>
      </c>
      <c r="G79" t="s">
        <v>243</v>
      </c>
      <c r="H79" t="s">
        <v>797</v>
      </c>
      <c r="I79" t="s">
        <v>43</v>
      </c>
      <c r="J79" t="s">
        <v>53</v>
      </c>
      <c r="K79" t="s">
        <v>798</v>
      </c>
      <c r="L79" t="s">
        <v>799</v>
      </c>
      <c r="M79" t="s">
        <v>800</v>
      </c>
      <c r="N79">
        <v>10</v>
      </c>
      <c r="O79" s="3">
        <v>54.93</v>
      </c>
      <c r="P79" s="3">
        <v>79.650000000000006</v>
      </c>
      <c r="Q79" s="6">
        <v>0</v>
      </c>
      <c r="R79" s="3">
        <v>796.5</v>
      </c>
      <c r="S79" t="s">
        <v>876</v>
      </c>
    </row>
    <row r="80" spans="1:19" x14ac:dyDescent="0.35">
      <c r="A80" t="s">
        <v>1050</v>
      </c>
      <c r="B80" t="s">
        <v>337</v>
      </c>
      <c r="C80" s="5">
        <v>45940</v>
      </c>
      <c r="D80" s="5">
        <v>45949</v>
      </c>
      <c r="E80" t="s">
        <v>338</v>
      </c>
      <c r="F80" t="s">
        <v>637</v>
      </c>
      <c r="G80" t="s">
        <v>243</v>
      </c>
      <c r="H80" t="s">
        <v>20</v>
      </c>
      <c r="I80" t="s">
        <v>43</v>
      </c>
      <c r="J80" t="s">
        <v>99</v>
      </c>
      <c r="K80" t="s">
        <v>798</v>
      </c>
      <c r="L80" t="s">
        <v>799</v>
      </c>
      <c r="M80" t="s">
        <v>788</v>
      </c>
      <c r="N80">
        <v>1</v>
      </c>
      <c r="O80" s="3">
        <v>10.88</v>
      </c>
      <c r="P80" s="3">
        <v>15.78</v>
      </c>
      <c r="Q80" s="6">
        <v>0.05</v>
      </c>
      <c r="R80" s="3">
        <v>14.991</v>
      </c>
      <c r="S80" t="s">
        <v>839</v>
      </c>
    </row>
    <row r="81" spans="1:19" x14ac:dyDescent="0.35">
      <c r="A81" t="s">
        <v>1054</v>
      </c>
      <c r="B81" t="s">
        <v>532</v>
      </c>
      <c r="C81" s="5">
        <v>46045</v>
      </c>
      <c r="D81" s="5">
        <v>46048</v>
      </c>
      <c r="E81" t="s">
        <v>533</v>
      </c>
      <c r="F81" t="s">
        <v>696</v>
      </c>
      <c r="G81" t="s">
        <v>235</v>
      </c>
      <c r="H81" t="s">
        <v>20</v>
      </c>
      <c r="I81" t="s">
        <v>20</v>
      </c>
      <c r="J81" t="s">
        <v>196</v>
      </c>
      <c r="K81" t="s">
        <v>798</v>
      </c>
      <c r="L81" t="s">
        <v>799</v>
      </c>
      <c r="M81" t="s">
        <v>788</v>
      </c>
      <c r="N81">
        <v>5</v>
      </c>
      <c r="O81" s="3">
        <v>15.78</v>
      </c>
      <c r="P81" s="3">
        <v>19.72</v>
      </c>
      <c r="Q81" s="6">
        <v>0.15</v>
      </c>
      <c r="R81" s="3">
        <v>83.81</v>
      </c>
      <c r="S81" t="s">
        <v>803</v>
      </c>
    </row>
    <row r="82" spans="1:19" x14ac:dyDescent="0.35">
      <c r="A82" t="s">
        <v>1058</v>
      </c>
      <c r="B82" t="s">
        <v>324</v>
      </c>
      <c r="C82" s="5">
        <v>46040</v>
      </c>
      <c r="E82" t="s">
        <v>296</v>
      </c>
      <c r="F82" t="s">
        <v>696</v>
      </c>
      <c r="G82" t="s">
        <v>264</v>
      </c>
      <c r="H82" t="s">
        <v>14</v>
      </c>
      <c r="I82" t="s">
        <v>48</v>
      </c>
      <c r="J82" t="s">
        <v>143</v>
      </c>
      <c r="K82" t="s">
        <v>798</v>
      </c>
      <c r="L82" t="s">
        <v>793</v>
      </c>
      <c r="M82" t="s">
        <v>818</v>
      </c>
      <c r="N82">
        <v>12</v>
      </c>
      <c r="O82" s="3">
        <v>29.93</v>
      </c>
      <c r="P82" s="3">
        <v>38.909999999999997</v>
      </c>
      <c r="Q82" s="6">
        <v>0.05</v>
      </c>
      <c r="R82" s="3">
        <v>443.57399999999996</v>
      </c>
      <c r="S82" t="s">
        <v>946</v>
      </c>
    </row>
    <row r="83" spans="1:19" x14ac:dyDescent="0.35">
      <c r="A83" t="s">
        <v>1059</v>
      </c>
      <c r="B83" t="s">
        <v>411</v>
      </c>
      <c r="C83" s="5">
        <v>46001</v>
      </c>
      <c r="D83" s="5">
        <v>46011</v>
      </c>
      <c r="E83" t="s">
        <v>412</v>
      </c>
      <c r="F83" t="s">
        <v>696</v>
      </c>
      <c r="G83" t="s">
        <v>235</v>
      </c>
      <c r="H83" t="s">
        <v>48</v>
      </c>
      <c r="I83" t="s">
        <v>14</v>
      </c>
      <c r="J83" t="s">
        <v>128</v>
      </c>
      <c r="K83" t="s">
        <v>786</v>
      </c>
      <c r="L83" t="s">
        <v>799</v>
      </c>
      <c r="M83" t="s">
        <v>788</v>
      </c>
      <c r="N83">
        <v>2</v>
      </c>
      <c r="O83" s="3">
        <v>18.850000000000001</v>
      </c>
      <c r="P83" s="3">
        <v>27.33</v>
      </c>
      <c r="Q83" s="6">
        <v>0</v>
      </c>
      <c r="R83" s="3">
        <v>54.66</v>
      </c>
      <c r="S83" t="s">
        <v>876</v>
      </c>
    </row>
    <row r="84" spans="1:19" x14ac:dyDescent="0.35">
      <c r="A84" t="s">
        <v>1062</v>
      </c>
      <c r="B84" t="s">
        <v>423</v>
      </c>
      <c r="C84" s="5">
        <v>46008</v>
      </c>
      <c r="D84" s="5">
        <v>46018</v>
      </c>
      <c r="E84" t="s">
        <v>424</v>
      </c>
      <c r="F84" t="s">
        <v>637</v>
      </c>
      <c r="G84" t="s">
        <v>235</v>
      </c>
      <c r="H84" t="s">
        <v>20</v>
      </c>
      <c r="I84" t="s">
        <v>38</v>
      </c>
      <c r="J84" t="s">
        <v>71</v>
      </c>
      <c r="K84" t="s">
        <v>786</v>
      </c>
      <c r="L84" t="s">
        <v>799</v>
      </c>
      <c r="M84" t="s">
        <v>788</v>
      </c>
      <c r="N84">
        <v>1</v>
      </c>
      <c r="O84" s="3">
        <v>17.62</v>
      </c>
      <c r="P84" s="3">
        <v>24.67</v>
      </c>
      <c r="Q84" s="6">
        <v>0</v>
      </c>
      <c r="R84" s="3">
        <v>24.67</v>
      </c>
      <c r="S84" t="s">
        <v>963</v>
      </c>
    </row>
    <row r="85" spans="1:19" x14ac:dyDescent="0.35">
      <c r="A85" t="s">
        <v>1066</v>
      </c>
      <c r="B85" t="s">
        <v>582</v>
      </c>
      <c r="C85" s="5">
        <v>46023</v>
      </c>
      <c r="D85" s="5">
        <v>46029</v>
      </c>
      <c r="E85" t="s">
        <v>583</v>
      </c>
      <c r="F85" t="s">
        <v>633</v>
      </c>
      <c r="G85" t="s">
        <v>264</v>
      </c>
      <c r="H85" t="s">
        <v>48</v>
      </c>
      <c r="I85" t="s">
        <v>20</v>
      </c>
      <c r="J85" t="s">
        <v>196</v>
      </c>
      <c r="K85" t="s">
        <v>813</v>
      </c>
      <c r="L85" t="s">
        <v>799</v>
      </c>
      <c r="M85" t="s">
        <v>788</v>
      </c>
      <c r="N85">
        <v>5</v>
      </c>
      <c r="O85" s="3">
        <v>15.78</v>
      </c>
      <c r="P85" s="3">
        <v>19.72</v>
      </c>
      <c r="Q85" s="6">
        <v>0.1</v>
      </c>
      <c r="R85" s="3">
        <v>88.74</v>
      </c>
      <c r="S85" t="s">
        <v>790</v>
      </c>
    </row>
    <row r="86" spans="1:19" x14ac:dyDescent="0.35">
      <c r="A86" t="s">
        <v>1069</v>
      </c>
      <c r="B86" t="s">
        <v>609</v>
      </c>
      <c r="C86" s="5">
        <v>46019</v>
      </c>
      <c r="D86" s="5">
        <v>46024</v>
      </c>
      <c r="E86" t="s">
        <v>610</v>
      </c>
      <c r="F86" t="s">
        <v>633</v>
      </c>
      <c r="H86" t="s">
        <v>14</v>
      </c>
      <c r="I86" t="s">
        <v>43</v>
      </c>
      <c r="J86" t="s">
        <v>75</v>
      </c>
      <c r="K86" t="s">
        <v>798</v>
      </c>
      <c r="L86" t="s">
        <v>822</v>
      </c>
      <c r="M86" t="s">
        <v>818</v>
      </c>
      <c r="N86">
        <v>12</v>
      </c>
      <c r="O86" s="3">
        <v>24.35</v>
      </c>
      <c r="P86" s="3">
        <v>34.090000000000003</v>
      </c>
      <c r="Q86" s="6">
        <v>0.15</v>
      </c>
      <c r="R86" s="3">
        <v>347.71800000000002</v>
      </c>
      <c r="S86" t="s">
        <v>790</v>
      </c>
    </row>
    <row r="87" spans="1:19" x14ac:dyDescent="0.35">
      <c r="A87" t="s">
        <v>1071</v>
      </c>
      <c r="B87" t="s">
        <v>520</v>
      </c>
      <c r="C87" s="5">
        <v>45724</v>
      </c>
      <c r="D87" s="5">
        <v>45729</v>
      </c>
      <c r="E87" t="s">
        <v>521</v>
      </c>
      <c r="F87" t="s">
        <v>254</v>
      </c>
      <c r="G87" t="s">
        <v>243</v>
      </c>
      <c r="H87" t="s">
        <v>797</v>
      </c>
      <c r="I87" t="s">
        <v>8</v>
      </c>
      <c r="J87" t="s">
        <v>207</v>
      </c>
      <c r="K87" t="s">
        <v>813</v>
      </c>
      <c r="L87" t="s">
        <v>799</v>
      </c>
      <c r="M87" t="s">
        <v>788</v>
      </c>
      <c r="N87">
        <v>2</v>
      </c>
      <c r="O87" s="3">
        <v>8.5399999999999991</v>
      </c>
      <c r="P87" s="3">
        <v>10.67</v>
      </c>
      <c r="Q87" s="6">
        <v>0</v>
      </c>
      <c r="R87" s="3">
        <v>21.34</v>
      </c>
      <c r="S87" t="s">
        <v>810</v>
      </c>
    </row>
    <row r="88" spans="1:19" x14ac:dyDescent="0.35">
      <c r="A88" t="s">
        <v>1075</v>
      </c>
      <c r="B88" t="s">
        <v>351</v>
      </c>
      <c r="C88" s="5">
        <v>45991</v>
      </c>
      <c r="E88" t="s">
        <v>352</v>
      </c>
      <c r="F88" t="s">
        <v>637</v>
      </c>
      <c r="G88" t="s">
        <v>264</v>
      </c>
      <c r="H88" t="s">
        <v>797</v>
      </c>
      <c r="I88" t="s">
        <v>20</v>
      </c>
      <c r="J88" t="s">
        <v>163</v>
      </c>
      <c r="K88" t="s">
        <v>786</v>
      </c>
      <c r="L88" t="s">
        <v>793</v>
      </c>
      <c r="M88" t="s">
        <v>842</v>
      </c>
      <c r="N88">
        <v>5</v>
      </c>
      <c r="O88" s="3">
        <v>55.3</v>
      </c>
      <c r="P88" s="3">
        <v>74.66</v>
      </c>
      <c r="Q88" s="6">
        <v>0</v>
      </c>
      <c r="R88" s="3">
        <v>373.29999999999995</v>
      </c>
      <c r="S88" t="s">
        <v>845</v>
      </c>
    </row>
    <row r="89" spans="1:19" x14ac:dyDescent="0.35">
      <c r="A89" t="s">
        <v>1078</v>
      </c>
      <c r="B89" t="s">
        <v>578</v>
      </c>
      <c r="C89" s="5">
        <v>45396</v>
      </c>
      <c r="D89" s="5">
        <v>45401</v>
      </c>
      <c r="E89" t="s">
        <v>368</v>
      </c>
      <c r="F89" t="s">
        <v>681</v>
      </c>
      <c r="G89" t="s">
        <v>235</v>
      </c>
      <c r="H89" t="s">
        <v>14</v>
      </c>
      <c r="I89" t="s">
        <v>48</v>
      </c>
      <c r="J89" t="s">
        <v>179</v>
      </c>
      <c r="K89" t="s">
        <v>798</v>
      </c>
      <c r="L89" t="s">
        <v>799</v>
      </c>
      <c r="M89" t="s">
        <v>818</v>
      </c>
      <c r="N89">
        <v>1</v>
      </c>
      <c r="O89" s="3">
        <v>16.670000000000002</v>
      </c>
      <c r="P89" s="3">
        <v>22.5</v>
      </c>
      <c r="Q89" s="6">
        <v>0</v>
      </c>
      <c r="R89" s="3">
        <v>22.5</v>
      </c>
      <c r="S89" t="s">
        <v>892</v>
      </c>
    </row>
    <row r="90" spans="1:19" x14ac:dyDescent="0.35">
      <c r="A90" t="s">
        <v>1082</v>
      </c>
      <c r="B90" t="s">
        <v>459</v>
      </c>
      <c r="C90" s="5">
        <v>46001</v>
      </c>
      <c r="D90" s="5">
        <v>46005</v>
      </c>
      <c r="E90" t="s">
        <v>460</v>
      </c>
      <c r="F90" t="s">
        <v>696</v>
      </c>
      <c r="G90" t="s">
        <v>264</v>
      </c>
      <c r="H90" t="s">
        <v>797</v>
      </c>
      <c r="I90" t="s">
        <v>38</v>
      </c>
      <c r="J90" t="s">
        <v>132</v>
      </c>
      <c r="K90" t="s">
        <v>786</v>
      </c>
      <c r="L90" t="s">
        <v>799</v>
      </c>
      <c r="M90" t="s">
        <v>842</v>
      </c>
      <c r="N90">
        <v>2</v>
      </c>
      <c r="O90" s="3">
        <v>12.71</v>
      </c>
      <c r="P90" s="3">
        <v>17.79</v>
      </c>
      <c r="Q90" s="6">
        <v>0</v>
      </c>
      <c r="R90" s="3">
        <v>35.58</v>
      </c>
      <c r="S90" t="s">
        <v>1017</v>
      </c>
    </row>
    <row r="91" spans="1:19" x14ac:dyDescent="0.35">
      <c r="A91" t="s">
        <v>1083</v>
      </c>
      <c r="B91" t="s">
        <v>388</v>
      </c>
      <c r="C91" s="5">
        <v>45927</v>
      </c>
      <c r="D91" s="5">
        <v>45932</v>
      </c>
      <c r="E91" t="s">
        <v>389</v>
      </c>
      <c r="F91" t="s">
        <v>681</v>
      </c>
      <c r="G91" t="s">
        <v>243</v>
      </c>
      <c r="H91" t="s">
        <v>20</v>
      </c>
      <c r="I91" t="s">
        <v>8</v>
      </c>
      <c r="J91" t="s">
        <v>65</v>
      </c>
      <c r="K91" t="s">
        <v>798</v>
      </c>
      <c r="L91" t="s">
        <v>799</v>
      </c>
      <c r="M91" t="s">
        <v>788</v>
      </c>
      <c r="N91">
        <v>1</v>
      </c>
      <c r="O91" s="3">
        <v>30.16</v>
      </c>
      <c r="P91" s="3">
        <v>40.72</v>
      </c>
      <c r="Q91" s="6">
        <v>0.15</v>
      </c>
      <c r="R91" s="3">
        <v>34.612000000000002</v>
      </c>
      <c r="S91" t="s">
        <v>963</v>
      </c>
    </row>
    <row r="92" spans="1:19" x14ac:dyDescent="0.35">
      <c r="A92" t="s">
        <v>1086</v>
      </c>
      <c r="B92" t="s">
        <v>580</v>
      </c>
      <c r="C92" s="5">
        <v>45751</v>
      </c>
      <c r="D92" s="5">
        <v>45756</v>
      </c>
      <c r="E92" t="s">
        <v>581</v>
      </c>
      <c r="F92" t="s">
        <v>254</v>
      </c>
      <c r="G92" t="s">
        <v>235</v>
      </c>
      <c r="H92" t="s">
        <v>797</v>
      </c>
      <c r="I92" t="s">
        <v>43</v>
      </c>
      <c r="J92" t="s">
        <v>44</v>
      </c>
      <c r="K92" t="s">
        <v>813</v>
      </c>
      <c r="L92" t="s">
        <v>799</v>
      </c>
      <c r="M92" t="s">
        <v>818</v>
      </c>
      <c r="N92">
        <v>20</v>
      </c>
      <c r="O92" s="3">
        <v>14.05</v>
      </c>
      <c r="P92" s="3">
        <v>19.670000000000002</v>
      </c>
      <c r="Q92" s="6">
        <v>0</v>
      </c>
      <c r="R92" s="3">
        <v>393.40000000000003</v>
      </c>
      <c r="S92" t="s">
        <v>876</v>
      </c>
    </row>
    <row r="93" spans="1:19" x14ac:dyDescent="0.35">
      <c r="A93" t="s">
        <v>1089</v>
      </c>
      <c r="B93" t="s">
        <v>342</v>
      </c>
      <c r="C93" s="5">
        <v>45861</v>
      </c>
      <c r="E93" t="s">
        <v>245</v>
      </c>
      <c r="F93" t="s">
        <v>674</v>
      </c>
      <c r="G93" t="s">
        <v>235</v>
      </c>
      <c r="H93" t="s">
        <v>14</v>
      </c>
      <c r="I93" t="s">
        <v>29</v>
      </c>
      <c r="J93" t="s">
        <v>158</v>
      </c>
      <c r="K93" t="s">
        <v>798</v>
      </c>
      <c r="L93" t="s">
        <v>793</v>
      </c>
      <c r="M93" t="s">
        <v>788</v>
      </c>
      <c r="N93">
        <v>3</v>
      </c>
      <c r="O93" s="3">
        <v>25.8</v>
      </c>
      <c r="P93" s="3">
        <v>36.119999999999997</v>
      </c>
      <c r="Q93" s="6">
        <v>0</v>
      </c>
      <c r="R93" s="3">
        <v>108.35999999999999</v>
      </c>
      <c r="S93" t="s">
        <v>888</v>
      </c>
    </row>
    <row r="94" spans="1:19" x14ac:dyDescent="0.35">
      <c r="A94" t="s">
        <v>1091</v>
      </c>
      <c r="B94" t="s">
        <v>283</v>
      </c>
      <c r="C94" s="5">
        <v>45622</v>
      </c>
      <c r="D94" s="5">
        <v>45628</v>
      </c>
      <c r="E94" t="s">
        <v>284</v>
      </c>
      <c r="F94" t="s">
        <v>637</v>
      </c>
      <c r="G94" t="s">
        <v>264</v>
      </c>
      <c r="H94" t="s">
        <v>48</v>
      </c>
      <c r="I94" t="s">
        <v>8</v>
      </c>
      <c r="J94" t="s">
        <v>101</v>
      </c>
      <c r="K94" t="s">
        <v>798</v>
      </c>
      <c r="L94" t="s">
        <v>799</v>
      </c>
      <c r="M94" t="s">
        <v>818</v>
      </c>
      <c r="N94">
        <v>3</v>
      </c>
      <c r="O94" s="3">
        <v>16.510000000000002</v>
      </c>
      <c r="P94" s="3">
        <v>23.94</v>
      </c>
      <c r="Q94" s="6">
        <v>0.1</v>
      </c>
      <c r="R94" s="3">
        <v>64.638000000000005</v>
      </c>
      <c r="S94" t="s">
        <v>790</v>
      </c>
    </row>
    <row r="95" spans="1:19" x14ac:dyDescent="0.35">
      <c r="A95" t="s">
        <v>1094</v>
      </c>
      <c r="B95" t="s">
        <v>522</v>
      </c>
      <c r="C95" s="5">
        <v>45366</v>
      </c>
      <c r="D95" s="5">
        <v>45375</v>
      </c>
      <c r="E95" t="s">
        <v>523</v>
      </c>
      <c r="F95" t="s">
        <v>674</v>
      </c>
      <c r="G95" t="s">
        <v>264</v>
      </c>
      <c r="H95" t="s">
        <v>48</v>
      </c>
      <c r="I95" t="s">
        <v>43</v>
      </c>
      <c r="J95" t="s">
        <v>222</v>
      </c>
      <c r="K95" t="s">
        <v>798</v>
      </c>
      <c r="L95" t="s">
        <v>799</v>
      </c>
      <c r="M95" t="s">
        <v>788</v>
      </c>
      <c r="N95">
        <v>1</v>
      </c>
      <c r="O95" s="3">
        <v>37.1</v>
      </c>
      <c r="P95" s="3">
        <v>48.23</v>
      </c>
      <c r="Q95" s="6">
        <v>0.05</v>
      </c>
      <c r="R95" s="3">
        <v>45.8185</v>
      </c>
      <c r="S95" t="s">
        <v>790</v>
      </c>
    </row>
    <row r="96" spans="1:19" x14ac:dyDescent="0.35">
      <c r="A96" t="s">
        <v>1097</v>
      </c>
      <c r="B96" t="s">
        <v>446</v>
      </c>
      <c r="C96" s="5">
        <v>45705</v>
      </c>
      <c r="E96" t="s">
        <v>447</v>
      </c>
      <c r="F96" t="s">
        <v>674</v>
      </c>
      <c r="G96" t="s">
        <v>243</v>
      </c>
      <c r="H96" t="s">
        <v>20</v>
      </c>
      <c r="I96" t="s">
        <v>48</v>
      </c>
      <c r="J96" t="s">
        <v>190</v>
      </c>
      <c r="K96" t="s">
        <v>798</v>
      </c>
      <c r="L96" t="s">
        <v>793</v>
      </c>
      <c r="M96" t="s">
        <v>800</v>
      </c>
      <c r="N96">
        <v>5</v>
      </c>
      <c r="O96" s="3">
        <v>21.56</v>
      </c>
      <c r="P96" s="3">
        <v>31.26</v>
      </c>
      <c r="Q96" s="6">
        <v>0</v>
      </c>
      <c r="R96" s="3">
        <v>156.30000000000001</v>
      </c>
      <c r="S96" t="s">
        <v>946</v>
      </c>
    </row>
    <row r="97" spans="1:19" x14ac:dyDescent="0.35">
      <c r="A97" t="s">
        <v>1098</v>
      </c>
      <c r="B97" t="s">
        <v>536</v>
      </c>
      <c r="C97" s="5">
        <v>45835</v>
      </c>
      <c r="E97" t="s">
        <v>537</v>
      </c>
      <c r="F97" t="s">
        <v>637</v>
      </c>
      <c r="G97" t="s">
        <v>235</v>
      </c>
      <c r="H97" t="s">
        <v>20</v>
      </c>
      <c r="I97" t="s">
        <v>14</v>
      </c>
      <c r="J97" t="s">
        <v>63</v>
      </c>
      <c r="K97" t="s">
        <v>798</v>
      </c>
      <c r="L97" t="s">
        <v>787</v>
      </c>
      <c r="M97" t="s">
        <v>800</v>
      </c>
      <c r="N97">
        <v>10</v>
      </c>
      <c r="O97" s="3">
        <v>13.03</v>
      </c>
      <c r="P97" s="3">
        <v>16.29</v>
      </c>
      <c r="Q97" s="6">
        <v>0.05</v>
      </c>
      <c r="R97" s="3">
        <v>154.75499999999997</v>
      </c>
      <c r="S97" t="s">
        <v>794</v>
      </c>
    </row>
    <row r="98" spans="1:19" x14ac:dyDescent="0.35">
      <c r="A98" t="s">
        <v>1101</v>
      </c>
      <c r="B98" t="s">
        <v>560</v>
      </c>
      <c r="C98" s="5">
        <v>45949</v>
      </c>
      <c r="E98" t="s">
        <v>292</v>
      </c>
      <c r="F98" t="s">
        <v>674</v>
      </c>
      <c r="G98" t="s">
        <v>264</v>
      </c>
      <c r="H98" t="s">
        <v>48</v>
      </c>
      <c r="I98" t="s">
        <v>20</v>
      </c>
      <c r="J98" t="s">
        <v>39</v>
      </c>
      <c r="K98" t="s">
        <v>798</v>
      </c>
      <c r="L98" t="s">
        <v>793</v>
      </c>
      <c r="M98" t="s">
        <v>842</v>
      </c>
      <c r="N98">
        <v>5</v>
      </c>
      <c r="O98" s="3">
        <v>9.5</v>
      </c>
      <c r="P98" s="3">
        <v>12.83</v>
      </c>
      <c r="Q98" s="6">
        <v>0.05</v>
      </c>
      <c r="R98" s="3">
        <v>60.942500000000003</v>
      </c>
      <c r="S98" t="s">
        <v>1017</v>
      </c>
    </row>
    <row r="99" spans="1:19" x14ac:dyDescent="0.35">
      <c r="A99" t="s">
        <v>1102</v>
      </c>
      <c r="B99" t="s">
        <v>260</v>
      </c>
      <c r="C99" s="5">
        <v>45845</v>
      </c>
      <c r="D99" s="5">
        <v>45850</v>
      </c>
      <c r="E99" t="s">
        <v>261</v>
      </c>
      <c r="F99" t="s">
        <v>627</v>
      </c>
      <c r="G99" t="s">
        <v>264</v>
      </c>
      <c r="H99" t="s">
        <v>20</v>
      </c>
      <c r="I99" t="s">
        <v>20</v>
      </c>
      <c r="J99" t="s">
        <v>102</v>
      </c>
      <c r="K99" t="s">
        <v>798</v>
      </c>
      <c r="L99" t="s">
        <v>799</v>
      </c>
      <c r="M99" t="s">
        <v>818</v>
      </c>
      <c r="N99">
        <v>3</v>
      </c>
      <c r="O99" s="3">
        <v>19.04</v>
      </c>
      <c r="P99" s="3">
        <v>25.7</v>
      </c>
      <c r="Q99" s="6">
        <v>0.05</v>
      </c>
      <c r="R99" s="3">
        <v>73.24499999999999</v>
      </c>
      <c r="S99" t="s">
        <v>829</v>
      </c>
    </row>
    <row r="100" spans="1:19" x14ac:dyDescent="0.35">
      <c r="A100" t="s">
        <v>1105</v>
      </c>
      <c r="B100" t="s">
        <v>434</v>
      </c>
      <c r="C100" s="5">
        <v>45959</v>
      </c>
      <c r="E100" t="s">
        <v>435</v>
      </c>
      <c r="F100" t="s">
        <v>627</v>
      </c>
      <c r="G100" t="s">
        <v>264</v>
      </c>
      <c r="H100" t="s">
        <v>797</v>
      </c>
      <c r="I100" t="s">
        <v>8</v>
      </c>
      <c r="J100" t="s">
        <v>73</v>
      </c>
      <c r="K100" t="s">
        <v>813</v>
      </c>
      <c r="L100" t="s">
        <v>817</v>
      </c>
      <c r="M100" t="s">
        <v>842</v>
      </c>
      <c r="N100">
        <v>3</v>
      </c>
      <c r="O100" s="3">
        <v>67.95</v>
      </c>
      <c r="P100" s="3">
        <v>88.34</v>
      </c>
      <c r="Q100" s="6">
        <v>0.15</v>
      </c>
      <c r="R100" s="3">
        <v>225.267</v>
      </c>
      <c r="S100" t="s">
        <v>834</v>
      </c>
    </row>
    <row r="101" spans="1:19" x14ac:dyDescent="0.35">
      <c r="A101" t="s">
        <v>1106</v>
      </c>
      <c r="B101" t="s">
        <v>614</v>
      </c>
      <c r="C101" s="5">
        <v>45507</v>
      </c>
      <c r="E101" t="s">
        <v>615</v>
      </c>
      <c r="F101" t="s">
        <v>674</v>
      </c>
      <c r="G101" t="s">
        <v>235</v>
      </c>
      <c r="H101" t="s">
        <v>20</v>
      </c>
      <c r="I101" t="s">
        <v>20</v>
      </c>
      <c r="J101" t="s">
        <v>137</v>
      </c>
      <c r="K101" t="s">
        <v>798</v>
      </c>
      <c r="L101" t="s">
        <v>787</v>
      </c>
      <c r="M101" t="s">
        <v>818</v>
      </c>
      <c r="N101">
        <v>12</v>
      </c>
      <c r="O101" s="3">
        <v>23.58</v>
      </c>
      <c r="P101" s="3">
        <v>31.83</v>
      </c>
      <c r="Q101" s="6">
        <v>0.15</v>
      </c>
      <c r="R101" s="3">
        <v>324.666</v>
      </c>
      <c r="S101" t="s">
        <v>834</v>
      </c>
    </row>
    <row r="102" spans="1:19" x14ac:dyDescent="0.35">
      <c r="A102" t="s">
        <v>1109</v>
      </c>
      <c r="B102" t="s">
        <v>260</v>
      </c>
      <c r="C102" s="5">
        <v>45994</v>
      </c>
      <c r="E102" t="s">
        <v>261</v>
      </c>
      <c r="F102" t="s">
        <v>696</v>
      </c>
      <c r="G102" t="s">
        <v>264</v>
      </c>
      <c r="H102" t="s">
        <v>20</v>
      </c>
      <c r="I102" t="s">
        <v>8</v>
      </c>
      <c r="J102" t="s">
        <v>73</v>
      </c>
      <c r="K102" t="s">
        <v>813</v>
      </c>
      <c r="L102" t="s">
        <v>787</v>
      </c>
      <c r="M102" t="s">
        <v>788</v>
      </c>
      <c r="N102">
        <v>5</v>
      </c>
      <c r="O102" s="3">
        <v>67.95</v>
      </c>
      <c r="P102" s="3">
        <v>88.34</v>
      </c>
      <c r="Q102" s="6">
        <v>0</v>
      </c>
      <c r="R102" s="3">
        <v>441.70000000000005</v>
      </c>
      <c r="S102" t="s">
        <v>790</v>
      </c>
    </row>
    <row r="103" spans="1:19" x14ac:dyDescent="0.35">
      <c r="A103" t="s">
        <v>1111</v>
      </c>
      <c r="B103" t="s">
        <v>390</v>
      </c>
      <c r="C103" s="5">
        <v>45364</v>
      </c>
      <c r="E103" t="s">
        <v>391</v>
      </c>
      <c r="F103" t="s">
        <v>633</v>
      </c>
      <c r="G103" t="s">
        <v>235</v>
      </c>
      <c r="H103" t="s">
        <v>797</v>
      </c>
      <c r="I103" t="s">
        <v>79</v>
      </c>
      <c r="J103" t="s">
        <v>108</v>
      </c>
      <c r="K103" t="s">
        <v>798</v>
      </c>
      <c r="L103" t="s">
        <v>793</v>
      </c>
      <c r="M103" t="s">
        <v>800</v>
      </c>
      <c r="N103">
        <v>3</v>
      </c>
      <c r="O103" s="3">
        <v>9.3000000000000007</v>
      </c>
      <c r="P103" s="3">
        <v>12.56</v>
      </c>
      <c r="Q103" s="6">
        <v>0</v>
      </c>
      <c r="R103" s="3">
        <v>37.68</v>
      </c>
      <c r="S103" t="s">
        <v>935</v>
      </c>
    </row>
    <row r="104" spans="1:19" x14ac:dyDescent="0.35">
      <c r="A104" t="s">
        <v>1114</v>
      </c>
      <c r="B104" t="s">
        <v>525</v>
      </c>
      <c r="C104" s="5">
        <v>45981</v>
      </c>
      <c r="D104" s="5">
        <v>45987</v>
      </c>
      <c r="E104" t="s">
        <v>526</v>
      </c>
      <c r="F104" t="s">
        <v>254</v>
      </c>
      <c r="G104" t="s">
        <v>243</v>
      </c>
      <c r="H104" t="s">
        <v>14</v>
      </c>
      <c r="I104" t="s">
        <v>29</v>
      </c>
      <c r="J104" t="s">
        <v>145</v>
      </c>
      <c r="K104" t="s">
        <v>798</v>
      </c>
      <c r="L104" t="s">
        <v>799</v>
      </c>
      <c r="M104" t="s">
        <v>842</v>
      </c>
      <c r="N104">
        <v>3</v>
      </c>
      <c r="O104" s="3">
        <v>57.16</v>
      </c>
      <c r="P104" s="3">
        <v>82.88</v>
      </c>
      <c r="Q104" s="6">
        <v>0.15</v>
      </c>
      <c r="R104" s="3">
        <v>211.34399999999999</v>
      </c>
      <c r="S104" t="s">
        <v>834</v>
      </c>
    </row>
    <row r="105" spans="1:19" x14ac:dyDescent="0.35">
      <c r="A105" t="s">
        <v>1117</v>
      </c>
      <c r="B105" t="s">
        <v>419</v>
      </c>
      <c r="C105" s="5">
        <v>45806</v>
      </c>
      <c r="E105" t="s">
        <v>420</v>
      </c>
      <c r="F105" t="s">
        <v>637</v>
      </c>
      <c r="G105" t="s">
        <v>243</v>
      </c>
      <c r="H105" t="s">
        <v>14</v>
      </c>
      <c r="I105" t="s">
        <v>43</v>
      </c>
      <c r="J105" t="s">
        <v>141</v>
      </c>
      <c r="K105" t="s">
        <v>798</v>
      </c>
      <c r="L105" t="s">
        <v>793</v>
      </c>
      <c r="M105" t="s">
        <v>818</v>
      </c>
      <c r="N105">
        <v>10</v>
      </c>
      <c r="O105" s="3">
        <v>17.2</v>
      </c>
      <c r="P105" s="3">
        <v>22.36</v>
      </c>
      <c r="Q105" s="6">
        <v>0.05</v>
      </c>
      <c r="R105" s="3">
        <v>212.42</v>
      </c>
      <c r="S105" t="s">
        <v>935</v>
      </c>
    </row>
    <row r="106" spans="1:19" x14ac:dyDescent="0.35">
      <c r="A106" t="s">
        <v>1120</v>
      </c>
      <c r="B106" t="s">
        <v>500</v>
      </c>
      <c r="C106" s="5">
        <v>45968</v>
      </c>
      <c r="E106" t="s">
        <v>447</v>
      </c>
      <c r="F106" t="s">
        <v>674</v>
      </c>
      <c r="G106" t="s">
        <v>235</v>
      </c>
      <c r="H106" t="s">
        <v>14</v>
      </c>
      <c r="I106" t="s">
        <v>20</v>
      </c>
      <c r="J106" t="s">
        <v>104</v>
      </c>
      <c r="K106" t="s">
        <v>813</v>
      </c>
      <c r="L106" t="s">
        <v>793</v>
      </c>
      <c r="M106" t="s">
        <v>800</v>
      </c>
      <c r="N106">
        <v>10</v>
      </c>
      <c r="O106" s="3">
        <v>43.88</v>
      </c>
      <c r="P106" s="3">
        <v>54.85</v>
      </c>
      <c r="Q106" s="6">
        <v>0.15</v>
      </c>
      <c r="R106" s="3">
        <v>466.22500000000002</v>
      </c>
      <c r="S106" t="s">
        <v>888</v>
      </c>
    </row>
    <row r="107" spans="1:19" x14ac:dyDescent="0.35">
      <c r="A107" t="s">
        <v>1123</v>
      </c>
      <c r="B107" t="s">
        <v>455</v>
      </c>
      <c r="C107" s="5">
        <v>45597</v>
      </c>
      <c r="E107" t="s">
        <v>456</v>
      </c>
      <c r="F107" t="s">
        <v>254</v>
      </c>
      <c r="G107" t="s">
        <v>264</v>
      </c>
      <c r="H107" t="s">
        <v>14</v>
      </c>
      <c r="I107" t="s">
        <v>48</v>
      </c>
      <c r="J107" t="s">
        <v>217</v>
      </c>
      <c r="K107" t="s">
        <v>798</v>
      </c>
      <c r="L107" t="s">
        <v>787</v>
      </c>
      <c r="M107" t="s">
        <v>842</v>
      </c>
      <c r="N107">
        <v>1</v>
      </c>
      <c r="O107" s="3">
        <v>24.07</v>
      </c>
      <c r="P107" s="3">
        <v>34.9</v>
      </c>
      <c r="Q107" s="6">
        <v>0.1</v>
      </c>
      <c r="R107" s="3">
        <v>31.409999999999997</v>
      </c>
      <c r="S107" t="s">
        <v>946</v>
      </c>
    </row>
    <row r="108" spans="1:19" x14ac:dyDescent="0.35">
      <c r="A108" t="s">
        <v>1125</v>
      </c>
      <c r="B108" t="s">
        <v>530</v>
      </c>
      <c r="C108" s="5">
        <v>45695</v>
      </c>
      <c r="D108" s="5">
        <v>45704</v>
      </c>
      <c r="E108" t="s">
        <v>531</v>
      </c>
      <c r="F108" t="s">
        <v>254</v>
      </c>
      <c r="G108" t="s">
        <v>235</v>
      </c>
      <c r="H108" t="s">
        <v>797</v>
      </c>
      <c r="I108" t="s">
        <v>29</v>
      </c>
      <c r="J108" t="s">
        <v>183</v>
      </c>
      <c r="K108" t="s">
        <v>798</v>
      </c>
      <c r="L108" t="s">
        <v>822</v>
      </c>
      <c r="M108" t="s">
        <v>800</v>
      </c>
      <c r="N108">
        <v>20</v>
      </c>
      <c r="O108" s="3">
        <v>10.97</v>
      </c>
      <c r="P108" s="3">
        <v>15.91</v>
      </c>
      <c r="Q108" s="6">
        <v>0</v>
      </c>
      <c r="R108" s="3">
        <v>318.2</v>
      </c>
      <c r="S108" t="s">
        <v>876</v>
      </c>
    </row>
    <row r="109" spans="1:19" x14ac:dyDescent="0.35">
      <c r="A109" t="s">
        <v>1128</v>
      </c>
      <c r="B109" t="s">
        <v>369</v>
      </c>
      <c r="C109" s="5">
        <v>45437</v>
      </c>
      <c r="E109" t="s">
        <v>282</v>
      </c>
      <c r="F109" t="s">
        <v>674</v>
      </c>
      <c r="G109" t="s">
        <v>243</v>
      </c>
      <c r="H109" t="s">
        <v>14</v>
      </c>
      <c r="I109" t="s">
        <v>43</v>
      </c>
      <c r="J109" t="s">
        <v>215</v>
      </c>
      <c r="K109" t="s">
        <v>798</v>
      </c>
      <c r="L109" t="s">
        <v>787</v>
      </c>
      <c r="M109" t="s">
        <v>842</v>
      </c>
      <c r="N109">
        <v>3</v>
      </c>
      <c r="O109" s="3">
        <v>28.96</v>
      </c>
      <c r="P109" s="3">
        <v>40.54</v>
      </c>
      <c r="Q109" s="6">
        <v>0.1</v>
      </c>
      <c r="R109" s="3">
        <v>109.458</v>
      </c>
      <c r="S109" t="s">
        <v>845</v>
      </c>
    </row>
    <row r="110" spans="1:19" x14ac:dyDescent="0.35">
      <c r="A110" t="s">
        <v>1130</v>
      </c>
      <c r="B110" t="s">
        <v>303</v>
      </c>
      <c r="C110" s="5">
        <v>45952</v>
      </c>
      <c r="E110" t="s">
        <v>304</v>
      </c>
      <c r="F110" t="s">
        <v>633</v>
      </c>
      <c r="G110" t="s">
        <v>243</v>
      </c>
      <c r="H110" t="s">
        <v>14</v>
      </c>
      <c r="I110" t="s">
        <v>14</v>
      </c>
      <c r="J110" t="s">
        <v>56</v>
      </c>
      <c r="K110" t="s">
        <v>798</v>
      </c>
      <c r="L110" t="s">
        <v>793</v>
      </c>
      <c r="M110" t="s">
        <v>818</v>
      </c>
      <c r="N110">
        <v>5</v>
      </c>
      <c r="O110" s="3">
        <v>25.46</v>
      </c>
      <c r="P110" s="3">
        <v>31.83</v>
      </c>
      <c r="Q110" s="6">
        <v>0</v>
      </c>
      <c r="R110" s="3">
        <v>159.14999999999998</v>
      </c>
      <c r="S110" t="s">
        <v>814</v>
      </c>
    </row>
    <row r="111" spans="1:19" x14ac:dyDescent="0.35">
      <c r="A111" t="s">
        <v>1132</v>
      </c>
      <c r="B111" t="s">
        <v>395</v>
      </c>
      <c r="C111" s="5">
        <v>45423</v>
      </c>
      <c r="E111" t="s">
        <v>396</v>
      </c>
      <c r="F111" t="s">
        <v>254</v>
      </c>
      <c r="G111" t="s">
        <v>264</v>
      </c>
      <c r="H111" t="s">
        <v>797</v>
      </c>
      <c r="I111" t="s">
        <v>79</v>
      </c>
      <c r="J111" t="s">
        <v>88</v>
      </c>
      <c r="K111" t="s">
        <v>813</v>
      </c>
      <c r="L111" t="s">
        <v>793</v>
      </c>
      <c r="M111" t="s">
        <v>818</v>
      </c>
      <c r="N111">
        <v>10</v>
      </c>
      <c r="O111" s="3">
        <v>11.82</v>
      </c>
      <c r="P111" s="3">
        <v>17.14</v>
      </c>
      <c r="Q111" s="6">
        <v>0.05</v>
      </c>
      <c r="R111" s="3">
        <v>162.83000000000001</v>
      </c>
      <c r="S111" t="s">
        <v>1134</v>
      </c>
    </row>
    <row r="112" spans="1:19" x14ac:dyDescent="0.35">
      <c r="A112" t="s">
        <v>1135</v>
      </c>
      <c r="B112" t="s">
        <v>585</v>
      </c>
      <c r="C112" s="5">
        <v>45923</v>
      </c>
      <c r="D112" s="5">
        <v>45929</v>
      </c>
      <c r="E112" t="s">
        <v>586</v>
      </c>
      <c r="F112" t="s">
        <v>627</v>
      </c>
      <c r="G112" t="s">
        <v>235</v>
      </c>
      <c r="H112" t="s">
        <v>797</v>
      </c>
      <c r="I112" t="s">
        <v>8</v>
      </c>
      <c r="J112" t="s">
        <v>91</v>
      </c>
      <c r="K112" t="s">
        <v>798</v>
      </c>
      <c r="L112" t="s">
        <v>799</v>
      </c>
      <c r="M112" t="s">
        <v>818</v>
      </c>
      <c r="N112">
        <v>1</v>
      </c>
      <c r="O112" s="3">
        <v>36.82</v>
      </c>
      <c r="P112" s="3">
        <v>47.87</v>
      </c>
      <c r="Q112" s="6">
        <v>0</v>
      </c>
      <c r="R112" s="3">
        <v>47.87</v>
      </c>
      <c r="S112" t="s">
        <v>839</v>
      </c>
    </row>
    <row r="113" spans="1:19" x14ac:dyDescent="0.35">
      <c r="A113" t="s">
        <v>1138</v>
      </c>
      <c r="B113" t="s">
        <v>592</v>
      </c>
      <c r="C113" s="5">
        <v>45544</v>
      </c>
      <c r="E113" t="s">
        <v>478</v>
      </c>
      <c r="F113" t="s">
        <v>681</v>
      </c>
      <c r="G113" t="s">
        <v>243</v>
      </c>
      <c r="H113" t="s">
        <v>14</v>
      </c>
      <c r="I113" t="s">
        <v>8</v>
      </c>
      <c r="J113" t="s">
        <v>129</v>
      </c>
      <c r="K113" t="s">
        <v>798</v>
      </c>
      <c r="L113" t="s">
        <v>793</v>
      </c>
      <c r="M113" t="s">
        <v>800</v>
      </c>
      <c r="N113">
        <v>5</v>
      </c>
      <c r="O113" s="3">
        <v>22.15</v>
      </c>
      <c r="P113" s="3">
        <v>31.01</v>
      </c>
      <c r="Q113" s="6">
        <v>0.05</v>
      </c>
      <c r="R113" s="3">
        <v>147.29750000000001</v>
      </c>
      <c r="S113" t="s">
        <v>845</v>
      </c>
    </row>
    <row r="114" spans="1:19" x14ac:dyDescent="0.35">
      <c r="A114" t="s">
        <v>1140</v>
      </c>
      <c r="B114" t="s">
        <v>614</v>
      </c>
      <c r="C114" s="5">
        <v>45748</v>
      </c>
      <c r="D114" s="5">
        <v>45757</v>
      </c>
      <c r="E114" t="s">
        <v>615</v>
      </c>
      <c r="F114" t="s">
        <v>633</v>
      </c>
      <c r="G114" t="s">
        <v>235</v>
      </c>
      <c r="H114" t="s">
        <v>14</v>
      </c>
      <c r="I114" t="s">
        <v>8</v>
      </c>
      <c r="J114" t="s">
        <v>181</v>
      </c>
      <c r="K114" t="s">
        <v>813</v>
      </c>
      <c r="L114" t="s">
        <v>799</v>
      </c>
      <c r="M114" t="s">
        <v>842</v>
      </c>
      <c r="N114">
        <v>3</v>
      </c>
      <c r="O114" s="3">
        <v>20.49</v>
      </c>
      <c r="P114" s="3">
        <v>29.71</v>
      </c>
      <c r="Q114" s="6">
        <v>0</v>
      </c>
      <c r="R114" s="3">
        <v>89.13</v>
      </c>
      <c r="S114" t="s">
        <v>888</v>
      </c>
    </row>
    <row r="115" spans="1:19" x14ac:dyDescent="0.35">
      <c r="A115" t="s">
        <v>1143</v>
      </c>
      <c r="B115" t="s">
        <v>599</v>
      </c>
      <c r="C115" s="5">
        <v>45493</v>
      </c>
      <c r="E115" t="s">
        <v>600</v>
      </c>
      <c r="F115" t="s">
        <v>681</v>
      </c>
      <c r="G115" t="s">
        <v>243</v>
      </c>
      <c r="H115" t="s">
        <v>797</v>
      </c>
      <c r="I115" t="s">
        <v>8</v>
      </c>
      <c r="J115" t="s">
        <v>23</v>
      </c>
      <c r="K115" t="s">
        <v>813</v>
      </c>
      <c r="L115" t="s">
        <v>787</v>
      </c>
      <c r="M115" t="s">
        <v>842</v>
      </c>
      <c r="N115">
        <v>1</v>
      </c>
      <c r="O115" s="3">
        <v>58.47</v>
      </c>
      <c r="P115" s="3">
        <v>84.78</v>
      </c>
      <c r="Q115" s="6">
        <v>0.1</v>
      </c>
      <c r="R115" s="3">
        <v>76.302000000000007</v>
      </c>
      <c r="S115" t="s">
        <v>803</v>
      </c>
    </row>
    <row r="116" spans="1:19" x14ac:dyDescent="0.35">
      <c r="A116" t="s">
        <v>1145</v>
      </c>
      <c r="B116" t="s">
        <v>382</v>
      </c>
      <c r="C116" s="5">
        <v>45706</v>
      </c>
      <c r="E116" t="s">
        <v>383</v>
      </c>
      <c r="F116" t="s">
        <v>254</v>
      </c>
      <c r="G116" t="s">
        <v>264</v>
      </c>
      <c r="H116" t="s">
        <v>14</v>
      </c>
      <c r="I116" t="s">
        <v>8</v>
      </c>
      <c r="J116" t="s">
        <v>101</v>
      </c>
      <c r="K116" t="s">
        <v>798</v>
      </c>
      <c r="L116" t="s">
        <v>817</v>
      </c>
      <c r="M116" t="s">
        <v>818</v>
      </c>
      <c r="N116">
        <v>2</v>
      </c>
      <c r="O116" s="3">
        <v>16.510000000000002</v>
      </c>
      <c r="P116" s="3">
        <v>23.94</v>
      </c>
      <c r="Q116" s="6">
        <v>0.15</v>
      </c>
      <c r="R116" s="3">
        <v>40.698</v>
      </c>
      <c r="S116" t="s">
        <v>888</v>
      </c>
    </row>
    <row r="117" spans="1:19" x14ac:dyDescent="0.35">
      <c r="A117" t="s">
        <v>1148</v>
      </c>
      <c r="B117" t="s">
        <v>388</v>
      </c>
      <c r="C117" s="5">
        <v>45666</v>
      </c>
      <c r="E117" t="s">
        <v>389</v>
      </c>
      <c r="F117" t="s">
        <v>637</v>
      </c>
      <c r="G117" t="s">
        <v>243</v>
      </c>
      <c r="H117" t="s">
        <v>14</v>
      </c>
      <c r="I117" t="s">
        <v>48</v>
      </c>
      <c r="J117" t="s">
        <v>179</v>
      </c>
      <c r="K117" t="s">
        <v>786</v>
      </c>
      <c r="L117" t="s">
        <v>787</v>
      </c>
      <c r="M117" t="s">
        <v>842</v>
      </c>
      <c r="N117">
        <v>2</v>
      </c>
      <c r="O117" s="3">
        <v>16.670000000000002</v>
      </c>
      <c r="P117" s="3">
        <v>22.5</v>
      </c>
      <c r="Q117" s="6">
        <v>0.05</v>
      </c>
      <c r="R117" s="3">
        <v>42.75</v>
      </c>
      <c r="S117" t="s">
        <v>814</v>
      </c>
    </row>
    <row r="118" spans="1:19" x14ac:dyDescent="0.35">
      <c r="A118" t="s">
        <v>1150</v>
      </c>
      <c r="B118" t="s">
        <v>574</v>
      </c>
      <c r="C118" s="5">
        <v>45806</v>
      </c>
      <c r="D118" s="5">
        <v>45814</v>
      </c>
      <c r="E118" t="s">
        <v>458</v>
      </c>
      <c r="F118" t="s">
        <v>674</v>
      </c>
      <c r="H118" t="s">
        <v>20</v>
      </c>
      <c r="I118" t="s">
        <v>14</v>
      </c>
      <c r="J118" t="s">
        <v>12</v>
      </c>
      <c r="K118" t="s">
        <v>786</v>
      </c>
      <c r="L118" t="s">
        <v>799</v>
      </c>
      <c r="M118" t="s">
        <v>788</v>
      </c>
      <c r="N118">
        <v>12</v>
      </c>
      <c r="O118" s="3">
        <v>35.03</v>
      </c>
      <c r="P118" s="3">
        <v>50.79</v>
      </c>
      <c r="Q118" s="6">
        <v>0.1</v>
      </c>
      <c r="R118" s="3">
        <v>548.53200000000004</v>
      </c>
      <c r="S118" t="s">
        <v>888</v>
      </c>
    </row>
    <row r="119" spans="1:19" x14ac:dyDescent="0.35">
      <c r="A119" t="s">
        <v>1153</v>
      </c>
      <c r="B119" t="s">
        <v>538</v>
      </c>
      <c r="C119" s="5">
        <v>45455</v>
      </c>
      <c r="D119" s="5">
        <v>45459</v>
      </c>
      <c r="E119" t="s">
        <v>539</v>
      </c>
      <c r="F119" t="s">
        <v>627</v>
      </c>
      <c r="G119" t="s">
        <v>264</v>
      </c>
      <c r="H119" t="s">
        <v>14</v>
      </c>
      <c r="I119" t="s">
        <v>43</v>
      </c>
      <c r="J119" t="s">
        <v>161</v>
      </c>
      <c r="K119" t="s">
        <v>786</v>
      </c>
      <c r="L119" t="s">
        <v>799</v>
      </c>
      <c r="M119" t="s">
        <v>818</v>
      </c>
      <c r="N119">
        <v>3</v>
      </c>
      <c r="O119" s="3">
        <v>21.74</v>
      </c>
      <c r="P119" s="3">
        <v>30.44</v>
      </c>
      <c r="Q119" s="6">
        <v>0</v>
      </c>
      <c r="R119" s="3">
        <v>91.320000000000007</v>
      </c>
      <c r="S119" t="s">
        <v>829</v>
      </c>
    </row>
    <row r="120" spans="1:19" x14ac:dyDescent="0.35">
      <c r="A120" t="s">
        <v>1156</v>
      </c>
      <c r="B120" t="s">
        <v>295</v>
      </c>
      <c r="C120" s="5">
        <v>45791</v>
      </c>
      <c r="E120" t="s">
        <v>296</v>
      </c>
      <c r="F120" t="s">
        <v>633</v>
      </c>
      <c r="G120" t="s">
        <v>264</v>
      </c>
      <c r="H120" t="s">
        <v>797</v>
      </c>
      <c r="I120" t="s">
        <v>14</v>
      </c>
      <c r="J120" t="s">
        <v>60</v>
      </c>
      <c r="K120" t="s">
        <v>813</v>
      </c>
      <c r="L120" t="s">
        <v>793</v>
      </c>
      <c r="M120" t="s">
        <v>800</v>
      </c>
      <c r="N120">
        <v>5</v>
      </c>
      <c r="O120" s="3">
        <v>18.18</v>
      </c>
      <c r="P120" s="3">
        <v>24.54</v>
      </c>
      <c r="Q120" s="6">
        <v>0.05</v>
      </c>
      <c r="R120" s="3">
        <v>116.56499999999998</v>
      </c>
      <c r="S120" t="s">
        <v>819</v>
      </c>
    </row>
    <row r="121" spans="1:19" x14ac:dyDescent="0.35">
      <c r="A121" t="s">
        <v>1159</v>
      </c>
      <c r="B121" t="s">
        <v>276</v>
      </c>
      <c r="C121" s="5">
        <v>45757</v>
      </c>
      <c r="D121" s="5">
        <v>45767</v>
      </c>
      <c r="E121" t="s">
        <v>277</v>
      </c>
      <c r="F121" t="s">
        <v>681</v>
      </c>
      <c r="G121" t="s">
        <v>243</v>
      </c>
      <c r="H121" t="s">
        <v>797</v>
      </c>
      <c r="I121" t="s">
        <v>38</v>
      </c>
      <c r="J121" t="s">
        <v>82</v>
      </c>
      <c r="K121" t="s">
        <v>798</v>
      </c>
      <c r="L121" t="s">
        <v>799</v>
      </c>
      <c r="M121" t="s">
        <v>800</v>
      </c>
      <c r="N121">
        <v>1</v>
      </c>
      <c r="O121" s="3">
        <v>12.54</v>
      </c>
      <c r="P121" s="3">
        <v>16.93</v>
      </c>
      <c r="Q121" s="6">
        <v>0.15</v>
      </c>
      <c r="R121" s="3">
        <v>14.390499999999999</v>
      </c>
      <c r="S121" t="s">
        <v>1017</v>
      </c>
    </row>
    <row r="122" spans="1:19" x14ac:dyDescent="0.35">
      <c r="A122" t="s">
        <v>1161</v>
      </c>
      <c r="B122" t="s">
        <v>364</v>
      </c>
      <c r="C122" s="5">
        <v>45849</v>
      </c>
      <c r="D122" s="5">
        <v>45856</v>
      </c>
      <c r="E122" t="s">
        <v>365</v>
      </c>
      <c r="F122" t="s">
        <v>696</v>
      </c>
      <c r="G122" t="s">
        <v>243</v>
      </c>
      <c r="H122" t="s">
        <v>14</v>
      </c>
      <c r="I122" t="s">
        <v>48</v>
      </c>
      <c r="J122" t="s">
        <v>84</v>
      </c>
      <c r="K122" t="s">
        <v>798</v>
      </c>
      <c r="L122" t="s">
        <v>799</v>
      </c>
      <c r="M122" t="s">
        <v>842</v>
      </c>
      <c r="N122">
        <v>3</v>
      </c>
      <c r="O122" s="3">
        <v>27.52</v>
      </c>
      <c r="P122" s="3">
        <v>34.4</v>
      </c>
      <c r="Q122" s="6">
        <v>0.1</v>
      </c>
      <c r="R122" s="3">
        <v>92.88</v>
      </c>
      <c r="S122" t="s">
        <v>1017</v>
      </c>
    </row>
    <row r="123" spans="1:19" x14ac:dyDescent="0.35">
      <c r="A123" t="s">
        <v>1164</v>
      </c>
      <c r="B123" t="s">
        <v>469</v>
      </c>
      <c r="C123" s="5">
        <v>45520</v>
      </c>
      <c r="D123" s="5">
        <v>45528</v>
      </c>
      <c r="E123" t="s">
        <v>470</v>
      </c>
      <c r="F123" t="s">
        <v>633</v>
      </c>
      <c r="G123" t="s">
        <v>235</v>
      </c>
      <c r="H123" t="s">
        <v>20</v>
      </c>
      <c r="I123" t="s">
        <v>14</v>
      </c>
      <c r="J123" t="s">
        <v>167</v>
      </c>
      <c r="K123" t="s">
        <v>798</v>
      </c>
      <c r="L123" t="s">
        <v>799</v>
      </c>
      <c r="M123" t="s">
        <v>842</v>
      </c>
      <c r="N123">
        <v>3</v>
      </c>
      <c r="O123" s="3">
        <v>18.62</v>
      </c>
      <c r="P123" s="3">
        <v>26.07</v>
      </c>
      <c r="Q123" s="6">
        <v>0.1</v>
      </c>
      <c r="R123" s="3">
        <v>70.38900000000001</v>
      </c>
      <c r="S123" t="s">
        <v>888</v>
      </c>
    </row>
    <row r="124" spans="1:19" x14ac:dyDescent="0.35">
      <c r="A124" t="s">
        <v>1166</v>
      </c>
      <c r="B124" t="s">
        <v>306</v>
      </c>
      <c r="C124" s="5">
        <v>45461</v>
      </c>
      <c r="E124" t="s">
        <v>307</v>
      </c>
      <c r="F124" t="s">
        <v>627</v>
      </c>
      <c r="H124" t="s">
        <v>14</v>
      </c>
      <c r="I124" t="s">
        <v>43</v>
      </c>
      <c r="J124" t="s">
        <v>141</v>
      </c>
      <c r="K124" t="s">
        <v>798</v>
      </c>
      <c r="L124" t="s">
        <v>793</v>
      </c>
      <c r="M124" t="s">
        <v>800</v>
      </c>
      <c r="N124">
        <v>3</v>
      </c>
      <c r="O124" s="3">
        <v>17.2</v>
      </c>
      <c r="P124" s="3">
        <v>22.36</v>
      </c>
      <c r="Q124" s="6">
        <v>0.1</v>
      </c>
      <c r="R124" s="3">
        <v>60.372</v>
      </c>
      <c r="S124" t="s">
        <v>1001</v>
      </c>
    </row>
    <row r="125" spans="1:19" x14ac:dyDescent="0.35">
      <c r="A125" t="s">
        <v>1168</v>
      </c>
      <c r="B125" t="s">
        <v>474</v>
      </c>
      <c r="C125" s="5">
        <v>45413</v>
      </c>
      <c r="D125" s="5">
        <v>45416</v>
      </c>
      <c r="E125" t="s">
        <v>330</v>
      </c>
      <c r="F125" t="s">
        <v>637</v>
      </c>
      <c r="G125" t="s">
        <v>235</v>
      </c>
      <c r="H125" t="s">
        <v>797</v>
      </c>
      <c r="I125" t="s">
        <v>14</v>
      </c>
      <c r="J125" t="s">
        <v>186</v>
      </c>
      <c r="K125" t="s">
        <v>813</v>
      </c>
      <c r="L125" t="s">
        <v>799</v>
      </c>
      <c r="M125" t="s">
        <v>818</v>
      </c>
      <c r="N125">
        <v>2</v>
      </c>
      <c r="O125" s="3">
        <v>28.32</v>
      </c>
      <c r="P125" s="3">
        <v>35.4</v>
      </c>
      <c r="Q125" s="6">
        <v>0</v>
      </c>
      <c r="R125" s="3">
        <v>70.8</v>
      </c>
      <c r="S125" t="s">
        <v>803</v>
      </c>
    </row>
    <row r="126" spans="1:19" x14ac:dyDescent="0.35">
      <c r="A126" t="s">
        <v>1171</v>
      </c>
      <c r="B126" t="s">
        <v>257</v>
      </c>
      <c r="C126" s="5">
        <v>45954</v>
      </c>
      <c r="E126" t="s">
        <v>258</v>
      </c>
      <c r="F126" t="s">
        <v>674</v>
      </c>
      <c r="G126" t="s">
        <v>235</v>
      </c>
      <c r="H126" t="s">
        <v>797</v>
      </c>
      <c r="I126" t="s">
        <v>8</v>
      </c>
      <c r="J126" t="s">
        <v>192</v>
      </c>
      <c r="K126" t="s">
        <v>798</v>
      </c>
      <c r="L126" t="s">
        <v>787</v>
      </c>
      <c r="M126" t="s">
        <v>842</v>
      </c>
      <c r="N126">
        <v>12</v>
      </c>
      <c r="O126" s="3">
        <v>19.47</v>
      </c>
      <c r="P126" s="3">
        <v>28.23</v>
      </c>
      <c r="Q126" s="6">
        <v>0.1</v>
      </c>
      <c r="R126" s="3">
        <v>304.88400000000001</v>
      </c>
      <c r="S126" t="s">
        <v>888</v>
      </c>
    </row>
    <row r="127" spans="1:19" x14ac:dyDescent="0.35">
      <c r="A127" t="s">
        <v>1173</v>
      </c>
      <c r="B127" t="s">
        <v>405</v>
      </c>
      <c r="C127" s="5">
        <v>45349</v>
      </c>
      <c r="E127" t="s">
        <v>404</v>
      </c>
      <c r="F127" t="s">
        <v>674</v>
      </c>
      <c r="G127" t="s">
        <v>264</v>
      </c>
      <c r="H127" t="s">
        <v>14</v>
      </c>
      <c r="I127" t="s">
        <v>20</v>
      </c>
      <c r="J127" t="s">
        <v>137</v>
      </c>
      <c r="K127" t="s">
        <v>798</v>
      </c>
      <c r="L127" t="s">
        <v>817</v>
      </c>
      <c r="M127" t="s">
        <v>842</v>
      </c>
      <c r="N127">
        <v>2</v>
      </c>
      <c r="O127" s="3">
        <v>23.58</v>
      </c>
      <c r="P127" s="3">
        <v>31.83</v>
      </c>
      <c r="Q127" s="6">
        <v>0.15</v>
      </c>
      <c r="R127" s="3">
        <v>54.110999999999997</v>
      </c>
      <c r="S127" t="s">
        <v>825</v>
      </c>
    </row>
    <row r="128" spans="1:19" x14ac:dyDescent="0.35">
      <c r="A128" t="s">
        <v>1175</v>
      </c>
      <c r="B128" t="s">
        <v>384</v>
      </c>
      <c r="C128" s="5">
        <v>45582</v>
      </c>
      <c r="D128" s="5">
        <v>45585</v>
      </c>
      <c r="E128" t="s">
        <v>385</v>
      </c>
      <c r="F128" t="s">
        <v>696</v>
      </c>
      <c r="G128" t="s">
        <v>264</v>
      </c>
      <c r="H128" t="s">
        <v>14</v>
      </c>
      <c r="I128" t="s">
        <v>20</v>
      </c>
      <c r="J128" t="s">
        <v>197</v>
      </c>
      <c r="K128" t="s">
        <v>798</v>
      </c>
      <c r="L128" t="s">
        <v>799</v>
      </c>
      <c r="M128" t="s">
        <v>788</v>
      </c>
      <c r="N128">
        <v>10</v>
      </c>
      <c r="O128" s="3">
        <v>22.45</v>
      </c>
      <c r="P128" s="3">
        <v>29.18</v>
      </c>
      <c r="Q128" s="6">
        <v>0.05</v>
      </c>
      <c r="R128" s="3">
        <v>277.21000000000004</v>
      </c>
      <c r="S128" t="s">
        <v>946</v>
      </c>
    </row>
    <row r="129" spans="1:19" x14ac:dyDescent="0.35">
      <c r="A129" t="s">
        <v>1177</v>
      </c>
      <c r="B129" t="s">
        <v>560</v>
      </c>
      <c r="C129" s="5">
        <v>45888</v>
      </c>
      <c r="D129" s="5">
        <v>45890</v>
      </c>
      <c r="E129" t="s">
        <v>292</v>
      </c>
      <c r="F129" t="s">
        <v>681</v>
      </c>
      <c r="G129" t="s">
        <v>264</v>
      </c>
      <c r="H129" t="s">
        <v>14</v>
      </c>
      <c r="I129" t="s">
        <v>29</v>
      </c>
      <c r="J129" t="s">
        <v>115</v>
      </c>
      <c r="K129" t="s">
        <v>813</v>
      </c>
      <c r="L129" t="s">
        <v>799</v>
      </c>
      <c r="M129" t="s">
        <v>818</v>
      </c>
      <c r="N129">
        <v>2</v>
      </c>
      <c r="O129" s="3">
        <v>34.340000000000003</v>
      </c>
      <c r="P129" s="3">
        <v>44.64</v>
      </c>
      <c r="Q129" s="6">
        <v>0.1</v>
      </c>
      <c r="R129" s="3">
        <v>80.352000000000004</v>
      </c>
      <c r="S129" t="s">
        <v>803</v>
      </c>
    </row>
    <row r="130" spans="1:19" x14ac:dyDescent="0.35">
      <c r="A130" t="s">
        <v>1180</v>
      </c>
      <c r="B130" t="s">
        <v>462</v>
      </c>
      <c r="C130" s="5">
        <v>45527</v>
      </c>
      <c r="D130" s="5">
        <v>45529</v>
      </c>
      <c r="E130" t="s">
        <v>396</v>
      </c>
      <c r="F130" t="s">
        <v>674</v>
      </c>
      <c r="G130" t="s">
        <v>264</v>
      </c>
      <c r="H130" t="s">
        <v>797</v>
      </c>
      <c r="I130" t="s">
        <v>38</v>
      </c>
      <c r="J130" t="s">
        <v>69</v>
      </c>
      <c r="K130" t="s">
        <v>798</v>
      </c>
      <c r="L130" t="s">
        <v>799</v>
      </c>
      <c r="M130" t="s">
        <v>818</v>
      </c>
      <c r="N130">
        <v>1</v>
      </c>
      <c r="O130" s="3">
        <v>20.9</v>
      </c>
      <c r="P130" s="3">
        <v>28.21</v>
      </c>
      <c r="Q130" s="6">
        <v>0</v>
      </c>
      <c r="R130" s="3">
        <v>28.21</v>
      </c>
      <c r="S130" t="s">
        <v>946</v>
      </c>
    </row>
    <row r="131" spans="1:19" x14ac:dyDescent="0.35">
      <c r="A131" t="s">
        <v>1183</v>
      </c>
      <c r="B131" t="s">
        <v>557</v>
      </c>
      <c r="C131" s="5">
        <v>45473</v>
      </c>
      <c r="D131" s="5">
        <v>45476</v>
      </c>
      <c r="E131" t="s">
        <v>558</v>
      </c>
      <c r="F131" t="s">
        <v>627</v>
      </c>
      <c r="G131" t="s">
        <v>235</v>
      </c>
      <c r="H131" t="s">
        <v>797</v>
      </c>
      <c r="I131" t="s">
        <v>29</v>
      </c>
      <c r="J131" t="s">
        <v>154</v>
      </c>
      <c r="K131" t="s">
        <v>786</v>
      </c>
      <c r="L131" t="s">
        <v>799</v>
      </c>
      <c r="M131" t="s">
        <v>842</v>
      </c>
      <c r="N131">
        <v>20</v>
      </c>
      <c r="O131" s="3">
        <v>25.74</v>
      </c>
      <c r="P131" s="3">
        <v>33.46</v>
      </c>
      <c r="Q131" s="6">
        <v>0</v>
      </c>
      <c r="R131" s="3">
        <v>669.2</v>
      </c>
      <c r="S131" t="s">
        <v>819</v>
      </c>
    </row>
    <row r="132" spans="1:19" x14ac:dyDescent="0.35">
      <c r="A132" t="s">
        <v>1186</v>
      </c>
      <c r="B132" t="s">
        <v>230</v>
      </c>
      <c r="C132" s="5">
        <v>45909</v>
      </c>
      <c r="E132" t="s">
        <v>231</v>
      </c>
      <c r="F132" t="s">
        <v>637</v>
      </c>
      <c r="G132" t="s">
        <v>235</v>
      </c>
      <c r="H132" t="s">
        <v>14</v>
      </c>
      <c r="I132" t="s">
        <v>79</v>
      </c>
      <c r="J132" t="s">
        <v>124</v>
      </c>
      <c r="K132" t="s">
        <v>798</v>
      </c>
      <c r="L132" t="s">
        <v>793</v>
      </c>
      <c r="M132" t="s">
        <v>842</v>
      </c>
      <c r="N132">
        <v>2</v>
      </c>
      <c r="O132" s="3">
        <v>29.44</v>
      </c>
      <c r="P132" s="3">
        <v>41.22</v>
      </c>
      <c r="Q132" s="6">
        <v>0.15</v>
      </c>
      <c r="R132" s="3">
        <v>70.073999999999998</v>
      </c>
      <c r="S132" t="s">
        <v>892</v>
      </c>
    </row>
    <row r="133" spans="1:19" x14ac:dyDescent="0.35">
      <c r="A133" t="s">
        <v>1187</v>
      </c>
      <c r="B133" t="s">
        <v>502</v>
      </c>
      <c r="C133" s="5">
        <v>45731</v>
      </c>
      <c r="D133" s="5">
        <v>45736</v>
      </c>
      <c r="E133" t="s">
        <v>503</v>
      </c>
      <c r="F133" t="s">
        <v>637</v>
      </c>
      <c r="G133" t="s">
        <v>235</v>
      </c>
      <c r="H133" t="s">
        <v>20</v>
      </c>
      <c r="I133" t="s">
        <v>20</v>
      </c>
      <c r="J133" t="s">
        <v>159</v>
      </c>
      <c r="K133" t="s">
        <v>798</v>
      </c>
      <c r="L133" t="s">
        <v>799</v>
      </c>
      <c r="M133" t="s">
        <v>842</v>
      </c>
      <c r="N133">
        <v>12</v>
      </c>
      <c r="O133" s="3">
        <v>8.2200000000000006</v>
      </c>
      <c r="P133" s="3">
        <v>11.1</v>
      </c>
      <c r="Q133" s="6">
        <v>0.05</v>
      </c>
      <c r="R133" s="3">
        <v>126.53999999999999</v>
      </c>
      <c r="S133" t="s">
        <v>888</v>
      </c>
    </row>
    <row r="134" spans="1:19" x14ac:dyDescent="0.35">
      <c r="A134" t="s">
        <v>1189</v>
      </c>
      <c r="B134" t="s">
        <v>312</v>
      </c>
      <c r="C134" s="5">
        <v>45780</v>
      </c>
      <c r="E134" t="s">
        <v>313</v>
      </c>
      <c r="F134" t="s">
        <v>633</v>
      </c>
      <c r="G134" t="s">
        <v>235</v>
      </c>
      <c r="H134" t="s">
        <v>14</v>
      </c>
      <c r="I134" t="s">
        <v>43</v>
      </c>
      <c r="J134" t="s">
        <v>146</v>
      </c>
      <c r="K134" t="s">
        <v>798</v>
      </c>
      <c r="L134" t="s">
        <v>793</v>
      </c>
      <c r="M134" t="s">
        <v>842</v>
      </c>
      <c r="N134">
        <v>2</v>
      </c>
      <c r="O134" s="3">
        <v>24.05</v>
      </c>
      <c r="P134" s="3">
        <v>31.27</v>
      </c>
      <c r="Q134" s="6">
        <v>0.15</v>
      </c>
      <c r="R134" s="3">
        <v>53.158999999999999</v>
      </c>
      <c r="S134" t="s">
        <v>839</v>
      </c>
    </row>
    <row r="135" spans="1:19" x14ac:dyDescent="0.35">
      <c r="A135" t="s">
        <v>1192</v>
      </c>
      <c r="B135" t="s">
        <v>334</v>
      </c>
      <c r="C135" s="5">
        <v>45883</v>
      </c>
      <c r="D135" s="5">
        <v>45885</v>
      </c>
      <c r="E135" t="s">
        <v>335</v>
      </c>
      <c r="F135" t="s">
        <v>627</v>
      </c>
      <c r="G135" t="s">
        <v>243</v>
      </c>
      <c r="H135" t="s">
        <v>797</v>
      </c>
      <c r="I135" t="s">
        <v>29</v>
      </c>
      <c r="J135" t="s">
        <v>123</v>
      </c>
      <c r="K135" t="s">
        <v>798</v>
      </c>
      <c r="L135" t="s">
        <v>799</v>
      </c>
      <c r="M135" t="s">
        <v>800</v>
      </c>
      <c r="N135">
        <v>3</v>
      </c>
      <c r="O135" s="3">
        <v>20.7</v>
      </c>
      <c r="P135" s="3">
        <v>30.01</v>
      </c>
      <c r="Q135" s="6">
        <v>0.05</v>
      </c>
      <c r="R135" s="3">
        <v>85.528500000000008</v>
      </c>
      <c r="S135" t="s">
        <v>814</v>
      </c>
    </row>
    <row r="136" spans="1:19" x14ac:dyDescent="0.35">
      <c r="A136" t="s">
        <v>1195</v>
      </c>
      <c r="B136" t="s">
        <v>570</v>
      </c>
      <c r="C136" s="5">
        <v>45450</v>
      </c>
      <c r="E136" t="s">
        <v>435</v>
      </c>
      <c r="F136" t="s">
        <v>627</v>
      </c>
      <c r="G136" t="s">
        <v>264</v>
      </c>
      <c r="H136" t="s">
        <v>797</v>
      </c>
      <c r="I136" t="s">
        <v>43</v>
      </c>
      <c r="J136" t="s">
        <v>222</v>
      </c>
      <c r="K136" t="s">
        <v>786</v>
      </c>
      <c r="L136" t="s">
        <v>793</v>
      </c>
      <c r="M136" t="s">
        <v>800</v>
      </c>
      <c r="N136">
        <v>3</v>
      </c>
      <c r="O136" s="3">
        <v>37.1</v>
      </c>
      <c r="P136" s="3">
        <v>48.23</v>
      </c>
      <c r="Q136" s="6">
        <v>0.1</v>
      </c>
      <c r="R136" s="3">
        <v>130.221</v>
      </c>
      <c r="S136" t="s">
        <v>1017</v>
      </c>
    </row>
    <row r="137" spans="1:19" x14ac:dyDescent="0.35">
      <c r="A137" t="s">
        <v>1197</v>
      </c>
      <c r="B137" t="s">
        <v>607</v>
      </c>
      <c r="C137" s="5">
        <v>45988</v>
      </c>
      <c r="D137" s="5">
        <v>45996</v>
      </c>
      <c r="E137" t="s">
        <v>608</v>
      </c>
      <c r="F137" t="s">
        <v>674</v>
      </c>
      <c r="G137" t="s">
        <v>264</v>
      </c>
      <c r="H137" t="s">
        <v>797</v>
      </c>
      <c r="I137" t="s">
        <v>38</v>
      </c>
      <c r="J137" t="s">
        <v>69</v>
      </c>
      <c r="K137" t="s">
        <v>786</v>
      </c>
      <c r="L137" t="s">
        <v>799</v>
      </c>
      <c r="M137" t="s">
        <v>800</v>
      </c>
      <c r="N137">
        <v>3</v>
      </c>
      <c r="O137" s="3">
        <v>20.9</v>
      </c>
      <c r="P137" s="3">
        <v>28.21</v>
      </c>
      <c r="Q137" s="6">
        <v>0.1</v>
      </c>
      <c r="R137" s="3">
        <v>76.167000000000002</v>
      </c>
      <c r="S137" t="s">
        <v>790</v>
      </c>
    </row>
    <row r="138" spans="1:19" x14ac:dyDescent="0.35">
      <c r="A138" t="s">
        <v>1200</v>
      </c>
      <c r="B138" t="s">
        <v>543</v>
      </c>
      <c r="C138" s="5">
        <v>45551</v>
      </c>
      <c r="E138" t="s">
        <v>544</v>
      </c>
      <c r="F138" t="s">
        <v>633</v>
      </c>
      <c r="G138" t="s">
        <v>243</v>
      </c>
      <c r="H138" t="s">
        <v>20</v>
      </c>
      <c r="I138" t="s">
        <v>48</v>
      </c>
      <c r="J138" t="s">
        <v>210</v>
      </c>
      <c r="K138" t="s">
        <v>798</v>
      </c>
      <c r="L138" t="s">
        <v>787</v>
      </c>
      <c r="M138" t="s">
        <v>842</v>
      </c>
      <c r="N138">
        <v>5</v>
      </c>
      <c r="O138" s="3">
        <v>25.36</v>
      </c>
      <c r="P138" s="3">
        <v>34.24</v>
      </c>
      <c r="Q138" s="6">
        <v>0.15</v>
      </c>
      <c r="R138" s="3">
        <v>145.52000000000001</v>
      </c>
      <c r="S138" t="s">
        <v>794</v>
      </c>
    </row>
    <row r="139" spans="1:19" x14ac:dyDescent="0.35">
      <c r="A139" t="s">
        <v>1202</v>
      </c>
      <c r="B139" t="s">
        <v>322</v>
      </c>
      <c r="C139" s="5">
        <v>45749</v>
      </c>
      <c r="D139" s="5">
        <v>45750</v>
      </c>
      <c r="E139" t="s">
        <v>245</v>
      </c>
      <c r="F139" t="s">
        <v>674</v>
      </c>
      <c r="G139" t="s">
        <v>243</v>
      </c>
      <c r="H139" t="s">
        <v>14</v>
      </c>
      <c r="I139" t="s">
        <v>20</v>
      </c>
      <c r="J139" t="s">
        <v>104</v>
      </c>
      <c r="K139" t="s">
        <v>786</v>
      </c>
      <c r="L139" t="s">
        <v>799</v>
      </c>
      <c r="M139" t="s">
        <v>842</v>
      </c>
      <c r="N139">
        <v>5</v>
      </c>
      <c r="O139" s="3">
        <v>43.88</v>
      </c>
      <c r="P139" s="3">
        <v>54.85</v>
      </c>
      <c r="Q139" s="6">
        <v>0</v>
      </c>
      <c r="R139" s="3">
        <v>274.25</v>
      </c>
      <c r="S139" t="s">
        <v>935</v>
      </c>
    </row>
    <row r="140" spans="1:19" x14ac:dyDescent="0.35">
      <c r="A140" t="s">
        <v>1205</v>
      </c>
      <c r="B140" t="s">
        <v>498</v>
      </c>
      <c r="C140" s="5">
        <v>45385</v>
      </c>
      <c r="E140" t="s">
        <v>499</v>
      </c>
      <c r="F140" t="s">
        <v>627</v>
      </c>
      <c r="G140" t="s">
        <v>235</v>
      </c>
      <c r="H140" t="s">
        <v>797</v>
      </c>
      <c r="I140" t="s">
        <v>20</v>
      </c>
      <c r="J140" t="s">
        <v>18</v>
      </c>
      <c r="K140" t="s">
        <v>813</v>
      </c>
      <c r="L140" t="s">
        <v>793</v>
      </c>
      <c r="M140" t="s">
        <v>842</v>
      </c>
      <c r="N140">
        <v>2</v>
      </c>
      <c r="O140" s="3">
        <v>21.57</v>
      </c>
      <c r="P140" s="3">
        <v>26.96</v>
      </c>
      <c r="Q140" s="6">
        <v>0.1</v>
      </c>
      <c r="R140" s="3">
        <v>48.527999999999999</v>
      </c>
      <c r="S140" t="s">
        <v>829</v>
      </c>
    </row>
    <row r="141" spans="1:19" x14ac:dyDescent="0.35">
      <c r="A141" t="s">
        <v>1207</v>
      </c>
      <c r="B141" t="s">
        <v>467</v>
      </c>
      <c r="C141" s="5">
        <v>46033</v>
      </c>
      <c r="E141" t="s">
        <v>468</v>
      </c>
      <c r="F141" t="s">
        <v>627</v>
      </c>
      <c r="G141" t="s">
        <v>235</v>
      </c>
      <c r="H141" t="s">
        <v>14</v>
      </c>
      <c r="I141" t="s">
        <v>43</v>
      </c>
      <c r="J141" t="s">
        <v>161</v>
      </c>
      <c r="K141" t="s">
        <v>798</v>
      </c>
      <c r="L141" t="s">
        <v>817</v>
      </c>
      <c r="M141" t="s">
        <v>842</v>
      </c>
      <c r="N141">
        <v>3</v>
      </c>
      <c r="O141" s="3">
        <v>21.74</v>
      </c>
      <c r="P141" s="3">
        <v>30.44</v>
      </c>
      <c r="Q141" s="6">
        <v>0</v>
      </c>
      <c r="R141" s="3">
        <v>91.320000000000007</v>
      </c>
      <c r="S141" t="s">
        <v>869</v>
      </c>
    </row>
    <row r="142" spans="1:19" x14ac:dyDescent="0.35">
      <c r="A142" t="s">
        <v>1209</v>
      </c>
      <c r="B142" t="s">
        <v>244</v>
      </c>
      <c r="C142" s="5">
        <v>45798</v>
      </c>
      <c r="D142" s="5">
        <v>45807</v>
      </c>
      <c r="E142" t="s">
        <v>245</v>
      </c>
      <c r="F142" t="s">
        <v>674</v>
      </c>
      <c r="G142" t="s">
        <v>235</v>
      </c>
      <c r="H142" t="s">
        <v>20</v>
      </c>
      <c r="I142" t="s">
        <v>79</v>
      </c>
      <c r="J142" t="s">
        <v>166</v>
      </c>
      <c r="K142" t="s">
        <v>786</v>
      </c>
      <c r="L142" t="s">
        <v>799</v>
      </c>
      <c r="M142" t="s">
        <v>788</v>
      </c>
      <c r="N142">
        <v>2</v>
      </c>
      <c r="O142" s="3">
        <v>15.73</v>
      </c>
      <c r="P142" s="3">
        <v>19.66</v>
      </c>
      <c r="Q142" s="6">
        <v>0</v>
      </c>
      <c r="R142" s="3">
        <v>39.32</v>
      </c>
      <c r="S142" t="s">
        <v>946</v>
      </c>
    </row>
    <row r="143" spans="1:19" x14ac:dyDescent="0.35">
      <c r="A143" t="s">
        <v>1211</v>
      </c>
      <c r="B143" t="s">
        <v>557</v>
      </c>
      <c r="C143" s="5">
        <v>45820</v>
      </c>
      <c r="D143" s="5">
        <v>45827</v>
      </c>
      <c r="E143" t="s">
        <v>558</v>
      </c>
      <c r="F143" t="s">
        <v>674</v>
      </c>
      <c r="G143" t="s">
        <v>235</v>
      </c>
      <c r="H143" t="s">
        <v>14</v>
      </c>
      <c r="I143" t="s">
        <v>29</v>
      </c>
      <c r="J143" t="s">
        <v>183</v>
      </c>
      <c r="K143" t="s">
        <v>798</v>
      </c>
      <c r="L143" t="s">
        <v>799</v>
      </c>
      <c r="M143" t="s">
        <v>788</v>
      </c>
      <c r="N143">
        <v>12</v>
      </c>
      <c r="O143" s="3">
        <v>10.97</v>
      </c>
      <c r="P143" s="3">
        <v>15.91</v>
      </c>
      <c r="Q143" s="6">
        <v>0</v>
      </c>
      <c r="R143" s="3">
        <v>190.92000000000002</v>
      </c>
      <c r="S143" t="s">
        <v>1017</v>
      </c>
    </row>
    <row r="144" spans="1:19" x14ac:dyDescent="0.35">
      <c r="A144" t="s">
        <v>1213</v>
      </c>
      <c r="B144" t="s">
        <v>469</v>
      </c>
      <c r="C144" s="5">
        <v>45653</v>
      </c>
      <c r="D144" s="5">
        <v>45662</v>
      </c>
      <c r="E144" t="s">
        <v>470</v>
      </c>
      <c r="F144" t="s">
        <v>627</v>
      </c>
      <c r="G144" t="s">
        <v>235</v>
      </c>
      <c r="H144" t="s">
        <v>797</v>
      </c>
      <c r="I144" t="s">
        <v>43</v>
      </c>
      <c r="J144" t="s">
        <v>53</v>
      </c>
      <c r="K144" t="s">
        <v>813</v>
      </c>
      <c r="L144" t="s">
        <v>799</v>
      </c>
      <c r="M144" t="s">
        <v>842</v>
      </c>
      <c r="N144">
        <v>12</v>
      </c>
      <c r="O144" s="3">
        <v>54.93</v>
      </c>
      <c r="P144" s="3">
        <v>79.650000000000006</v>
      </c>
      <c r="Q144" s="6">
        <v>0.1</v>
      </c>
      <c r="R144" s="3">
        <v>860.22</v>
      </c>
      <c r="S144" t="s">
        <v>859</v>
      </c>
    </row>
    <row r="145" spans="1:19" x14ac:dyDescent="0.35">
      <c r="A145" t="s">
        <v>1217</v>
      </c>
      <c r="B145" t="s">
        <v>444</v>
      </c>
      <c r="C145" s="5">
        <v>45888</v>
      </c>
      <c r="E145" t="s">
        <v>445</v>
      </c>
      <c r="F145" t="s">
        <v>637</v>
      </c>
      <c r="G145" t="s">
        <v>264</v>
      </c>
      <c r="H145" t="s">
        <v>797</v>
      </c>
      <c r="I145" t="s">
        <v>43</v>
      </c>
      <c r="J145" t="s">
        <v>41</v>
      </c>
      <c r="K145" t="s">
        <v>798</v>
      </c>
      <c r="L145" t="s">
        <v>793</v>
      </c>
      <c r="M145" t="s">
        <v>818</v>
      </c>
      <c r="N145">
        <v>3</v>
      </c>
      <c r="O145" s="3">
        <v>18.010000000000002</v>
      </c>
      <c r="P145" s="3">
        <v>22.51</v>
      </c>
      <c r="Q145" s="6">
        <v>0.1</v>
      </c>
      <c r="R145" s="3">
        <v>60.777000000000001</v>
      </c>
      <c r="S145" t="s">
        <v>839</v>
      </c>
    </row>
    <row r="146" spans="1:19" x14ac:dyDescent="0.35">
      <c r="A146" t="s">
        <v>1218</v>
      </c>
      <c r="B146" t="s">
        <v>471</v>
      </c>
      <c r="C146" s="5">
        <v>45559</v>
      </c>
      <c r="E146" t="s">
        <v>472</v>
      </c>
      <c r="F146" t="s">
        <v>627</v>
      </c>
      <c r="G146" t="s">
        <v>235</v>
      </c>
      <c r="H146" t="s">
        <v>797</v>
      </c>
      <c r="I146" t="s">
        <v>14</v>
      </c>
      <c r="J146" t="s">
        <v>30</v>
      </c>
      <c r="K146" t="s">
        <v>813</v>
      </c>
      <c r="L146" t="s">
        <v>793</v>
      </c>
      <c r="M146" t="s">
        <v>842</v>
      </c>
      <c r="N146">
        <v>3</v>
      </c>
      <c r="O146" s="3">
        <v>19.010000000000002</v>
      </c>
      <c r="P146" s="3">
        <v>27.56</v>
      </c>
      <c r="Q146" s="6">
        <v>0.1</v>
      </c>
      <c r="R146" s="3">
        <v>74.411999999999992</v>
      </c>
      <c r="S146" t="s">
        <v>1017</v>
      </c>
    </row>
    <row r="147" spans="1:19" x14ac:dyDescent="0.35">
      <c r="A147" t="s">
        <v>1221</v>
      </c>
      <c r="B147" t="s">
        <v>401</v>
      </c>
      <c r="C147" s="5">
        <v>45842</v>
      </c>
      <c r="D147" s="5">
        <v>45850</v>
      </c>
      <c r="E147" t="s">
        <v>402</v>
      </c>
      <c r="F147" t="s">
        <v>681</v>
      </c>
      <c r="G147" t="s">
        <v>243</v>
      </c>
      <c r="H147" t="s">
        <v>797</v>
      </c>
      <c r="I147" t="s">
        <v>43</v>
      </c>
      <c r="J147" t="s">
        <v>200</v>
      </c>
      <c r="K147" t="s">
        <v>798</v>
      </c>
      <c r="L147" t="s">
        <v>799</v>
      </c>
      <c r="M147" t="s">
        <v>788</v>
      </c>
      <c r="N147">
        <v>2</v>
      </c>
      <c r="O147" s="3">
        <v>69.23</v>
      </c>
      <c r="P147" s="3">
        <v>86.54</v>
      </c>
      <c r="Q147" s="6">
        <v>0</v>
      </c>
      <c r="R147" s="3">
        <v>173.08</v>
      </c>
      <c r="S147" t="s">
        <v>845</v>
      </c>
    </row>
    <row r="148" spans="1:19" x14ac:dyDescent="0.35">
      <c r="A148" t="s">
        <v>1222</v>
      </c>
      <c r="B148" t="s">
        <v>502</v>
      </c>
      <c r="C148" s="5">
        <v>45892</v>
      </c>
      <c r="D148" s="5">
        <v>45896</v>
      </c>
      <c r="E148" t="s">
        <v>503</v>
      </c>
      <c r="F148" t="s">
        <v>254</v>
      </c>
      <c r="G148" t="s">
        <v>235</v>
      </c>
      <c r="H148" t="s">
        <v>797</v>
      </c>
      <c r="I148" t="s">
        <v>38</v>
      </c>
      <c r="J148" t="s">
        <v>126</v>
      </c>
      <c r="K148" t="s">
        <v>798</v>
      </c>
      <c r="L148" t="s">
        <v>799</v>
      </c>
      <c r="M148" t="s">
        <v>788</v>
      </c>
      <c r="N148">
        <v>10</v>
      </c>
      <c r="O148" s="3">
        <v>41.95</v>
      </c>
      <c r="P148" s="3">
        <v>58.73</v>
      </c>
      <c r="Q148" s="6">
        <v>0.15</v>
      </c>
      <c r="R148" s="3">
        <v>499.20499999999998</v>
      </c>
      <c r="S148" t="s">
        <v>1001</v>
      </c>
    </row>
    <row r="149" spans="1:19" x14ac:dyDescent="0.35">
      <c r="A149" t="s">
        <v>1226</v>
      </c>
      <c r="B149" t="s">
        <v>448</v>
      </c>
      <c r="C149" s="5">
        <v>45615</v>
      </c>
      <c r="E149" t="s">
        <v>427</v>
      </c>
      <c r="F149" t="s">
        <v>627</v>
      </c>
      <c r="G149" t="s">
        <v>243</v>
      </c>
      <c r="H149" t="s">
        <v>14</v>
      </c>
      <c r="I149" t="s">
        <v>43</v>
      </c>
      <c r="J149" t="s">
        <v>44</v>
      </c>
      <c r="K149" t="s">
        <v>798</v>
      </c>
      <c r="L149" t="s">
        <v>793</v>
      </c>
      <c r="M149" t="s">
        <v>800</v>
      </c>
      <c r="N149">
        <v>20</v>
      </c>
      <c r="O149" s="3">
        <v>14.05</v>
      </c>
      <c r="P149" s="3">
        <v>19.670000000000002</v>
      </c>
      <c r="Q149" s="6">
        <v>0</v>
      </c>
      <c r="R149" s="3">
        <v>393.40000000000003</v>
      </c>
      <c r="S149" t="s">
        <v>935</v>
      </c>
    </row>
    <row r="150" spans="1:19" x14ac:dyDescent="0.35">
      <c r="A150" t="s">
        <v>1227</v>
      </c>
      <c r="B150" t="s">
        <v>306</v>
      </c>
      <c r="C150" s="5">
        <v>45981</v>
      </c>
      <c r="E150" t="s">
        <v>307</v>
      </c>
      <c r="F150" t="s">
        <v>627</v>
      </c>
      <c r="H150" t="s">
        <v>48</v>
      </c>
      <c r="I150" t="s">
        <v>29</v>
      </c>
      <c r="J150" t="s">
        <v>121</v>
      </c>
      <c r="K150" t="s">
        <v>798</v>
      </c>
      <c r="L150" t="s">
        <v>793</v>
      </c>
      <c r="M150" t="s">
        <v>800</v>
      </c>
      <c r="N150">
        <v>3</v>
      </c>
      <c r="O150" s="3">
        <v>15.46</v>
      </c>
      <c r="P150" s="3">
        <v>22.42</v>
      </c>
      <c r="Q150" s="6">
        <v>0</v>
      </c>
      <c r="R150" s="3">
        <v>67.260000000000005</v>
      </c>
      <c r="S150" t="s">
        <v>825</v>
      </c>
    </row>
    <row r="151" spans="1:19" x14ac:dyDescent="0.35">
      <c r="A151" t="s">
        <v>1228</v>
      </c>
      <c r="B151" t="s">
        <v>601</v>
      </c>
      <c r="C151" s="5">
        <v>45486</v>
      </c>
      <c r="E151" t="s">
        <v>602</v>
      </c>
      <c r="F151" t="s">
        <v>674</v>
      </c>
      <c r="G151" t="s">
        <v>235</v>
      </c>
      <c r="H151" t="s">
        <v>797</v>
      </c>
      <c r="I151" t="s">
        <v>8</v>
      </c>
      <c r="J151" t="s">
        <v>10</v>
      </c>
      <c r="K151" t="s">
        <v>798</v>
      </c>
      <c r="L151" t="s">
        <v>793</v>
      </c>
      <c r="M151" t="s">
        <v>788</v>
      </c>
      <c r="N151">
        <v>1</v>
      </c>
      <c r="O151" s="3">
        <v>22.74</v>
      </c>
      <c r="P151" s="3">
        <v>28.42</v>
      </c>
      <c r="Q151" s="6">
        <v>0</v>
      </c>
      <c r="R151" s="3">
        <v>28.42</v>
      </c>
      <c r="S151" t="s">
        <v>794</v>
      </c>
    </row>
    <row r="152" spans="1:19" x14ac:dyDescent="0.35">
      <c r="A152" t="s">
        <v>1230</v>
      </c>
      <c r="B152" t="s">
        <v>354</v>
      </c>
      <c r="C152" s="5">
        <v>45925</v>
      </c>
      <c r="D152" s="5">
        <v>45934</v>
      </c>
      <c r="E152" t="s">
        <v>321</v>
      </c>
      <c r="F152" t="s">
        <v>637</v>
      </c>
      <c r="G152" t="s">
        <v>243</v>
      </c>
      <c r="H152" t="s">
        <v>797</v>
      </c>
      <c r="I152" t="s">
        <v>20</v>
      </c>
      <c r="J152" t="s">
        <v>18</v>
      </c>
      <c r="K152" t="s">
        <v>786</v>
      </c>
      <c r="L152" t="s">
        <v>799</v>
      </c>
      <c r="M152" t="s">
        <v>818</v>
      </c>
      <c r="N152">
        <v>1</v>
      </c>
      <c r="O152" s="3">
        <v>21.57</v>
      </c>
      <c r="P152" s="3">
        <v>26.96</v>
      </c>
      <c r="Q152" s="6">
        <v>0.1</v>
      </c>
      <c r="R152" s="3">
        <v>24.263999999999999</v>
      </c>
      <c r="S152" t="s">
        <v>839</v>
      </c>
    </row>
    <row r="153" spans="1:19" x14ac:dyDescent="0.35">
      <c r="A153" t="s">
        <v>1232</v>
      </c>
      <c r="B153" t="s">
        <v>455</v>
      </c>
      <c r="C153" s="5">
        <v>45335</v>
      </c>
      <c r="D153" s="5">
        <v>45344</v>
      </c>
      <c r="E153" t="s">
        <v>456</v>
      </c>
      <c r="F153" t="s">
        <v>627</v>
      </c>
      <c r="G153" t="s">
        <v>264</v>
      </c>
      <c r="H153" t="s">
        <v>797</v>
      </c>
      <c r="I153" t="s">
        <v>79</v>
      </c>
      <c r="J153" t="s">
        <v>166</v>
      </c>
      <c r="K153" t="s">
        <v>786</v>
      </c>
      <c r="L153" t="s">
        <v>822</v>
      </c>
      <c r="M153" t="s">
        <v>800</v>
      </c>
      <c r="N153">
        <v>10</v>
      </c>
      <c r="O153" s="3">
        <v>15.73</v>
      </c>
      <c r="P153" s="3">
        <v>19.66</v>
      </c>
      <c r="Q153" s="6">
        <v>0.05</v>
      </c>
      <c r="R153" s="3">
        <v>186.76999999999998</v>
      </c>
      <c r="S153" t="s">
        <v>810</v>
      </c>
    </row>
    <row r="154" spans="1:19" x14ac:dyDescent="0.35">
      <c r="A154" t="s">
        <v>1235</v>
      </c>
      <c r="B154" t="s">
        <v>386</v>
      </c>
      <c r="C154" s="5">
        <v>45578</v>
      </c>
      <c r="D154" s="5">
        <v>45587</v>
      </c>
      <c r="E154" t="s">
        <v>387</v>
      </c>
      <c r="F154" t="s">
        <v>637</v>
      </c>
      <c r="G154" t="s">
        <v>243</v>
      </c>
      <c r="H154" t="s">
        <v>14</v>
      </c>
      <c r="I154" t="s">
        <v>8</v>
      </c>
      <c r="J154" t="s">
        <v>129</v>
      </c>
      <c r="K154" t="s">
        <v>813</v>
      </c>
      <c r="L154" t="s">
        <v>799</v>
      </c>
      <c r="M154" t="s">
        <v>818</v>
      </c>
      <c r="N154">
        <v>10</v>
      </c>
      <c r="O154" s="3">
        <v>22.15</v>
      </c>
      <c r="P154" s="3">
        <v>31.01</v>
      </c>
      <c r="Q154" s="6">
        <v>0.1</v>
      </c>
      <c r="R154" s="3">
        <v>279.09000000000003</v>
      </c>
      <c r="S154" t="s">
        <v>829</v>
      </c>
    </row>
    <row r="155" spans="1:19" x14ac:dyDescent="0.35">
      <c r="A155" t="s">
        <v>1237</v>
      </c>
      <c r="B155" t="s">
        <v>582</v>
      </c>
      <c r="C155" s="5">
        <v>45647</v>
      </c>
      <c r="D155" s="5">
        <v>45648</v>
      </c>
      <c r="E155" t="s">
        <v>583</v>
      </c>
      <c r="F155" t="s">
        <v>637</v>
      </c>
      <c r="G155" t="s">
        <v>264</v>
      </c>
      <c r="H155" t="s">
        <v>797</v>
      </c>
      <c r="I155" t="s">
        <v>14</v>
      </c>
      <c r="J155" t="s">
        <v>138</v>
      </c>
      <c r="K155" t="s">
        <v>786</v>
      </c>
      <c r="L155" t="s">
        <v>799</v>
      </c>
      <c r="M155" t="s">
        <v>818</v>
      </c>
      <c r="N155">
        <v>2</v>
      </c>
      <c r="O155" s="3">
        <v>42.6</v>
      </c>
      <c r="P155" s="3">
        <v>59.64</v>
      </c>
      <c r="Q155" s="6">
        <v>0</v>
      </c>
      <c r="R155" s="3">
        <v>119.28</v>
      </c>
      <c r="S155" t="s">
        <v>1001</v>
      </c>
    </row>
    <row r="156" spans="1:19" x14ac:dyDescent="0.35">
      <c r="A156" t="s">
        <v>1240</v>
      </c>
      <c r="B156" t="s">
        <v>459</v>
      </c>
      <c r="C156" s="5">
        <v>45304</v>
      </c>
      <c r="D156" s="5">
        <v>45308</v>
      </c>
      <c r="E156" t="s">
        <v>460</v>
      </c>
      <c r="F156" t="s">
        <v>627</v>
      </c>
      <c r="G156" t="s">
        <v>264</v>
      </c>
      <c r="H156" t="s">
        <v>797</v>
      </c>
      <c r="I156" t="s">
        <v>38</v>
      </c>
      <c r="J156" t="s">
        <v>156</v>
      </c>
      <c r="K156" t="s">
        <v>798</v>
      </c>
      <c r="L156" t="s">
        <v>799</v>
      </c>
      <c r="M156" t="s">
        <v>788</v>
      </c>
      <c r="N156">
        <v>1</v>
      </c>
      <c r="O156" s="3">
        <v>20.81</v>
      </c>
      <c r="P156" s="3">
        <v>29.13</v>
      </c>
      <c r="Q156" s="6">
        <v>0.1</v>
      </c>
      <c r="R156" s="3">
        <v>26.216999999999999</v>
      </c>
      <c r="S156" t="s">
        <v>1017</v>
      </c>
    </row>
    <row r="157" spans="1:19" x14ac:dyDescent="0.35">
      <c r="A157" t="s">
        <v>1244</v>
      </c>
      <c r="B157" t="s">
        <v>556</v>
      </c>
      <c r="C157" s="5">
        <v>45567</v>
      </c>
      <c r="E157" t="s">
        <v>472</v>
      </c>
      <c r="F157" t="s">
        <v>633</v>
      </c>
      <c r="G157" t="s">
        <v>235</v>
      </c>
      <c r="H157" t="s">
        <v>797</v>
      </c>
      <c r="I157" t="s">
        <v>48</v>
      </c>
      <c r="J157" t="s">
        <v>84</v>
      </c>
      <c r="K157" t="s">
        <v>798</v>
      </c>
      <c r="L157" t="s">
        <v>793</v>
      </c>
      <c r="M157" t="s">
        <v>800</v>
      </c>
      <c r="N157">
        <v>5</v>
      </c>
      <c r="O157" s="3">
        <v>27.52</v>
      </c>
      <c r="P157" s="3">
        <v>34.4</v>
      </c>
      <c r="Q157" s="6">
        <v>0</v>
      </c>
      <c r="R157" s="3">
        <v>172</v>
      </c>
      <c r="S157" t="s">
        <v>935</v>
      </c>
    </row>
    <row r="158" spans="1:19" x14ac:dyDescent="0.35">
      <c r="A158" t="s">
        <v>1245</v>
      </c>
      <c r="B158" t="s">
        <v>367</v>
      </c>
      <c r="C158" s="5">
        <v>45578</v>
      </c>
      <c r="E158" t="s">
        <v>368</v>
      </c>
      <c r="F158" t="s">
        <v>627</v>
      </c>
      <c r="G158" t="s">
        <v>264</v>
      </c>
      <c r="H158" t="s">
        <v>797</v>
      </c>
      <c r="I158" t="s">
        <v>43</v>
      </c>
      <c r="J158" t="s">
        <v>41</v>
      </c>
      <c r="K158" t="s">
        <v>798</v>
      </c>
      <c r="L158" t="s">
        <v>793</v>
      </c>
      <c r="M158" t="s">
        <v>842</v>
      </c>
      <c r="N158">
        <v>2</v>
      </c>
      <c r="O158" s="3">
        <v>18.010000000000002</v>
      </c>
      <c r="P158" s="3">
        <v>22.51</v>
      </c>
      <c r="Q158" s="6">
        <v>0.15</v>
      </c>
      <c r="R158" s="3">
        <v>38.267000000000003</v>
      </c>
      <c r="S158" t="s">
        <v>1017</v>
      </c>
    </row>
    <row r="159" spans="1:19" x14ac:dyDescent="0.35">
      <c r="A159" t="s">
        <v>1246</v>
      </c>
      <c r="B159" t="s">
        <v>481</v>
      </c>
      <c r="C159" s="5">
        <v>45533</v>
      </c>
      <c r="D159" s="5">
        <v>45536</v>
      </c>
      <c r="E159" t="s">
        <v>482</v>
      </c>
      <c r="F159" t="s">
        <v>637</v>
      </c>
      <c r="G159" t="s">
        <v>264</v>
      </c>
      <c r="H159" t="s">
        <v>797</v>
      </c>
      <c r="I159" t="s">
        <v>48</v>
      </c>
      <c r="J159" t="s">
        <v>219</v>
      </c>
      <c r="K159" t="s">
        <v>813</v>
      </c>
      <c r="L159" t="s">
        <v>822</v>
      </c>
      <c r="M159" t="s">
        <v>788</v>
      </c>
      <c r="N159">
        <v>5</v>
      </c>
      <c r="O159" s="3">
        <v>12.9</v>
      </c>
      <c r="P159" s="3">
        <v>18.7</v>
      </c>
      <c r="Q159" s="6">
        <v>0.05</v>
      </c>
      <c r="R159" s="3">
        <v>88.825000000000003</v>
      </c>
      <c r="S159" t="s">
        <v>839</v>
      </c>
    </row>
    <row r="160" spans="1:19" x14ac:dyDescent="0.35">
      <c r="A160" t="s">
        <v>1249</v>
      </c>
      <c r="B160" t="s">
        <v>343</v>
      </c>
      <c r="C160" s="5">
        <v>45723</v>
      </c>
      <c r="E160" t="s">
        <v>344</v>
      </c>
      <c r="F160" t="s">
        <v>637</v>
      </c>
      <c r="G160" t="s">
        <v>235</v>
      </c>
      <c r="H160" t="s">
        <v>14</v>
      </c>
      <c r="I160" t="s">
        <v>43</v>
      </c>
      <c r="J160" t="s">
        <v>75</v>
      </c>
      <c r="K160" t="s">
        <v>798</v>
      </c>
      <c r="L160" t="s">
        <v>793</v>
      </c>
      <c r="M160" t="s">
        <v>818</v>
      </c>
      <c r="N160">
        <v>12</v>
      </c>
      <c r="O160" s="3">
        <v>24.35</v>
      </c>
      <c r="P160" s="3">
        <v>34.090000000000003</v>
      </c>
      <c r="Q160" s="6">
        <v>0</v>
      </c>
      <c r="R160" s="3">
        <v>409.08000000000004</v>
      </c>
      <c r="S160" t="s">
        <v>1017</v>
      </c>
    </row>
    <row r="161" spans="1:19" x14ac:dyDescent="0.35">
      <c r="A161" t="s">
        <v>1251</v>
      </c>
      <c r="B161" t="s">
        <v>281</v>
      </c>
      <c r="C161" s="5">
        <v>45867</v>
      </c>
      <c r="E161" t="s">
        <v>282</v>
      </c>
      <c r="F161" t="s">
        <v>696</v>
      </c>
      <c r="G161" t="s">
        <v>243</v>
      </c>
      <c r="H161" t="s">
        <v>797</v>
      </c>
      <c r="I161" t="s">
        <v>29</v>
      </c>
      <c r="J161" t="s">
        <v>176</v>
      </c>
      <c r="K161" t="s">
        <v>813</v>
      </c>
      <c r="L161" t="s">
        <v>793</v>
      </c>
      <c r="M161" t="s">
        <v>800</v>
      </c>
      <c r="N161">
        <v>12</v>
      </c>
      <c r="O161" s="3">
        <v>25.88</v>
      </c>
      <c r="P161" s="3">
        <v>36.229999999999997</v>
      </c>
      <c r="Q161" s="6">
        <v>0.05</v>
      </c>
      <c r="R161" s="3">
        <v>413.02199999999999</v>
      </c>
      <c r="S161" t="s">
        <v>869</v>
      </c>
    </row>
    <row r="162" spans="1:19" x14ac:dyDescent="0.35">
      <c r="A162" t="s">
        <v>1254</v>
      </c>
      <c r="B162" t="s">
        <v>604</v>
      </c>
      <c r="C162" s="5">
        <v>45390</v>
      </c>
      <c r="D162" s="5">
        <v>45397</v>
      </c>
      <c r="E162" t="s">
        <v>431</v>
      </c>
      <c r="F162" t="s">
        <v>633</v>
      </c>
      <c r="G162" t="s">
        <v>243</v>
      </c>
      <c r="H162" t="s">
        <v>797</v>
      </c>
      <c r="I162" t="s">
        <v>20</v>
      </c>
      <c r="J162" t="s">
        <v>18</v>
      </c>
      <c r="K162" t="s">
        <v>798</v>
      </c>
      <c r="L162" t="s">
        <v>799</v>
      </c>
      <c r="M162" t="s">
        <v>800</v>
      </c>
      <c r="N162">
        <v>3</v>
      </c>
      <c r="O162" s="3">
        <v>21.57</v>
      </c>
      <c r="P162" s="3">
        <v>26.96</v>
      </c>
      <c r="Q162" s="6">
        <v>0</v>
      </c>
      <c r="R162" s="3">
        <v>80.88</v>
      </c>
      <c r="S162" t="s">
        <v>839</v>
      </c>
    </row>
    <row r="163" spans="1:19" x14ac:dyDescent="0.35">
      <c r="A163" t="s">
        <v>1257</v>
      </c>
      <c r="B163" t="s">
        <v>579</v>
      </c>
      <c r="C163" s="5">
        <v>45416</v>
      </c>
      <c r="D163" s="5">
        <v>45422</v>
      </c>
      <c r="E163" t="s">
        <v>514</v>
      </c>
      <c r="F163" t="s">
        <v>627</v>
      </c>
      <c r="G163" t="s">
        <v>243</v>
      </c>
      <c r="H163" t="s">
        <v>797</v>
      </c>
      <c r="I163" t="s">
        <v>29</v>
      </c>
      <c r="J163" t="s">
        <v>145</v>
      </c>
      <c r="K163" t="s">
        <v>798</v>
      </c>
      <c r="L163" t="s">
        <v>799</v>
      </c>
      <c r="M163" t="s">
        <v>788</v>
      </c>
      <c r="N163">
        <v>1</v>
      </c>
      <c r="O163" s="3">
        <v>57.16</v>
      </c>
      <c r="P163" s="3">
        <v>82.88</v>
      </c>
      <c r="Q163" s="6">
        <v>0</v>
      </c>
      <c r="R163" s="3">
        <v>82.88</v>
      </c>
      <c r="S163" t="s">
        <v>814</v>
      </c>
    </row>
    <row r="164" spans="1:19" x14ac:dyDescent="0.35">
      <c r="A164" t="s">
        <v>1259</v>
      </c>
      <c r="B164" t="s">
        <v>504</v>
      </c>
      <c r="C164" s="5">
        <v>45981</v>
      </c>
      <c r="E164" t="s">
        <v>505</v>
      </c>
      <c r="F164" t="s">
        <v>637</v>
      </c>
      <c r="G164" t="s">
        <v>264</v>
      </c>
      <c r="H164" t="s">
        <v>20</v>
      </c>
      <c r="I164" t="s">
        <v>48</v>
      </c>
      <c r="J164" t="s">
        <v>219</v>
      </c>
      <c r="K164" t="s">
        <v>786</v>
      </c>
      <c r="L164" t="s">
        <v>793</v>
      </c>
      <c r="M164" t="s">
        <v>800</v>
      </c>
      <c r="N164">
        <v>20</v>
      </c>
      <c r="O164" s="3">
        <v>12.9</v>
      </c>
      <c r="P164" s="3">
        <v>18.7</v>
      </c>
      <c r="Q164" s="6">
        <v>0.05</v>
      </c>
      <c r="R164" s="3">
        <v>355.3</v>
      </c>
      <c r="S164" t="s">
        <v>869</v>
      </c>
    </row>
    <row r="165" spans="1:19" x14ac:dyDescent="0.35">
      <c r="A165" t="s">
        <v>1261</v>
      </c>
      <c r="B165" t="s">
        <v>565</v>
      </c>
      <c r="C165" s="5">
        <v>45440</v>
      </c>
      <c r="D165" s="5">
        <v>45443</v>
      </c>
      <c r="E165" t="s">
        <v>566</v>
      </c>
      <c r="F165" t="s">
        <v>637</v>
      </c>
      <c r="H165" t="s">
        <v>48</v>
      </c>
      <c r="I165" t="s">
        <v>14</v>
      </c>
      <c r="J165" t="s">
        <v>60</v>
      </c>
      <c r="K165" t="s">
        <v>798</v>
      </c>
      <c r="L165" t="s">
        <v>799</v>
      </c>
      <c r="M165" t="s">
        <v>818</v>
      </c>
      <c r="N165">
        <v>2</v>
      </c>
      <c r="O165" s="3">
        <v>18.18</v>
      </c>
      <c r="P165" s="3">
        <v>24.54</v>
      </c>
      <c r="Q165" s="6">
        <v>0</v>
      </c>
      <c r="R165" s="3">
        <v>49.08</v>
      </c>
      <c r="S165" t="s">
        <v>834</v>
      </c>
    </row>
    <row r="166" spans="1:19" x14ac:dyDescent="0.35">
      <c r="A166" t="s">
        <v>1265</v>
      </c>
      <c r="B166" t="s">
        <v>430</v>
      </c>
      <c r="C166" s="5">
        <v>45643</v>
      </c>
      <c r="D166" s="5">
        <v>45649</v>
      </c>
      <c r="E166" t="s">
        <v>431</v>
      </c>
      <c r="F166" t="s">
        <v>633</v>
      </c>
      <c r="G166" t="s">
        <v>264</v>
      </c>
      <c r="H166" t="s">
        <v>14</v>
      </c>
      <c r="I166" t="s">
        <v>43</v>
      </c>
      <c r="J166" t="s">
        <v>222</v>
      </c>
      <c r="K166" t="s">
        <v>798</v>
      </c>
      <c r="L166" t="s">
        <v>799</v>
      </c>
      <c r="M166" t="s">
        <v>818</v>
      </c>
      <c r="N166">
        <v>5</v>
      </c>
      <c r="O166" s="3">
        <v>37.1</v>
      </c>
      <c r="P166" s="3">
        <v>48.23</v>
      </c>
      <c r="Q166" s="6">
        <v>0</v>
      </c>
      <c r="R166" s="3">
        <v>241.14999999999998</v>
      </c>
      <c r="S166" t="s">
        <v>845</v>
      </c>
    </row>
    <row r="167" spans="1:19" x14ac:dyDescent="0.35">
      <c r="A167" t="s">
        <v>1267</v>
      </c>
      <c r="B167" t="s">
        <v>491</v>
      </c>
      <c r="C167" s="5">
        <v>45893</v>
      </c>
      <c r="E167" t="s">
        <v>492</v>
      </c>
      <c r="F167" t="s">
        <v>696</v>
      </c>
      <c r="G167" t="s">
        <v>264</v>
      </c>
      <c r="H167" t="s">
        <v>797</v>
      </c>
      <c r="I167" t="s">
        <v>48</v>
      </c>
      <c r="J167" t="s">
        <v>217</v>
      </c>
      <c r="K167" t="s">
        <v>786</v>
      </c>
      <c r="L167" t="s">
        <v>787</v>
      </c>
      <c r="M167" t="s">
        <v>788</v>
      </c>
      <c r="N167">
        <v>1</v>
      </c>
      <c r="O167" s="3">
        <v>24.07</v>
      </c>
      <c r="P167" s="3">
        <v>34.9</v>
      </c>
      <c r="Q167" s="6">
        <v>0.15</v>
      </c>
      <c r="R167" s="3">
        <v>29.664999999999999</v>
      </c>
      <c r="S167" t="s">
        <v>1017</v>
      </c>
    </row>
    <row r="168" spans="1:19" x14ac:dyDescent="0.35">
      <c r="A168" t="s">
        <v>1269</v>
      </c>
      <c r="B168" t="s">
        <v>379</v>
      </c>
      <c r="C168" s="5">
        <v>46053</v>
      </c>
      <c r="D168" s="5">
        <v>46054</v>
      </c>
      <c r="E168" t="s">
        <v>380</v>
      </c>
      <c r="F168" t="s">
        <v>674</v>
      </c>
      <c r="G168" t="s">
        <v>264</v>
      </c>
      <c r="H168" t="s">
        <v>797</v>
      </c>
      <c r="I168" t="s">
        <v>29</v>
      </c>
      <c r="J168" t="s">
        <v>106</v>
      </c>
      <c r="K168" t="s">
        <v>813</v>
      </c>
      <c r="L168" t="s">
        <v>822</v>
      </c>
      <c r="M168" t="s">
        <v>818</v>
      </c>
      <c r="N168">
        <v>3</v>
      </c>
      <c r="O168" s="3">
        <v>29.64</v>
      </c>
      <c r="P168" s="3">
        <v>41.5</v>
      </c>
      <c r="Q168" s="6">
        <v>0.1</v>
      </c>
      <c r="R168" s="3">
        <v>112.05</v>
      </c>
      <c r="S168" t="s">
        <v>829</v>
      </c>
    </row>
    <row r="169" spans="1:19" x14ac:dyDescent="0.35">
      <c r="A169" t="s">
        <v>1270</v>
      </c>
      <c r="B169" t="s">
        <v>611</v>
      </c>
      <c r="C169" s="5">
        <v>45698</v>
      </c>
      <c r="E169" t="s">
        <v>287</v>
      </c>
      <c r="F169" t="s">
        <v>254</v>
      </c>
      <c r="G169" t="s">
        <v>235</v>
      </c>
      <c r="H169" t="s">
        <v>797</v>
      </c>
      <c r="I169" t="s">
        <v>48</v>
      </c>
      <c r="J169" t="s">
        <v>177</v>
      </c>
      <c r="K169" t="s">
        <v>798</v>
      </c>
      <c r="L169" t="s">
        <v>787</v>
      </c>
      <c r="M169" t="s">
        <v>818</v>
      </c>
      <c r="N169">
        <v>2</v>
      </c>
      <c r="O169" s="3">
        <v>41.79</v>
      </c>
      <c r="P169" s="3">
        <v>60.6</v>
      </c>
      <c r="Q169" s="6">
        <v>0</v>
      </c>
      <c r="R169" s="3">
        <v>121.2</v>
      </c>
      <c r="S169" t="s">
        <v>794</v>
      </c>
    </row>
    <row r="170" spans="1:19" x14ac:dyDescent="0.35">
      <c r="A170" t="s">
        <v>1272</v>
      </c>
      <c r="B170" t="s">
        <v>487</v>
      </c>
      <c r="C170" s="5">
        <v>45545</v>
      </c>
      <c r="E170" t="s">
        <v>488</v>
      </c>
      <c r="F170" t="s">
        <v>681</v>
      </c>
      <c r="G170" t="s">
        <v>243</v>
      </c>
      <c r="H170" t="s">
        <v>797</v>
      </c>
      <c r="I170" t="s">
        <v>8</v>
      </c>
      <c r="J170" t="s">
        <v>181</v>
      </c>
      <c r="K170" t="s">
        <v>798</v>
      </c>
      <c r="L170" t="s">
        <v>787</v>
      </c>
      <c r="M170" t="s">
        <v>842</v>
      </c>
      <c r="N170">
        <v>1</v>
      </c>
      <c r="O170" s="3">
        <v>20.49</v>
      </c>
      <c r="P170" s="3">
        <v>29.71</v>
      </c>
      <c r="Q170" s="6">
        <v>0.15</v>
      </c>
      <c r="R170" s="3">
        <v>25.253500000000003</v>
      </c>
      <c r="S170" t="s">
        <v>814</v>
      </c>
    </row>
    <row r="171" spans="1:19" x14ac:dyDescent="0.35">
      <c r="A171" t="s">
        <v>1275</v>
      </c>
      <c r="B171" t="s">
        <v>497</v>
      </c>
      <c r="C171" s="5">
        <v>45625</v>
      </c>
      <c r="D171" s="5">
        <v>45633</v>
      </c>
      <c r="E171" t="s">
        <v>296</v>
      </c>
      <c r="F171" t="s">
        <v>637</v>
      </c>
      <c r="G171" t="s">
        <v>235</v>
      </c>
      <c r="H171" t="s">
        <v>14</v>
      </c>
      <c r="I171" t="s">
        <v>38</v>
      </c>
      <c r="J171" t="s">
        <v>36</v>
      </c>
      <c r="K171" t="s">
        <v>798</v>
      </c>
      <c r="L171" t="s">
        <v>799</v>
      </c>
      <c r="M171" t="s">
        <v>788</v>
      </c>
      <c r="N171">
        <v>2</v>
      </c>
      <c r="O171" s="3">
        <v>8.57</v>
      </c>
      <c r="P171" s="3">
        <v>11.14</v>
      </c>
      <c r="Q171" s="6">
        <v>0.1</v>
      </c>
      <c r="R171" s="3">
        <v>20.052</v>
      </c>
      <c r="S171" t="s">
        <v>946</v>
      </c>
    </row>
    <row r="172" spans="1:19" x14ac:dyDescent="0.35">
      <c r="A172" t="s">
        <v>1279</v>
      </c>
      <c r="B172" t="s">
        <v>538</v>
      </c>
      <c r="C172" s="5">
        <v>45938</v>
      </c>
      <c r="E172" t="s">
        <v>539</v>
      </c>
      <c r="F172" t="s">
        <v>696</v>
      </c>
      <c r="G172" t="s">
        <v>264</v>
      </c>
      <c r="H172" t="s">
        <v>14</v>
      </c>
      <c r="I172" t="s">
        <v>38</v>
      </c>
      <c r="J172" t="s">
        <v>132</v>
      </c>
      <c r="K172" t="s">
        <v>798</v>
      </c>
      <c r="L172" t="s">
        <v>793</v>
      </c>
      <c r="M172" t="s">
        <v>800</v>
      </c>
      <c r="N172">
        <v>1</v>
      </c>
      <c r="O172" s="3">
        <v>12.71</v>
      </c>
      <c r="P172" s="3">
        <v>17.79</v>
      </c>
      <c r="Q172" s="6">
        <v>0.05</v>
      </c>
      <c r="R172" s="3">
        <v>16.900500000000001</v>
      </c>
      <c r="S172" t="s">
        <v>790</v>
      </c>
    </row>
    <row r="173" spans="1:19" x14ac:dyDescent="0.35">
      <c r="A173" t="s">
        <v>1281</v>
      </c>
      <c r="B173" t="s">
        <v>487</v>
      </c>
      <c r="C173" s="5">
        <v>45524</v>
      </c>
      <c r="E173" t="s">
        <v>488</v>
      </c>
      <c r="F173" t="s">
        <v>633</v>
      </c>
      <c r="G173" t="s">
        <v>243</v>
      </c>
      <c r="H173" t="s">
        <v>797</v>
      </c>
      <c r="I173" t="s">
        <v>8</v>
      </c>
      <c r="J173" t="s">
        <v>6</v>
      </c>
      <c r="K173" t="s">
        <v>798</v>
      </c>
      <c r="L173" t="s">
        <v>793</v>
      </c>
      <c r="M173" t="s">
        <v>842</v>
      </c>
      <c r="N173">
        <v>12</v>
      </c>
      <c r="O173" s="3">
        <v>32.24</v>
      </c>
      <c r="P173" s="3">
        <v>41.91</v>
      </c>
      <c r="Q173" s="6">
        <v>0.1</v>
      </c>
      <c r="R173" s="3">
        <v>452.62799999999993</v>
      </c>
      <c r="S173" t="s">
        <v>888</v>
      </c>
    </row>
    <row r="174" spans="1:19" x14ac:dyDescent="0.35">
      <c r="A174" t="s">
        <v>1284</v>
      </c>
      <c r="B174" t="s">
        <v>498</v>
      </c>
      <c r="C174" s="5">
        <v>45644</v>
      </c>
      <c r="D174" s="5">
        <v>45651</v>
      </c>
      <c r="E174" t="s">
        <v>499</v>
      </c>
      <c r="F174" t="s">
        <v>627</v>
      </c>
      <c r="G174" t="s">
        <v>235</v>
      </c>
      <c r="H174" t="s">
        <v>797</v>
      </c>
      <c r="I174" t="s">
        <v>48</v>
      </c>
      <c r="J174" t="s">
        <v>190</v>
      </c>
      <c r="K174" t="s">
        <v>786</v>
      </c>
      <c r="L174" t="s">
        <v>822</v>
      </c>
      <c r="M174" t="s">
        <v>818</v>
      </c>
      <c r="N174">
        <v>3</v>
      </c>
      <c r="O174" s="3">
        <v>21.56</v>
      </c>
      <c r="P174" s="3">
        <v>31.26</v>
      </c>
      <c r="Q174" s="6">
        <v>0</v>
      </c>
      <c r="R174" s="3">
        <v>93.78</v>
      </c>
      <c r="S174" t="s">
        <v>839</v>
      </c>
    </row>
    <row r="175" spans="1:19" x14ac:dyDescent="0.35">
      <c r="A175" t="s">
        <v>1288</v>
      </c>
      <c r="B175" t="s">
        <v>394</v>
      </c>
      <c r="C175" s="5">
        <v>45591</v>
      </c>
      <c r="E175" t="s">
        <v>356</v>
      </c>
      <c r="F175" t="s">
        <v>637</v>
      </c>
      <c r="G175" t="s">
        <v>264</v>
      </c>
      <c r="H175" t="s">
        <v>797</v>
      </c>
      <c r="I175" t="s">
        <v>48</v>
      </c>
      <c r="J175" t="s">
        <v>219</v>
      </c>
      <c r="K175" t="s">
        <v>798</v>
      </c>
      <c r="L175" t="s">
        <v>793</v>
      </c>
      <c r="M175" t="s">
        <v>818</v>
      </c>
      <c r="N175">
        <v>3</v>
      </c>
      <c r="O175" s="3">
        <v>12.9</v>
      </c>
      <c r="P175" s="3">
        <v>18.7</v>
      </c>
      <c r="Q175" s="6">
        <v>0.05</v>
      </c>
      <c r="R175" s="3">
        <v>53.294999999999995</v>
      </c>
      <c r="S175" t="s">
        <v>794</v>
      </c>
    </row>
    <row r="176" spans="1:19" x14ac:dyDescent="0.35">
      <c r="A176" t="s">
        <v>1291</v>
      </c>
      <c r="B176" t="s">
        <v>463</v>
      </c>
      <c r="C176" s="5">
        <v>45459</v>
      </c>
      <c r="E176" t="s">
        <v>464</v>
      </c>
      <c r="F176" t="s">
        <v>637</v>
      </c>
      <c r="G176" t="s">
        <v>264</v>
      </c>
      <c r="H176" t="s">
        <v>797</v>
      </c>
      <c r="I176" t="s">
        <v>20</v>
      </c>
      <c r="J176" t="s">
        <v>102</v>
      </c>
      <c r="K176" t="s">
        <v>798</v>
      </c>
      <c r="L176" t="s">
        <v>793</v>
      </c>
      <c r="M176" t="s">
        <v>788</v>
      </c>
      <c r="N176">
        <v>2</v>
      </c>
      <c r="O176" s="3">
        <v>19.04</v>
      </c>
      <c r="P176" s="3">
        <v>25.7</v>
      </c>
      <c r="Q176" s="6">
        <v>0.1</v>
      </c>
      <c r="R176" s="3">
        <v>46.26</v>
      </c>
      <c r="S176" t="s">
        <v>946</v>
      </c>
    </row>
    <row r="177" spans="1:19" x14ac:dyDescent="0.35">
      <c r="A177" t="s">
        <v>1292</v>
      </c>
      <c r="B177" t="s">
        <v>416</v>
      </c>
      <c r="C177" s="5">
        <v>46002</v>
      </c>
      <c r="E177" t="s">
        <v>417</v>
      </c>
      <c r="F177" t="s">
        <v>681</v>
      </c>
      <c r="G177" t="s">
        <v>264</v>
      </c>
      <c r="H177" t="s">
        <v>20</v>
      </c>
      <c r="I177" t="s">
        <v>8</v>
      </c>
      <c r="J177" t="s">
        <v>207</v>
      </c>
      <c r="K177" t="s">
        <v>786</v>
      </c>
      <c r="L177" t="s">
        <v>793</v>
      </c>
      <c r="M177" t="s">
        <v>842</v>
      </c>
      <c r="N177">
        <v>3</v>
      </c>
      <c r="O177" s="3">
        <v>8.5399999999999991</v>
      </c>
      <c r="P177" s="3">
        <v>10.67</v>
      </c>
      <c r="Q177" s="6">
        <v>0</v>
      </c>
      <c r="R177" s="3">
        <v>32.01</v>
      </c>
      <c r="S177" t="s">
        <v>888</v>
      </c>
    </row>
    <row r="178" spans="1:19" x14ac:dyDescent="0.35">
      <c r="A178" t="s">
        <v>1294</v>
      </c>
      <c r="B178" t="s">
        <v>565</v>
      </c>
      <c r="C178" s="5">
        <v>45588</v>
      </c>
      <c r="D178" s="5">
        <v>45591</v>
      </c>
      <c r="E178" t="s">
        <v>566</v>
      </c>
      <c r="F178" t="s">
        <v>696</v>
      </c>
      <c r="H178" t="s">
        <v>14</v>
      </c>
      <c r="I178" t="s">
        <v>14</v>
      </c>
      <c r="J178" t="s">
        <v>169</v>
      </c>
      <c r="K178" t="s">
        <v>798</v>
      </c>
      <c r="L178" t="s">
        <v>799</v>
      </c>
      <c r="M178" t="s">
        <v>788</v>
      </c>
      <c r="N178">
        <v>3</v>
      </c>
      <c r="O178" s="3">
        <v>40.590000000000003</v>
      </c>
      <c r="P178" s="3">
        <v>58.86</v>
      </c>
      <c r="Q178" s="6">
        <v>0</v>
      </c>
      <c r="R178" s="3">
        <v>176.57999999999998</v>
      </c>
      <c r="S178" t="s">
        <v>839</v>
      </c>
    </row>
    <row r="179" spans="1:19" x14ac:dyDescent="0.35">
      <c r="A179" t="s">
        <v>1296</v>
      </c>
      <c r="B179" t="s">
        <v>257</v>
      </c>
      <c r="C179" s="5">
        <v>45342</v>
      </c>
      <c r="E179" t="s">
        <v>258</v>
      </c>
      <c r="F179" t="s">
        <v>674</v>
      </c>
      <c r="G179" t="s">
        <v>235</v>
      </c>
      <c r="H179" t="s">
        <v>48</v>
      </c>
      <c r="I179" t="s">
        <v>14</v>
      </c>
      <c r="J179" t="s">
        <v>12</v>
      </c>
      <c r="K179" t="s">
        <v>798</v>
      </c>
      <c r="L179" t="s">
        <v>787</v>
      </c>
      <c r="M179" t="s">
        <v>818</v>
      </c>
      <c r="N179">
        <v>2</v>
      </c>
      <c r="O179" s="3">
        <v>35.03</v>
      </c>
      <c r="P179" s="3">
        <v>50.79</v>
      </c>
      <c r="Q179" s="6">
        <v>0.15</v>
      </c>
      <c r="R179" s="3">
        <v>86.343000000000004</v>
      </c>
      <c r="S179" t="s">
        <v>839</v>
      </c>
    </row>
    <row r="180" spans="1:19" x14ac:dyDescent="0.35">
      <c r="A180" t="s">
        <v>1298</v>
      </c>
      <c r="B180" t="s">
        <v>353</v>
      </c>
      <c r="C180" s="5">
        <v>45530</v>
      </c>
      <c r="E180" t="s">
        <v>258</v>
      </c>
      <c r="F180" t="s">
        <v>254</v>
      </c>
      <c r="G180" t="s">
        <v>264</v>
      </c>
      <c r="H180" t="s">
        <v>14</v>
      </c>
      <c r="I180" t="s">
        <v>43</v>
      </c>
      <c r="J180" t="s">
        <v>99</v>
      </c>
      <c r="K180" t="s">
        <v>798</v>
      </c>
      <c r="L180" t="s">
        <v>793</v>
      </c>
      <c r="M180" t="s">
        <v>818</v>
      </c>
      <c r="N180">
        <v>3</v>
      </c>
      <c r="O180" s="3">
        <v>10.88</v>
      </c>
      <c r="P180" s="3">
        <v>15.78</v>
      </c>
      <c r="Q180" s="6">
        <v>0</v>
      </c>
      <c r="R180" s="3">
        <v>47.339999999999996</v>
      </c>
      <c r="S180" t="s">
        <v>845</v>
      </c>
    </row>
    <row r="181" spans="1:19" x14ac:dyDescent="0.35">
      <c r="A181" t="s">
        <v>1299</v>
      </c>
      <c r="B181" t="s">
        <v>437</v>
      </c>
      <c r="C181" s="5">
        <v>46005</v>
      </c>
      <c r="E181" t="s">
        <v>396</v>
      </c>
      <c r="F181" t="s">
        <v>254</v>
      </c>
      <c r="G181" t="s">
        <v>264</v>
      </c>
      <c r="H181" t="s">
        <v>20</v>
      </c>
      <c r="I181" t="s">
        <v>20</v>
      </c>
      <c r="J181" t="s">
        <v>104</v>
      </c>
      <c r="K181" t="s">
        <v>786</v>
      </c>
      <c r="L181" t="s">
        <v>787</v>
      </c>
      <c r="M181" t="s">
        <v>818</v>
      </c>
      <c r="N181">
        <v>5</v>
      </c>
      <c r="O181" s="3">
        <v>43.88</v>
      </c>
      <c r="P181" s="3">
        <v>54.85</v>
      </c>
      <c r="Q181" s="6">
        <v>0</v>
      </c>
      <c r="R181" s="3">
        <v>274.25</v>
      </c>
      <c r="S181" t="s">
        <v>790</v>
      </c>
    </row>
    <row r="182" spans="1:19" x14ac:dyDescent="0.35">
      <c r="A182" t="s">
        <v>1300</v>
      </c>
      <c r="B182" t="s">
        <v>372</v>
      </c>
      <c r="C182" s="5">
        <v>45773</v>
      </c>
      <c r="E182" t="s">
        <v>373</v>
      </c>
      <c r="F182" t="s">
        <v>637</v>
      </c>
      <c r="G182" t="s">
        <v>235</v>
      </c>
      <c r="H182" t="s">
        <v>797</v>
      </c>
      <c r="I182" t="s">
        <v>29</v>
      </c>
      <c r="J182" t="s">
        <v>121</v>
      </c>
      <c r="K182" t="s">
        <v>798</v>
      </c>
      <c r="L182" t="s">
        <v>787</v>
      </c>
      <c r="M182" t="s">
        <v>788</v>
      </c>
      <c r="N182">
        <v>3</v>
      </c>
      <c r="O182" s="3">
        <v>15.46</v>
      </c>
      <c r="P182" s="3">
        <v>22.42</v>
      </c>
      <c r="Q182" s="6">
        <v>0.05</v>
      </c>
      <c r="R182" s="3">
        <v>63.897000000000006</v>
      </c>
      <c r="S182" t="s">
        <v>845</v>
      </c>
    </row>
    <row r="183" spans="1:19" x14ac:dyDescent="0.35">
      <c r="A183" t="s">
        <v>1301</v>
      </c>
      <c r="B183" t="s">
        <v>374</v>
      </c>
      <c r="C183" s="5">
        <v>45545</v>
      </c>
      <c r="D183" s="5">
        <v>45550</v>
      </c>
      <c r="E183" t="s">
        <v>375</v>
      </c>
      <c r="F183" t="s">
        <v>696</v>
      </c>
      <c r="G183" t="s">
        <v>264</v>
      </c>
      <c r="H183" t="s">
        <v>20</v>
      </c>
      <c r="I183" t="s">
        <v>43</v>
      </c>
      <c r="J183" t="s">
        <v>141</v>
      </c>
      <c r="K183" t="s">
        <v>813</v>
      </c>
      <c r="L183" t="s">
        <v>799</v>
      </c>
      <c r="M183" t="s">
        <v>788</v>
      </c>
      <c r="N183">
        <v>5</v>
      </c>
      <c r="O183" s="3">
        <v>17.2</v>
      </c>
      <c r="P183" s="3">
        <v>22.36</v>
      </c>
      <c r="Q183" s="6">
        <v>0.05</v>
      </c>
      <c r="R183" s="3">
        <v>106.21</v>
      </c>
      <c r="S183" t="s">
        <v>935</v>
      </c>
    </row>
    <row r="184" spans="1:19" x14ac:dyDescent="0.35">
      <c r="A184" t="s">
        <v>1303</v>
      </c>
      <c r="B184" t="s">
        <v>563</v>
      </c>
      <c r="C184" s="5">
        <v>45622</v>
      </c>
      <c r="D184" s="5">
        <v>45627</v>
      </c>
      <c r="E184" t="s">
        <v>311</v>
      </c>
      <c r="F184" t="s">
        <v>681</v>
      </c>
      <c r="G184" t="s">
        <v>264</v>
      </c>
      <c r="H184" t="s">
        <v>797</v>
      </c>
      <c r="I184" t="s">
        <v>48</v>
      </c>
      <c r="J184" t="s">
        <v>210</v>
      </c>
      <c r="K184" t="s">
        <v>786</v>
      </c>
      <c r="L184" t="s">
        <v>799</v>
      </c>
      <c r="M184" t="s">
        <v>800</v>
      </c>
      <c r="N184">
        <v>5</v>
      </c>
      <c r="O184" s="3">
        <v>25.36</v>
      </c>
      <c r="P184" s="3">
        <v>34.24</v>
      </c>
      <c r="Q184" s="6">
        <v>0.05</v>
      </c>
      <c r="R184" s="3">
        <v>162.64000000000001</v>
      </c>
      <c r="S184" t="s">
        <v>869</v>
      </c>
    </row>
    <row r="185" spans="1:19" x14ac:dyDescent="0.35">
      <c r="A185" t="s">
        <v>1305</v>
      </c>
      <c r="B185" t="s">
        <v>283</v>
      </c>
      <c r="C185" s="5">
        <v>45495</v>
      </c>
      <c r="E185" t="s">
        <v>284</v>
      </c>
      <c r="F185" t="s">
        <v>637</v>
      </c>
      <c r="G185" t="s">
        <v>264</v>
      </c>
      <c r="H185" t="s">
        <v>14</v>
      </c>
      <c r="I185" t="s">
        <v>43</v>
      </c>
      <c r="J185" t="s">
        <v>99</v>
      </c>
      <c r="K185" t="s">
        <v>786</v>
      </c>
      <c r="L185" t="s">
        <v>793</v>
      </c>
      <c r="M185" t="s">
        <v>818</v>
      </c>
      <c r="N185">
        <v>2</v>
      </c>
      <c r="O185" s="3">
        <v>10.88</v>
      </c>
      <c r="P185" s="3">
        <v>15.78</v>
      </c>
      <c r="Q185" s="6">
        <v>0</v>
      </c>
      <c r="R185" s="3">
        <v>31.56</v>
      </c>
      <c r="S185" t="s">
        <v>839</v>
      </c>
    </row>
    <row r="186" spans="1:19" x14ac:dyDescent="0.35">
      <c r="A186" t="s">
        <v>1307</v>
      </c>
      <c r="B186" t="s">
        <v>547</v>
      </c>
      <c r="C186" s="5">
        <v>45463</v>
      </c>
      <c r="E186" t="s">
        <v>375</v>
      </c>
      <c r="F186" t="s">
        <v>254</v>
      </c>
      <c r="G186" t="s">
        <v>243</v>
      </c>
      <c r="H186" t="s">
        <v>797</v>
      </c>
      <c r="I186" t="s">
        <v>48</v>
      </c>
      <c r="J186" t="s">
        <v>54</v>
      </c>
      <c r="K186" t="s">
        <v>798</v>
      </c>
      <c r="L186" t="s">
        <v>817</v>
      </c>
      <c r="M186" t="s">
        <v>818</v>
      </c>
      <c r="N186">
        <v>2</v>
      </c>
      <c r="O186" s="3">
        <v>21.67</v>
      </c>
      <c r="P186" s="3">
        <v>28.17</v>
      </c>
      <c r="Q186" s="6">
        <v>0.15</v>
      </c>
      <c r="R186" s="3">
        <v>47.889000000000003</v>
      </c>
      <c r="S186" t="s">
        <v>946</v>
      </c>
    </row>
    <row r="187" spans="1:19" x14ac:dyDescent="0.35">
      <c r="A187" t="s">
        <v>1309</v>
      </c>
      <c r="B187" t="s">
        <v>613</v>
      </c>
      <c r="C187" s="5">
        <v>45450</v>
      </c>
      <c r="D187" s="5">
        <v>45451</v>
      </c>
      <c r="E187" t="s">
        <v>304</v>
      </c>
      <c r="F187" t="s">
        <v>254</v>
      </c>
      <c r="G187" t="s">
        <v>243</v>
      </c>
      <c r="H187" t="s">
        <v>797</v>
      </c>
      <c r="I187" t="s">
        <v>79</v>
      </c>
      <c r="J187" t="s">
        <v>220</v>
      </c>
      <c r="K187" t="s">
        <v>798</v>
      </c>
      <c r="L187" t="s">
        <v>799</v>
      </c>
      <c r="M187" t="s">
        <v>800</v>
      </c>
      <c r="N187">
        <v>20</v>
      </c>
      <c r="O187" s="3">
        <v>46</v>
      </c>
      <c r="P187" s="3">
        <v>62.1</v>
      </c>
      <c r="Q187" s="6">
        <v>0.15</v>
      </c>
      <c r="R187" s="3">
        <v>1055.7</v>
      </c>
      <c r="S187" t="s">
        <v>829</v>
      </c>
    </row>
    <row r="188" spans="1:19" x14ac:dyDescent="0.35">
      <c r="A188" t="s">
        <v>1312</v>
      </c>
      <c r="B188" t="s">
        <v>354</v>
      </c>
      <c r="C188" s="5">
        <v>45656</v>
      </c>
      <c r="D188" s="5">
        <v>45662</v>
      </c>
      <c r="E188" t="s">
        <v>321</v>
      </c>
      <c r="F188" t="s">
        <v>681</v>
      </c>
      <c r="G188" t="s">
        <v>243</v>
      </c>
      <c r="H188" t="s">
        <v>14</v>
      </c>
      <c r="I188" t="s">
        <v>48</v>
      </c>
      <c r="J188" t="s">
        <v>61</v>
      </c>
      <c r="K188" t="s">
        <v>813</v>
      </c>
      <c r="L188" t="s">
        <v>799</v>
      </c>
      <c r="M188" t="s">
        <v>800</v>
      </c>
      <c r="N188">
        <v>1</v>
      </c>
      <c r="O188" s="3">
        <v>26.08</v>
      </c>
      <c r="P188" s="3">
        <v>35.21</v>
      </c>
      <c r="Q188" s="6">
        <v>0.1</v>
      </c>
      <c r="R188" s="3">
        <v>31.689</v>
      </c>
      <c r="S188" t="s">
        <v>869</v>
      </c>
    </row>
    <row r="189" spans="1:19" x14ac:dyDescent="0.35">
      <c r="A189" t="s">
        <v>1314</v>
      </c>
      <c r="B189" t="s">
        <v>257</v>
      </c>
      <c r="C189" s="5">
        <v>45741</v>
      </c>
      <c r="E189" t="s">
        <v>258</v>
      </c>
      <c r="F189" t="s">
        <v>681</v>
      </c>
      <c r="G189" t="s">
        <v>235</v>
      </c>
      <c r="H189" t="s">
        <v>797</v>
      </c>
      <c r="I189" t="s">
        <v>79</v>
      </c>
      <c r="J189" t="s">
        <v>220</v>
      </c>
      <c r="K189" t="s">
        <v>798</v>
      </c>
      <c r="L189" t="s">
        <v>793</v>
      </c>
      <c r="M189" t="s">
        <v>842</v>
      </c>
      <c r="N189">
        <v>5</v>
      </c>
      <c r="O189" s="3">
        <v>46</v>
      </c>
      <c r="P189" s="3">
        <v>62.1</v>
      </c>
      <c r="Q189" s="6">
        <v>0.05</v>
      </c>
      <c r="R189" s="3">
        <v>294.97500000000002</v>
      </c>
      <c r="S189" t="s">
        <v>1001</v>
      </c>
    </row>
    <row r="190" spans="1:19" x14ac:dyDescent="0.35">
      <c r="A190" t="s">
        <v>1316</v>
      </c>
      <c r="B190" t="s">
        <v>421</v>
      </c>
      <c r="C190" s="5">
        <v>45740</v>
      </c>
      <c r="E190" t="s">
        <v>422</v>
      </c>
      <c r="F190" t="s">
        <v>627</v>
      </c>
      <c r="G190" t="s">
        <v>235</v>
      </c>
      <c r="H190" t="s">
        <v>14</v>
      </c>
      <c r="I190" t="s">
        <v>29</v>
      </c>
      <c r="J190" t="s">
        <v>145</v>
      </c>
      <c r="K190" t="s">
        <v>813</v>
      </c>
      <c r="L190" t="s">
        <v>793</v>
      </c>
      <c r="M190" t="s">
        <v>800</v>
      </c>
      <c r="N190">
        <v>1</v>
      </c>
      <c r="O190" s="3">
        <v>57.16</v>
      </c>
      <c r="P190" s="3">
        <v>82.88</v>
      </c>
      <c r="Q190" s="6">
        <v>0</v>
      </c>
      <c r="R190" s="3">
        <v>82.88</v>
      </c>
      <c r="S190" t="s">
        <v>845</v>
      </c>
    </row>
    <row r="191" spans="1:19" x14ac:dyDescent="0.35">
      <c r="A191" t="s">
        <v>1319</v>
      </c>
      <c r="B191" t="s">
        <v>532</v>
      </c>
      <c r="C191" s="5">
        <v>45573</v>
      </c>
      <c r="E191" t="s">
        <v>533</v>
      </c>
      <c r="F191" t="s">
        <v>674</v>
      </c>
      <c r="G191" t="s">
        <v>235</v>
      </c>
      <c r="H191" t="s">
        <v>797</v>
      </c>
      <c r="I191" t="s">
        <v>8</v>
      </c>
      <c r="J191" t="s">
        <v>95</v>
      </c>
      <c r="K191" t="s">
        <v>813</v>
      </c>
      <c r="L191" t="s">
        <v>793</v>
      </c>
      <c r="M191" t="s">
        <v>800</v>
      </c>
      <c r="N191">
        <v>3</v>
      </c>
      <c r="O191" s="3">
        <v>23.02</v>
      </c>
      <c r="P191" s="3">
        <v>28.77</v>
      </c>
      <c r="Q191" s="6">
        <v>0.1</v>
      </c>
      <c r="R191" s="3">
        <v>77.679000000000002</v>
      </c>
      <c r="S191" t="s">
        <v>814</v>
      </c>
    </row>
    <row r="192" spans="1:19" x14ac:dyDescent="0.35">
      <c r="A192" t="s">
        <v>1322</v>
      </c>
      <c r="B192" t="s">
        <v>614</v>
      </c>
      <c r="C192" s="5">
        <v>45756</v>
      </c>
      <c r="D192" s="5">
        <v>45762</v>
      </c>
      <c r="E192" t="s">
        <v>615</v>
      </c>
      <c r="F192" t="s">
        <v>681</v>
      </c>
      <c r="G192" t="s">
        <v>235</v>
      </c>
      <c r="H192" t="s">
        <v>14</v>
      </c>
      <c r="I192" t="s">
        <v>48</v>
      </c>
      <c r="J192" t="s">
        <v>143</v>
      </c>
      <c r="K192" t="s">
        <v>798</v>
      </c>
      <c r="L192" t="s">
        <v>822</v>
      </c>
      <c r="M192" t="s">
        <v>800</v>
      </c>
      <c r="N192">
        <v>20</v>
      </c>
      <c r="O192" s="3">
        <v>29.93</v>
      </c>
      <c r="P192" s="3">
        <v>38.909999999999997</v>
      </c>
      <c r="Q192" s="6">
        <v>0.1</v>
      </c>
      <c r="R192" s="3">
        <v>700.37999999999988</v>
      </c>
      <c r="S192" t="s">
        <v>794</v>
      </c>
    </row>
    <row r="193" spans="1:19" x14ac:dyDescent="0.35">
      <c r="A193" t="s">
        <v>1323</v>
      </c>
      <c r="B193" t="s">
        <v>573</v>
      </c>
      <c r="C193" s="5">
        <v>46030</v>
      </c>
      <c r="D193" s="5">
        <v>46036</v>
      </c>
      <c r="E193" t="s">
        <v>277</v>
      </c>
      <c r="F193" t="s">
        <v>627</v>
      </c>
      <c r="G193" t="s">
        <v>235</v>
      </c>
      <c r="H193" t="s">
        <v>20</v>
      </c>
      <c r="I193" t="s">
        <v>29</v>
      </c>
      <c r="J193" t="s">
        <v>158</v>
      </c>
      <c r="K193" t="s">
        <v>813</v>
      </c>
      <c r="L193" t="s">
        <v>799</v>
      </c>
      <c r="M193" t="s">
        <v>788</v>
      </c>
      <c r="N193">
        <v>10</v>
      </c>
      <c r="O193" s="3">
        <v>25.8</v>
      </c>
      <c r="P193" s="3">
        <v>36.119999999999997</v>
      </c>
      <c r="Q193" s="6">
        <v>0.1</v>
      </c>
      <c r="R193" s="3">
        <v>325.08</v>
      </c>
      <c r="S193" t="s">
        <v>859</v>
      </c>
    </row>
    <row r="194" spans="1:19" x14ac:dyDescent="0.35">
      <c r="A194" t="s">
        <v>1326</v>
      </c>
      <c r="B194" t="s">
        <v>434</v>
      </c>
      <c r="C194" s="5">
        <v>45711</v>
      </c>
      <c r="E194" t="s">
        <v>435</v>
      </c>
      <c r="F194" t="s">
        <v>254</v>
      </c>
      <c r="G194" t="s">
        <v>264</v>
      </c>
      <c r="H194" t="s">
        <v>797</v>
      </c>
      <c r="I194" t="s">
        <v>29</v>
      </c>
      <c r="J194" t="s">
        <v>183</v>
      </c>
      <c r="K194" t="s">
        <v>798</v>
      </c>
      <c r="L194" t="s">
        <v>787</v>
      </c>
      <c r="M194" t="s">
        <v>788</v>
      </c>
      <c r="N194">
        <v>3</v>
      </c>
      <c r="O194" s="3">
        <v>10.97</v>
      </c>
      <c r="P194" s="3">
        <v>15.91</v>
      </c>
      <c r="Q194" s="6">
        <v>0</v>
      </c>
      <c r="R194" s="3">
        <v>47.730000000000004</v>
      </c>
      <c r="S194" t="s">
        <v>829</v>
      </c>
    </row>
    <row r="195" spans="1:19" x14ac:dyDescent="0.35">
      <c r="A195" t="s">
        <v>1327</v>
      </c>
      <c r="B195" t="s">
        <v>504</v>
      </c>
      <c r="C195" s="5">
        <v>45498</v>
      </c>
      <c r="D195" s="5">
        <v>45508</v>
      </c>
      <c r="E195" t="s">
        <v>505</v>
      </c>
      <c r="F195" t="s">
        <v>674</v>
      </c>
      <c r="G195" t="s">
        <v>264</v>
      </c>
      <c r="H195" t="s">
        <v>797</v>
      </c>
      <c r="I195" t="s">
        <v>14</v>
      </c>
      <c r="J195" t="s">
        <v>128</v>
      </c>
      <c r="K195" t="s">
        <v>798</v>
      </c>
      <c r="L195" t="s">
        <v>799</v>
      </c>
      <c r="M195" t="s">
        <v>818</v>
      </c>
      <c r="N195">
        <v>5</v>
      </c>
      <c r="O195" s="3">
        <v>18.850000000000001</v>
      </c>
      <c r="P195" s="3">
        <v>27.33</v>
      </c>
      <c r="Q195" s="6">
        <v>0.1</v>
      </c>
      <c r="R195" s="3">
        <v>122.98499999999999</v>
      </c>
      <c r="S195" t="s">
        <v>946</v>
      </c>
    </row>
    <row r="196" spans="1:19" x14ac:dyDescent="0.35">
      <c r="A196" t="s">
        <v>1331</v>
      </c>
      <c r="B196" t="s">
        <v>452</v>
      </c>
      <c r="C196" s="5">
        <v>45554</v>
      </c>
      <c r="D196" s="5">
        <v>45556</v>
      </c>
      <c r="E196" t="s">
        <v>420</v>
      </c>
      <c r="F196" t="s">
        <v>674</v>
      </c>
      <c r="G196" t="s">
        <v>264</v>
      </c>
      <c r="H196" t="s">
        <v>14</v>
      </c>
      <c r="I196" t="s">
        <v>38</v>
      </c>
      <c r="J196" t="s">
        <v>165</v>
      </c>
      <c r="K196" t="s">
        <v>813</v>
      </c>
      <c r="L196" t="s">
        <v>822</v>
      </c>
      <c r="M196" t="s">
        <v>788</v>
      </c>
      <c r="N196">
        <v>2</v>
      </c>
      <c r="O196" s="3">
        <v>18.45</v>
      </c>
      <c r="P196" s="3">
        <v>25.83</v>
      </c>
      <c r="Q196" s="6">
        <v>0.15</v>
      </c>
      <c r="R196" s="3">
        <v>43.911000000000001</v>
      </c>
      <c r="S196" t="s">
        <v>819</v>
      </c>
    </row>
    <row r="197" spans="1:19" x14ac:dyDescent="0.35">
      <c r="A197" t="s">
        <v>1334</v>
      </c>
      <c r="B197" t="s">
        <v>291</v>
      </c>
      <c r="C197" s="5">
        <v>45771</v>
      </c>
      <c r="E197" t="s">
        <v>292</v>
      </c>
      <c r="F197" t="s">
        <v>633</v>
      </c>
      <c r="G197" t="s">
        <v>243</v>
      </c>
      <c r="H197" t="s">
        <v>14</v>
      </c>
      <c r="I197" t="s">
        <v>20</v>
      </c>
      <c r="J197" t="s">
        <v>137</v>
      </c>
      <c r="K197" t="s">
        <v>786</v>
      </c>
      <c r="L197" t="s">
        <v>793</v>
      </c>
      <c r="M197" t="s">
        <v>800</v>
      </c>
      <c r="N197">
        <v>5</v>
      </c>
      <c r="O197" s="3">
        <v>23.58</v>
      </c>
      <c r="P197" s="3">
        <v>31.83</v>
      </c>
      <c r="Q197" s="6">
        <v>0.15</v>
      </c>
      <c r="R197" s="3">
        <v>135.27749999999997</v>
      </c>
      <c r="S197" t="s">
        <v>829</v>
      </c>
    </row>
    <row r="198" spans="1:19" x14ac:dyDescent="0.35">
      <c r="A198" t="s">
        <v>1336</v>
      </c>
      <c r="B198" t="s">
        <v>524</v>
      </c>
      <c r="C198" s="5">
        <v>45923</v>
      </c>
      <c r="E198" t="s">
        <v>484</v>
      </c>
      <c r="F198" t="s">
        <v>254</v>
      </c>
      <c r="H198" t="s">
        <v>20</v>
      </c>
      <c r="I198" t="s">
        <v>38</v>
      </c>
      <c r="J198" t="s">
        <v>80</v>
      </c>
      <c r="K198" t="s">
        <v>786</v>
      </c>
      <c r="L198" t="s">
        <v>787</v>
      </c>
      <c r="M198" t="s">
        <v>788</v>
      </c>
      <c r="N198">
        <v>2</v>
      </c>
      <c r="O198" s="3">
        <v>38.57</v>
      </c>
      <c r="P198" s="3">
        <v>48.21</v>
      </c>
      <c r="Q198" s="6">
        <v>0.1</v>
      </c>
      <c r="R198" s="3">
        <v>86.778000000000006</v>
      </c>
      <c r="S198" t="s">
        <v>919</v>
      </c>
    </row>
    <row r="199" spans="1:19" x14ac:dyDescent="0.35">
      <c r="A199" t="s">
        <v>1338</v>
      </c>
      <c r="B199" t="s">
        <v>525</v>
      </c>
      <c r="C199" s="5">
        <v>45395</v>
      </c>
      <c r="E199" t="s">
        <v>526</v>
      </c>
      <c r="F199" t="s">
        <v>696</v>
      </c>
      <c r="G199" t="s">
        <v>243</v>
      </c>
      <c r="H199" t="s">
        <v>797</v>
      </c>
      <c r="I199" t="s">
        <v>29</v>
      </c>
      <c r="J199" t="s">
        <v>106</v>
      </c>
      <c r="K199" t="s">
        <v>798</v>
      </c>
      <c r="L199" t="s">
        <v>793</v>
      </c>
      <c r="M199" t="s">
        <v>788</v>
      </c>
      <c r="N199">
        <v>1</v>
      </c>
      <c r="O199" s="3">
        <v>29.64</v>
      </c>
      <c r="P199" s="3">
        <v>41.5</v>
      </c>
      <c r="Q199" s="6">
        <v>0.1</v>
      </c>
      <c r="R199" s="3">
        <v>37.35</v>
      </c>
      <c r="S199" t="s">
        <v>790</v>
      </c>
    </row>
    <row r="200" spans="1:19" x14ac:dyDescent="0.35">
      <c r="A200" t="s">
        <v>1341</v>
      </c>
      <c r="B200" t="s">
        <v>612</v>
      </c>
      <c r="C200" s="5">
        <v>45717</v>
      </c>
      <c r="D200" s="5">
        <v>45720</v>
      </c>
      <c r="E200" t="s">
        <v>447</v>
      </c>
      <c r="F200" t="s">
        <v>681</v>
      </c>
      <c r="G200" t="s">
        <v>235</v>
      </c>
      <c r="H200" t="s">
        <v>14</v>
      </c>
      <c r="I200" t="s">
        <v>14</v>
      </c>
      <c r="J200" t="s">
        <v>169</v>
      </c>
      <c r="K200" t="s">
        <v>798</v>
      </c>
      <c r="L200" t="s">
        <v>799</v>
      </c>
      <c r="M200" t="s">
        <v>818</v>
      </c>
      <c r="N200">
        <v>3</v>
      </c>
      <c r="O200" s="3">
        <v>40.590000000000003</v>
      </c>
      <c r="P200" s="3">
        <v>58.86</v>
      </c>
      <c r="Q200" s="6">
        <v>0</v>
      </c>
      <c r="R200" s="3">
        <v>176.57999999999998</v>
      </c>
      <c r="S200" t="s">
        <v>810</v>
      </c>
    </row>
    <row r="201" spans="1:19" x14ac:dyDescent="0.35">
      <c r="A201" t="s">
        <v>1343</v>
      </c>
      <c r="B201" t="s">
        <v>513</v>
      </c>
      <c r="C201" s="5">
        <v>45855</v>
      </c>
      <c r="D201" s="5">
        <v>45861</v>
      </c>
      <c r="E201" t="s">
        <v>514</v>
      </c>
      <c r="F201" t="s">
        <v>633</v>
      </c>
      <c r="G201" t="s">
        <v>264</v>
      </c>
      <c r="H201" t="s">
        <v>14</v>
      </c>
      <c r="I201" t="s">
        <v>20</v>
      </c>
      <c r="J201" t="s">
        <v>102</v>
      </c>
      <c r="K201" t="s">
        <v>798</v>
      </c>
      <c r="L201" t="s">
        <v>799</v>
      </c>
      <c r="M201" t="s">
        <v>800</v>
      </c>
      <c r="N201">
        <v>10</v>
      </c>
      <c r="O201" s="3">
        <v>19.04</v>
      </c>
      <c r="P201" s="3">
        <v>25.7</v>
      </c>
      <c r="Q201" s="6">
        <v>0</v>
      </c>
      <c r="R201" s="3">
        <v>257</v>
      </c>
      <c r="S201" t="s">
        <v>790</v>
      </c>
    </row>
    <row r="202" spans="1:19" x14ac:dyDescent="0.35">
      <c r="A202" t="s">
        <v>1345</v>
      </c>
      <c r="B202" t="s">
        <v>611</v>
      </c>
      <c r="C202" s="5">
        <v>45672</v>
      </c>
      <c r="D202" s="5">
        <v>45677</v>
      </c>
      <c r="E202" t="s">
        <v>287</v>
      </c>
      <c r="F202" t="s">
        <v>681</v>
      </c>
      <c r="G202" t="s">
        <v>235</v>
      </c>
      <c r="H202" t="s">
        <v>797</v>
      </c>
      <c r="I202" t="s">
        <v>48</v>
      </c>
      <c r="J202" t="s">
        <v>54</v>
      </c>
      <c r="K202" t="s">
        <v>798</v>
      </c>
      <c r="L202" t="s">
        <v>799</v>
      </c>
      <c r="M202" t="s">
        <v>788</v>
      </c>
      <c r="N202">
        <v>12</v>
      </c>
      <c r="O202" s="3">
        <v>21.67</v>
      </c>
      <c r="P202" s="3">
        <v>28.17</v>
      </c>
      <c r="Q202" s="6">
        <v>0.05</v>
      </c>
      <c r="R202" s="3">
        <v>321.13800000000003</v>
      </c>
      <c r="S202" t="s">
        <v>790</v>
      </c>
    </row>
    <row r="203" spans="1:19" x14ac:dyDescent="0.35">
      <c r="A203" t="s">
        <v>1349</v>
      </c>
      <c r="B203" t="s">
        <v>489</v>
      </c>
      <c r="C203" s="5">
        <v>45660</v>
      </c>
      <c r="E203" t="s">
        <v>318</v>
      </c>
      <c r="F203" t="s">
        <v>696</v>
      </c>
      <c r="G203" t="s">
        <v>243</v>
      </c>
      <c r="H203" t="s">
        <v>797</v>
      </c>
      <c r="I203" t="s">
        <v>29</v>
      </c>
      <c r="J203" t="s">
        <v>154</v>
      </c>
      <c r="K203" t="s">
        <v>813</v>
      </c>
      <c r="L203" t="s">
        <v>793</v>
      </c>
      <c r="M203" t="s">
        <v>842</v>
      </c>
      <c r="N203">
        <v>2</v>
      </c>
      <c r="O203" s="3">
        <v>25.74</v>
      </c>
      <c r="P203" s="3">
        <v>33.46</v>
      </c>
      <c r="Q203" s="6">
        <v>0.1</v>
      </c>
      <c r="R203" s="3">
        <v>60.228000000000002</v>
      </c>
      <c r="S203" t="s">
        <v>888</v>
      </c>
    </row>
    <row r="204" spans="1:19" x14ac:dyDescent="0.35">
      <c r="A204" t="s">
        <v>1352</v>
      </c>
      <c r="B204" t="s">
        <v>423</v>
      </c>
      <c r="C204" s="5">
        <v>45601</v>
      </c>
      <c r="D204" s="5">
        <v>45610</v>
      </c>
      <c r="E204" t="s">
        <v>424</v>
      </c>
      <c r="F204" t="s">
        <v>674</v>
      </c>
      <c r="G204" t="s">
        <v>235</v>
      </c>
      <c r="H204" t="s">
        <v>797</v>
      </c>
      <c r="I204" t="s">
        <v>14</v>
      </c>
      <c r="J204" t="s">
        <v>209</v>
      </c>
      <c r="K204" t="s">
        <v>798</v>
      </c>
      <c r="L204" t="s">
        <v>799</v>
      </c>
      <c r="M204" t="s">
        <v>800</v>
      </c>
      <c r="N204">
        <v>1</v>
      </c>
      <c r="O204" s="3">
        <v>24.18</v>
      </c>
      <c r="P204" s="3">
        <v>33.85</v>
      </c>
      <c r="Q204" s="6">
        <v>0.1</v>
      </c>
      <c r="R204" s="3">
        <v>30.465</v>
      </c>
      <c r="S204" t="s">
        <v>892</v>
      </c>
    </row>
    <row r="205" spans="1:19" x14ac:dyDescent="0.35">
      <c r="A205" t="s">
        <v>1355</v>
      </c>
      <c r="B205" t="s">
        <v>354</v>
      </c>
      <c r="C205" s="5">
        <v>45876</v>
      </c>
      <c r="E205" t="s">
        <v>321</v>
      </c>
      <c r="F205" t="s">
        <v>254</v>
      </c>
      <c r="G205" t="s">
        <v>243</v>
      </c>
      <c r="H205" t="s">
        <v>797</v>
      </c>
      <c r="I205" t="s">
        <v>38</v>
      </c>
      <c r="J205" t="s">
        <v>156</v>
      </c>
      <c r="K205" t="s">
        <v>798</v>
      </c>
      <c r="L205" t="s">
        <v>787</v>
      </c>
      <c r="M205" t="s">
        <v>800</v>
      </c>
      <c r="N205">
        <v>1</v>
      </c>
      <c r="O205" s="3">
        <v>20.81</v>
      </c>
      <c r="P205" s="3">
        <v>29.13</v>
      </c>
      <c r="Q205" s="6">
        <v>0.1</v>
      </c>
      <c r="R205" s="3">
        <v>26.216999999999999</v>
      </c>
      <c r="S205" t="s">
        <v>794</v>
      </c>
    </row>
    <row r="206" spans="1:19" x14ac:dyDescent="0.35">
      <c r="A206" t="s">
        <v>1357</v>
      </c>
      <c r="B206" t="s">
        <v>423</v>
      </c>
      <c r="C206" s="5">
        <v>45530</v>
      </c>
      <c r="E206" t="s">
        <v>424</v>
      </c>
      <c r="F206" t="s">
        <v>254</v>
      </c>
      <c r="G206" t="s">
        <v>235</v>
      </c>
      <c r="H206" t="s">
        <v>14</v>
      </c>
      <c r="I206" t="s">
        <v>14</v>
      </c>
      <c r="J206" t="s">
        <v>25</v>
      </c>
      <c r="K206" t="s">
        <v>798</v>
      </c>
      <c r="L206" t="s">
        <v>793</v>
      </c>
      <c r="M206" t="s">
        <v>842</v>
      </c>
      <c r="N206">
        <v>10</v>
      </c>
      <c r="O206" s="3">
        <v>18.95</v>
      </c>
      <c r="P206" s="3">
        <v>25.58</v>
      </c>
      <c r="Q206" s="6">
        <v>0.15</v>
      </c>
      <c r="R206" s="3">
        <v>217.42999999999998</v>
      </c>
      <c r="S206" t="s">
        <v>1134</v>
      </c>
    </row>
    <row r="207" spans="1:19" x14ac:dyDescent="0.35">
      <c r="A207" t="s">
        <v>1358</v>
      </c>
      <c r="B207" t="s">
        <v>504</v>
      </c>
      <c r="C207" s="5">
        <v>45786</v>
      </c>
      <c r="D207" s="5">
        <v>45791</v>
      </c>
      <c r="E207" t="s">
        <v>505</v>
      </c>
      <c r="F207" t="s">
        <v>637</v>
      </c>
      <c r="G207" t="s">
        <v>264</v>
      </c>
      <c r="H207" t="s">
        <v>20</v>
      </c>
      <c r="I207" t="s">
        <v>29</v>
      </c>
      <c r="J207" t="s">
        <v>32</v>
      </c>
      <c r="K207" t="s">
        <v>798</v>
      </c>
      <c r="L207" t="s">
        <v>799</v>
      </c>
      <c r="M207" t="s">
        <v>842</v>
      </c>
      <c r="N207">
        <v>5</v>
      </c>
      <c r="O207" s="3">
        <v>18.989999999999998</v>
      </c>
      <c r="P207" s="3">
        <v>25.64</v>
      </c>
      <c r="Q207" s="6">
        <v>0.1</v>
      </c>
      <c r="R207" s="3">
        <v>115.38</v>
      </c>
      <c r="S207" t="s">
        <v>869</v>
      </c>
    </row>
    <row r="208" spans="1:19" x14ac:dyDescent="0.35">
      <c r="A208" t="s">
        <v>1360</v>
      </c>
      <c r="B208" t="s">
        <v>459</v>
      </c>
      <c r="C208" s="5">
        <v>45330</v>
      </c>
      <c r="E208" t="s">
        <v>460</v>
      </c>
      <c r="F208" t="s">
        <v>254</v>
      </c>
      <c r="G208" t="s">
        <v>264</v>
      </c>
      <c r="H208" t="s">
        <v>20</v>
      </c>
      <c r="I208" t="s">
        <v>79</v>
      </c>
      <c r="J208" t="s">
        <v>166</v>
      </c>
      <c r="K208" t="s">
        <v>786</v>
      </c>
      <c r="L208" t="s">
        <v>793</v>
      </c>
      <c r="M208" t="s">
        <v>818</v>
      </c>
      <c r="N208">
        <v>3</v>
      </c>
      <c r="O208" s="3">
        <v>15.73</v>
      </c>
      <c r="P208" s="3">
        <v>19.66</v>
      </c>
      <c r="Q208" s="6">
        <v>0.05</v>
      </c>
      <c r="R208" s="3">
        <v>56.031000000000006</v>
      </c>
      <c r="S208" t="s">
        <v>919</v>
      </c>
    </row>
    <row r="209" spans="1:19" x14ac:dyDescent="0.35">
      <c r="A209" t="s">
        <v>1362</v>
      </c>
      <c r="B209" t="s">
        <v>554</v>
      </c>
      <c r="C209" s="5">
        <v>45524</v>
      </c>
      <c r="E209" t="s">
        <v>445</v>
      </c>
      <c r="F209" t="s">
        <v>254</v>
      </c>
      <c r="G209" t="s">
        <v>235</v>
      </c>
      <c r="H209" t="s">
        <v>14</v>
      </c>
      <c r="I209" t="s">
        <v>20</v>
      </c>
      <c r="J209" t="s">
        <v>163</v>
      </c>
      <c r="K209" t="s">
        <v>798</v>
      </c>
      <c r="L209" t="s">
        <v>787</v>
      </c>
      <c r="M209" t="s">
        <v>842</v>
      </c>
      <c r="N209">
        <v>1</v>
      </c>
      <c r="O209" s="3">
        <v>55.3</v>
      </c>
      <c r="P209" s="3">
        <v>74.66</v>
      </c>
      <c r="Q209" s="6">
        <v>0</v>
      </c>
      <c r="R209" s="3">
        <v>74.66</v>
      </c>
      <c r="S209" t="s">
        <v>790</v>
      </c>
    </row>
    <row r="210" spans="1:19" x14ac:dyDescent="0.35">
      <c r="A210" t="s">
        <v>1363</v>
      </c>
      <c r="B210" t="s">
        <v>436</v>
      </c>
      <c r="C210" s="5">
        <v>45870</v>
      </c>
      <c r="D210" s="5">
        <v>45880</v>
      </c>
      <c r="E210" t="s">
        <v>396</v>
      </c>
      <c r="F210" t="s">
        <v>627</v>
      </c>
      <c r="G210" t="s">
        <v>235</v>
      </c>
      <c r="H210" t="s">
        <v>14</v>
      </c>
      <c r="I210" t="s">
        <v>43</v>
      </c>
      <c r="J210" t="s">
        <v>53</v>
      </c>
      <c r="K210" t="s">
        <v>813</v>
      </c>
      <c r="L210" t="s">
        <v>799</v>
      </c>
      <c r="M210" t="s">
        <v>818</v>
      </c>
      <c r="N210">
        <v>20</v>
      </c>
      <c r="O210" s="3">
        <v>54.93</v>
      </c>
      <c r="P210" s="3">
        <v>79.650000000000006</v>
      </c>
      <c r="Q210" s="6">
        <v>0.05</v>
      </c>
      <c r="R210" s="3">
        <v>1513.35</v>
      </c>
      <c r="S210" t="s">
        <v>946</v>
      </c>
    </row>
    <row r="211" spans="1:19" x14ac:dyDescent="0.35">
      <c r="A211" t="s">
        <v>1365</v>
      </c>
      <c r="B211" t="s">
        <v>386</v>
      </c>
      <c r="C211" s="5">
        <v>45808</v>
      </c>
      <c r="E211" t="s">
        <v>387</v>
      </c>
      <c r="F211" t="s">
        <v>696</v>
      </c>
      <c r="G211" t="s">
        <v>243</v>
      </c>
      <c r="H211" t="s">
        <v>797</v>
      </c>
      <c r="I211" t="s">
        <v>14</v>
      </c>
      <c r="J211" t="s">
        <v>67</v>
      </c>
      <c r="K211" t="s">
        <v>798</v>
      </c>
      <c r="L211" t="s">
        <v>787</v>
      </c>
      <c r="M211" t="s">
        <v>842</v>
      </c>
      <c r="N211">
        <v>12</v>
      </c>
      <c r="O211" s="3">
        <v>17.63</v>
      </c>
      <c r="P211" s="3">
        <v>22.92</v>
      </c>
      <c r="Q211" s="6">
        <v>0.05</v>
      </c>
      <c r="R211" s="3">
        <v>261.28800000000001</v>
      </c>
      <c r="S211" t="s">
        <v>803</v>
      </c>
    </row>
    <row r="212" spans="1:19" x14ac:dyDescent="0.35">
      <c r="A212" t="s">
        <v>1368</v>
      </c>
      <c r="B212" t="s">
        <v>467</v>
      </c>
      <c r="C212" s="5">
        <v>45342</v>
      </c>
      <c r="D212" s="5">
        <v>45351</v>
      </c>
      <c r="E212" t="s">
        <v>468</v>
      </c>
      <c r="F212" t="s">
        <v>633</v>
      </c>
      <c r="G212" t="s">
        <v>235</v>
      </c>
      <c r="H212" t="s">
        <v>797</v>
      </c>
      <c r="I212" t="s">
        <v>48</v>
      </c>
      <c r="J212" t="s">
        <v>190</v>
      </c>
      <c r="K212" t="s">
        <v>798</v>
      </c>
      <c r="L212" t="s">
        <v>799</v>
      </c>
      <c r="M212" t="s">
        <v>788</v>
      </c>
      <c r="N212">
        <v>3</v>
      </c>
      <c r="O212" s="3">
        <v>21.56</v>
      </c>
      <c r="P212" s="3">
        <v>31.26</v>
      </c>
      <c r="Q212" s="6">
        <v>0</v>
      </c>
      <c r="R212" s="3">
        <v>93.78</v>
      </c>
      <c r="S212" t="s">
        <v>819</v>
      </c>
    </row>
    <row r="213" spans="1:19" x14ac:dyDescent="0.35">
      <c r="A213" t="s">
        <v>1369</v>
      </c>
      <c r="B213" t="s">
        <v>466</v>
      </c>
      <c r="C213" s="5">
        <v>45494</v>
      </c>
      <c r="E213" t="s">
        <v>441</v>
      </c>
      <c r="F213" t="s">
        <v>681</v>
      </c>
      <c r="G213" t="s">
        <v>235</v>
      </c>
      <c r="H213" t="s">
        <v>14</v>
      </c>
      <c r="I213" t="s">
        <v>8</v>
      </c>
      <c r="J213" t="s">
        <v>181</v>
      </c>
      <c r="K213" t="s">
        <v>798</v>
      </c>
      <c r="L213" t="s">
        <v>817</v>
      </c>
      <c r="M213" t="s">
        <v>788</v>
      </c>
      <c r="N213">
        <v>1</v>
      </c>
      <c r="O213" s="3">
        <v>20.49</v>
      </c>
      <c r="P213" s="3">
        <v>29.71</v>
      </c>
      <c r="Q213" s="6">
        <v>0</v>
      </c>
      <c r="R213" s="3">
        <v>29.71</v>
      </c>
      <c r="S213" t="s">
        <v>834</v>
      </c>
    </row>
    <row r="214" spans="1:19" x14ac:dyDescent="0.35">
      <c r="A214" t="s">
        <v>1372</v>
      </c>
      <c r="B214" t="s">
        <v>434</v>
      </c>
      <c r="C214" s="5">
        <v>45564</v>
      </c>
      <c r="D214" s="5">
        <v>45568</v>
      </c>
      <c r="E214" t="s">
        <v>435</v>
      </c>
      <c r="F214" t="s">
        <v>681</v>
      </c>
      <c r="G214" t="s">
        <v>264</v>
      </c>
      <c r="H214" t="s">
        <v>48</v>
      </c>
      <c r="I214" t="s">
        <v>20</v>
      </c>
      <c r="J214" t="s">
        <v>97</v>
      </c>
      <c r="K214" t="s">
        <v>813</v>
      </c>
      <c r="L214" t="s">
        <v>799</v>
      </c>
      <c r="M214" t="s">
        <v>818</v>
      </c>
      <c r="N214">
        <v>5</v>
      </c>
      <c r="O214" s="3">
        <v>20.79</v>
      </c>
      <c r="P214" s="3">
        <v>28.07</v>
      </c>
      <c r="Q214" s="6">
        <v>0</v>
      </c>
      <c r="R214" s="3">
        <v>140.35</v>
      </c>
      <c r="S214" t="s">
        <v>814</v>
      </c>
    </row>
    <row r="215" spans="1:19" x14ac:dyDescent="0.35">
      <c r="A215" t="s">
        <v>1375</v>
      </c>
      <c r="B215" t="s">
        <v>551</v>
      </c>
      <c r="C215" s="5">
        <v>45620</v>
      </c>
      <c r="E215" t="s">
        <v>304</v>
      </c>
      <c r="F215" t="s">
        <v>681</v>
      </c>
      <c r="G215" t="s">
        <v>264</v>
      </c>
      <c r="H215" t="s">
        <v>797</v>
      </c>
      <c r="I215" t="s">
        <v>38</v>
      </c>
      <c r="J215" t="s">
        <v>126</v>
      </c>
      <c r="K215" t="s">
        <v>798</v>
      </c>
      <c r="L215" t="s">
        <v>817</v>
      </c>
      <c r="M215" t="s">
        <v>818</v>
      </c>
      <c r="N215">
        <v>1</v>
      </c>
      <c r="O215" s="3">
        <v>41.95</v>
      </c>
      <c r="P215" s="3">
        <v>58.73</v>
      </c>
      <c r="Q215" s="6">
        <v>0.1</v>
      </c>
      <c r="R215" s="3">
        <v>52.856999999999999</v>
      </c>
      <c r="S215" t="s">
        <v>888</v>
      </c>
    </row>
    <row r="216" spans="1:19" x14ac:dyDescent="0.35">
      <c r="A216" t="s">
        <v>1377</v>
      </c>
      <c r="B216" t="s">
        <v>394</v>
      </c>
      <c r="C216" s="5">
        <v>45743</v>
      </c>
      <c r="D216" s="5">
        <v>45747</v>
      </c>
      <c r="E216" t="s">
        <v>356</v>
      </c>
      <c r="F216" t="s">
        <v>674</v>
      </c>
      <c r="G216" t="s">
        <v>264</v>
      </c>
      <c r="H216" t="s">
        <v>14</v>
      </c>
      <c r="I216" t="s">
        <v>8</v>
      </c>
      <c r="J216" t="s">
        <v>192</v>
      </c>
      <c r="K216" t="s">
        <v>813</v>
      </c>
      <c r="L216" t="s">
        <v>799</v>
      </c>
      <c r="M216" t="s">
        <v>842</v>
      </c>
      <c r="N216">
        <v>1</v>
      </c>
      <c r="O216" s="3">
        <v>19.47</v>
      </c>
      <c r="P216" s="3">
        <v>28.23</v>
      </c>
      <c r="Q216" s="6">
        <v>0</v>
      </c>
      <c r="R216" s="3">
        <v>28.23</v>
      </c>
      <c r="S216" t="s">
        <v>829</v>
      </c>
    </row>
    <row r="217" spans="1:19" x14ac:dyDescent="0.35">
      <c r="A217" t="s">
        <v>1380</v>
      </c>
      <c r="B217" t="s">
        <v>418</v>
      </c>
      <c r="C217" s="5">
        <v>45927</v>
      </c>
      <c r="E217" t="s">
        <v>253</v>
      </c>
      <c r="F217" t="s">
        <v>254</v>
      </c>
      <c r="G217" t="s">
        <v>264</v>
      </c>
      <c r="H217" t="s">
        <v>797</v>
      </c>
      <c r="I217" t="s">
        <v>8</v>
      </c>
      <c r="J217" t="s">
        <v>198</v>
      </c>
      <c r="K217" t="s">
        <v>786</v>
      </c>
      <c r="L217" t="s">
        <v>793</v>
      </c>
      <c r="M217" t="s">
        <v>818</v>
      </c>
      <c r="N217">
        <v>1</v>
      </c>
      <c r="O217" s="3">
        <v>30.64</v>
      </c>
      <c r="P217" s="3">
        <v>42.9</v>
      </c>
      <c r="Q217" s="6">
        <v>0</v>
      </c>
      <c r="R217" s="3">
        <v>42.9</v>
      </c>
      <c r="S217" t="s">
        <v>1134</v>
      </c>
    </row>
    <row r="218" spans="1:19" x14ac:dyDescent="0.35">
      <c r="A218" t="s">
        <v>1382</v>
      </c>
      <c r="B218" t="s">
        <v>382</v>
      </c>
      <c r="C218" s="5">
        <v>45506</v>
      </c>
      <c r="D218" s="5">
        <v>45507</v>
      </c>
      <c r="E218" t="s">
        <v>383</v>
      </c>
      <c r="F218" t="s">
        <v>674</v>
      </c>
      <c r="G218" t="s">
        <v>264</v>
      </c>
      <c r="H218" t="s">
        <v>14</v>
      </c>
      <c r="I218" t="s">
        <v>48</v>
      </c>
      <c r="J218" t="s">
        <v>139</v>
      </c>
      <c r="K218" t="s">
        <v>786</v>
      </c>
      <c r="L218" t="s">
        <v>799</v>
      </c>
      <c r="M218" t="s">
        <v>788</v>
      </c>
      <c r="N218">
        <v>1</v>
      </c>
      <c r="O218" s="3">
        <v>29.93</v>
      </c>
      <c r="P218" s="3">
        <v>41.9</v>
      </c>
      <c r="Q218" s="6">
        <v>0.15</v>
      </c>
      <c r="R218" s="3">
        <v>35.615000000000002</v>
      </c>
      <c r="S218" t="s">
        <v>1001</v>
      </c>
    </row>
    <row r="219" spans="1:19" x14ac:dyDescent="0.35">
      <c r="A219" t="s">
        <v>1383</v>
      </c>
      <c r="B219" t="s">
        <v>574</v>
      </c>
      <c r="C219" s="5">
        <v>45677</v>
      </c>
      <c r="E219" t="s">
        <v>458</v>
      </c>
      <c r="F219" t="s">
        <v>627</v>
      </c>
      <c r="H219" t="s">
        <v>797</v>
      </c>
      <c r="I219" t="s">
        <v>43</v>
      </c>
      <c r="J219" t="s">
        <v>146</v>
      </c>
      <c r="K219" t="s">
        <v>813</v>
      </c>
      <c r="L219" t="s">
        <v>793</v>
      </c>
      <c r="M219" t="s">
        <v>800</v>
      </c>
      <c r="N219">
        <v>10</v>
      </c>
      <c r="O219" s="3">
        <v>24.05</v>
      </c>
      <c r="P219" s="3">
        <v>31.27</v>
      </c>
      <c r="Q219" s="6">
        <v>0</v>
      </c>
      <c r="R219" s="3">
        <v>312.7</v>
      </c>
      <c r="S219" t="s">
        <v>845</v>
      </c>
    </row>
    <row r="220" spans="1:19" x14ac:dyDescent="0.35">
      <c r="A220" t="s">
        <v>1384</v>
      </c>
      <c r="B220" t="s">
        <v>299</v>
      </c>
      <c r="C220" s="5">
        <v>45962</v>
      </c>
      <c r="D220" s="5">
        <v>45967</v>
      </c>
      <c r="E220" t="s">
        <v>300</v>
      </c>
      <c r="F220" t="s">
        <v>696</v>
      </c>
      <c r="G220" t="s">
        <v>264</v>
      </c>
      <c r="H220" t="s">
        <v>14</v>
      </c>
      <c r="I220" t="s">
        <v>8</v>
      </c>
      <c r="J220" t="s">
        <v>65</v>
      </c>
      <c r="K220" t="s">
        <v>798</v>
      </c>
      <c r="L220" t="s">
        <v>822</v>
      </c>
      <c r="M220" t="s">
        <v>800</v>
      </c>
      <c r="N220">
        <v>1</v>
      </c>
      <c r="O220" s="3">
        <v>30.16</v>
      </c>
      <c r="P220" s="3">
        <v>40.72</v>
      </c>
      <c r="Q220" s="6">
        <v>0</v>
      </c>
      <c r="R220" s="3">
        <v>40.72</v>
      </c>
      <c r="S220" t="s">
        <v>839</v>
      </c>
    </row>
    <row r="221" spans="1:19" x14ac:dyDescent="0.35">
      <c r="A221" t="s">
        <v>1387</v>
      </c>
      <c r="B221" t="s">
        <v>394</v>
      </c>
      <c r="C221" s="5">
        <v>45956</v>
      </c>
      <c r="D221" s="5">
        <v>45958</v>
      </c>
      <c r="E221" t="s">
        <v>356</v>
      </c>
      <c r="F221" t="s">
        <v>696</v>
      </c>
      <c r="G221" t="s">
        <v>264</v>
      </c>
      <c r="H221" t="s">
        <v>14</v>
      </c>
      <c r="I221" t="s">
        <v>29</v>
      </c>
      <c r="J221" t="s">
        <v>27</v>
      </c>
      <c r="K221" t="s">
        <v>798</v>
      </c>
      <c r="L221" t="s">
        <v>822</v>
      </c>
      <c r="M221" t="s">
        <v>818</v>
      </c>
      <c r="N221">
        <v>10</v>
      </c>
      <c r="O221" s="3">
        <v>33.06</v>
      </c>
      <c r="P221" s="3">
        <v>47.94</v>
      </c>
      <c r="Q221" s="6">
        <v>0.1</v>
      </c>
      <c r="R221" s="3">
        <v>431.46</v>
      </c>
      <c r="S221" t="s">
        <v>790</v>
      </c>
    </row>
    <row r="222" spans="1:19" x14ac:dyDescent="0.35">
      <c r="A222" t="s">
        <v>1389</v>
      </c>
      <c r="B222" t="s">
        <v>511</v>
      </c>
      <c r="C222" s="5">
        <v>45482</v>
      </c>
      <c r="E222" t="s">
        <v>512</v>
      </c>
      <c r="F222" t="s">
        <v>696</v>
      </c>
      <c r="G222" t="s">
        <v>264</v>
      </c>
      <c r="H222" t="s">
        <v>14</v>
      </c>
      <c r="I222" t="s">
        <v>29</v>
      </c>
      <c r="J222" t="s">
        <v>154</v>
      </c>
      <c r="K222" t="s">
        <v>798</v>
      </c>
      <c r="L222" t="s">
        <v>787</v>
      </c>
      <c r="M222" t="s">
        <v>800</v>
      </c>
      <c r="N222">
        <v>1</v>
      </c>
      <c r="O222" s="3">
        <v>25.74</v>
      </c>
      <c r="P222" s="3">
        <v>33.46</v>
      </c>
      <c r="Q222" s="6">
        <v>0</v>
      </c>
      <c r="R222" s="3">
        <v>33.46</v>
      </c>
      <c r="S222" t="s">
        <v>819</v>
      </c>
    </row>
    <row r="223" spans="1:19" x14ac:dyDescent="0.35">
      <c r="A223" t="s">
        <v>1392</v>
      </c>
      <c r="B223" t="s">
        <v>252</v>
      </c>
      <c r="C223" s="5">
        <v>45694</v>
      </c>
      <c r="E223" t="s">
        <v>253</v>
      </c>
      <c r="F223" t="s">
        <v>633</v>
      </c>
      <c r="G223" t="s">
        <v>243</v>
      </c>
      <c r="H223" t="s">
        <v>14</v>
      </c>
      <c r="I223" t="s">
        <v>43</v>
      </c>
      <c r="J223" t="s">
        <v>222</v>
      </c>
      <c r="K223" t="s">
        <v>798</v>
      </c>
      <c r="L223" t="s">
        <v>793</v>
      </c>
      <c r="M223" t="s">
        <v>800</v>
      </c>
      <c r="N223">
        <v>2</v>
      </c>
      <c r="O223" s="3">
        <v>37.1</v>
      </c>
      <c r="P223" s="3">
        <v>48.23</v>
      </c>
      <c r="Q223" s="6">
        <v>0</v>
      </c>
      <c r="R223" s="3">
        <v>96.46</v>
      </c>
      <c r="S223" t="s">
        <v>869</v>
      </c>
    </row>
    <row r="224" spans="1:19" x14ac:dyDescent="0.35">
      <c r="A224" t="s">
        <v>1395</v>
      </c>
      <c r="B224" t="s">
        <v>266</v>
      </c>
      <c r="C224" s="5">
        <v>45555</v>
      </c>
      <c r="E224" t="s">
        <v>267</v>
      </c>
      <c r="F224" t="s">
        <v>627</v>
      </c>
      <c r="G224" t="s">
        <v>243</v>
      </c>
      <c r="H224" t="s">
        <v>48</v>
      </c>
      <c r="I224" t="s">
        <v>20</v>
      </c>
      <c r="J224" t="s">
        <v>159</v>
      </c>
      <c r="K224" t="s">
        <v>798</v>
      </c>
      <c r="L224" t="s">
        <v>793</v>
      </c>
      <c r="M224" t="s">
        <v>818</v>
      </c>
      <c r="N224">
        <v>2</v>
      </c>
      <c r="O224" s="3">
        <v>8.2200000000000006</v>
      </c>
      <c r="P224" s="3">
        <v>11.1</v>
      </c>
      <c r="Q224" s="6">
        <v>0.15</v>
      </c>
      <c r="R224" s="3">
        <v>18.87</v>
      </c>
      <c r="S224" t="s">
        <v>888</v>
      </c>
    </row>
    <row r="225" spans="1:19" x14ac:dyDescent="0.35">
      <c r="A225" t="s">
        <v>1397</v>
      </c>
      <c r="B225" t="s">
        <v>520</v>
      </c>
      <c r="C225" s="5">
        <v>45381</v>
      </c>
      <c r="E225" t="s">
        <v>521</v>
      </c>
      <c r="F225" t="s">
        <v>681</v>
      </c>
      <c r="G225" t="s">
        <v>243</v>
      </c>
      <c r="H225" t="s">
        <v>14</v>
      </c>
      <c r="I225" t="s">
        <v>43</v>
      </c>
      <c r="J225" t="s">
        <v>171</v>
      </c>
      <c r="K225" t="s">
        <v>798</v>
      </c>
      <c r="L225" t="s">
        <v>793</v>
      </c>
      <c r="M225" t="s">
        <v>788</v>
      </c>
      <c r="N225">
        <v>2</v>
      </c>
      <c r="O225" s="3">
        <v>29.39</v>
      </c>
      <c r="P225" s="3">
        <v>39.68</v>
      </c>
      <c r="Q225" s="6">
        <v>0.1</v>
      </c>
      <c r="R225" s="3">
        <v>71.424000000000007</v>
      </c>
      <c r="S225" t="s">
        <v>888</v>
      </c>
    </row>
    <row r="226" spans="1:19" x14ac:dyDescent="0.35">
      <c r="A226" t="s">
        <v>1398</v>
      </c>
      <c r="B226" t="s">
        <v>554</v>
      </c>
      <c r="C226" s="5">
        <v>45728</v>
      </c>
      <c r="D226" s="5">
        <v>45737</v>
      </c>
      <c r="E226" t="s">
        <v>445</v>
      </c>
      <c r="F226" t="s">
        <v>633</v>
      </c>
      <c r="G226" t="s">
        <v>235</v>
      </c>
      <c r="H226" t="s">
        <v>797</v>
      </c>
      <c r="I226" t="s">
        <v>8</v>
      </c>
      <c r="J226" t="s">
        <v>21</v>
      </c>
      <c r="K226" t="s">
        <v>813</v>
      </c>
      <c r="L226" t="s">
        <v>799</v>
      </c>
      <c r="M226" t="s">
        <v>788</v>
      </c>
      <c r="N226">
        <v>20</v>
      </c>
      <c r="O226" s="3">
        <v>21.57</v>
      </c>
      <c r="P226" s="3">
        <v>26.96</v>
      </c>
      <c r="Q226" s="6">
        <v>0</v>
      </c>
      <c r="R226" s="3">
        <v>539.20000000000005</v>
      </c>
      <c r="S226" t="s">
        <v>859</v>
      </c>
    </row>
    <row r="227" spans="1:19" x14ac:dyDescent="0.35">
      <c r="A227" t="s">
        <v>1399</v>
      </c>
      <c r="B227" t="s">
        <v>613</v>
      </c>
      <c r="C227" s="5">
        <v>45430</v>
      </c>
      <c r="E227" t="s">
        <v>304</v>
      </c>
      <c r="F227" t="s">
        <v>674</v>
      </c>
      <c r="G227" t="s">
        <v>243</v>
      </c>
      <c r="H227" t="s">
        <v>14</v>
      </c>
      <c r="I227" t="s">
        <v>20</v>
      </c>
      <c r="J227" t="s">
        <v>119</v>
      </c>
      <c r="K227" t="s">
        <v>798</v>
      </c>
      <c r="L227" t="s">
        <v>787</v>
      </c>
      <c r="M227" t="s">
        <v>842</v>
      </c>
      <c r="N227">
        <v>20</v>
      </c>
      <c r="O227" s="3">
        <v>40.94</v>
      </c>
      <c r="P227" s="3">
        <v>53.22</v>
      </c>
      <c r="Q227" s="6">
        <v>0.1</v>
      </c>
      <c r="R227" s="3">
        <v>957.96</v>
      </c>
      <c r="S227" t="s">
        <v>790</v>
      </c>
    </row>
    <row r="228" spans="1:19" x14ac:dyDescent="0.35">
      <c r="A228" t="s">
        <v>1401</v>
      </c>
      <c r="B228" t="s">
        <v>369</v>
      </c>
      <c r="C228" s="5">
        <v>46028</v>
      </c>
      <c r="E228" t="s">
        <v>282</v>
      </c>
      <c r="F228" t="s">
        <v>633</v>
      </c>
      <c r="G228" t="s">
        <v>243</v>
      </c>
      <c r="H228" t="s">
        <v>20</v>
      </c>
      <c r="I228" t="s">
        <v>8</v>
      </c>
      <c r="J228" t="s">
        <v>21</v>
      </c>
      <c r="K228" t="s">
        <v>813</v>
      </c>
      <c r="L228" t="s">
        <v>787</v>
      </c>
      <c r="M228" t="s">
        <v>800</v>
      </c>
      <c r="N228">
        <v>5</v>
      </c>
      <c r="O228" s="3">
        <v>21.57</v>
      </c>
      <c r="P228" s="3">
        <v>26.96</v>
      </c>
      <c r="Q228" s="6">
        <v>0.05</v>
      </c>
      <c r="R228" s="3">
        <v>128.06</v>
      </c>
      <c r="S228" t="s">
        <v>876</v>
      </c>
    </row>
    <row r="229" spans="1:19" x14ac:dyDescent="0.35">
      <c r="A229" t="s">
        <v>1403</v>
      </c>
      <c r="B229" t="s">
        <v>604</v>
      </c>
      <c r="C229" s="5">
        <v>45602</v>
      </c>
      <c r="E229" t="s">
        <v>431</v>
      </c>
      <c r="F229" t="s">
        <v>637</v>
      </c>
      <c r="G229" t="s">
        <v>243</v>
      </c>
      <c r="H229" t="s">
        <v>20</v>
      </c>
      <c r="I229" t="s">
        <v>20</v>
      </c>
      <c r="J229" t="s">
        <v>196</v>
      </c>
      <c r="K229" t="s">
        <v>786</v>
      </c>
      <c r="L229" t="s">
        <v>793</v>
      </c>
      <c r="M229" t="s">
        <v>788</v>
      </c>
      <c r="N229">
        <v>3</v>
      </c>
      <c r="O229" s="3">
        <v>15.78</v>
      </c>
      <c r="P229" s="3">
        <v>19.72</v>
      </c>
      <c r="Q229" s="6">
        <v>0</v>
      </c>
      <c r="R229" s="3">
        <v>59.16</v>
      </c>
      <c r="S229" t="s">
        <v>888</v>
      </c>
    </row>
    <row r="230" spans="1:19" x14ac:dyDescent="0.35">
      <c r="A230" t="s">
        <v>1406</v>
      </c>
      <c r="B230" t="s">
        <v>611</v>
      </c>
      <c r="C230" s="5">
        <v>45481</v>
      </c>
      <c r="D230" s="5">
        <v>45482</v>
      </c>
      <c r="E230" t="s">
        <v>287</v>
      </c>
      <c r="F230" t="s">
        <v>627</v>
      </c>
      <c r="G230" t="s">
        <v>235</v>
      </c>
      <c r="H230" t="s">
        <v>14</v>
      </c>
      <c r="I230" t="s">
        <v>20</v>
      </c>
      <c r="J230" t="s">
        <v>137</v>
      </c>
      <c r="K230" t="s">
        <v>798</v>
      </c>
      <c r="L230" t="s">
        <v>799</v>
      </c>
      <c r="M230" t="s">
        <v>788</v>
      </c>
      <c r="N230">
        <v>10</v>
      </c>
      <c r="O230" s="3">
        <v>23.58</v>
      </c>
      <c r="P230" s="3">
        <v>31.83</v>
      </c>
      <c r="Q230" s="6">
        <v>0</v>
      </c>
      <c r="R230" s="3">
        <v>318.29999999999995</v>
      </c>
      <c r="S230" t="s">
        <v>825</v>
      </c>
    </row>
    <row r="231" spans="1:19" x14ac:dyDescent="0.35">
      <c r="A231" t="s">
        <v>1409</v>
      </c>
      <c r="B231" t="s">
        <v>584</v>
      </c>
      <c r="C231" s="5">
        <v>45659</v>
      </c>
      <c r="D231" s="5">
        <v>45667</v>
      </c>
      <c r="E231" t="s">
        <v>562</v>
      </c>
      <c r="F231" t="s">
        <v>637</v>
      </c>
      <c r="G231" t="s">
        <v>264</v>
      </c>
      <c r="H231" t="s">
        <v>14</v>
      </c>
      <c r="I231" t="s">
        <v>29</v>
      </c>
      <c r="J231" t="s">
        <v>86</v>
      </c>
      <c r="K231" t="s">
        <v>798</v>
      </c>
      <c r="L231" t="s">
        <v>799</v>
      </c>
      <c r="M231" t="s">
        <v>800</v>
      </c>
      <c r="N231">
        <v>2</v>
      </c>
      <c r="O231" s="3">
        <v>8.35</v>
      </c>
      <c r="P231" s="3">
        <v>12.11</v>
      </c>
      <c r="Q231" s="6">
        <v>0</v>
      </c>
      <c r="R231" s="3">
        <v>24.22</v>
      </c>
      <c r="S231" t="s">
        <v>935</v>
      </c>
    </row>
    <row r="232" spans="1:19" x14ac:dyDescent="0.35">
      <c r="A232" t="s">
        <v>1410</v>
      </c>
      <c r="B232" t="s">
        <v>358</v>
      </c>
      <c r="C232" s="5">
        <v>45777</v>
      </c>
      <c r="E232" t="s">
        <v>287</v>
      </c>
      <c r="F232" t="s">
        <v>674</v>
      </c>
      <c r="G232" t="s">
        <v>243</v>
      </c>
      <c r="H232" t="s">
        <v>797</v>
      </c>
      <c r="I232" t="s">
        <v>14</v>
      </c>
      <c r="J232" t="s">
        <v>214</v>
      </c>
      <c r="K232" t="s">
        <v>798</v>
      </c>
      <c r="L232" t="s">
        <v>817</v>
      </c>
      <c r="M232" t="s">
        <v>800</v>
      </c>
      <c r="N232">
        <v>2</v>
      </c>
      <c r="O232" s="3">
        <v>22.07</v>
      </c>
      <c r="P232" s="3">
        <v>27.59</v>
      </c>
      <c r="Q232" s="6">
        <v>0.05</v>
      </c>
      <c r="R232" s="3">
        <v>52.420999999999999</v>
      </c>
      <c r="S232" t="s">
        <v>794</v>
      </c>
    </row>
    <row r="233" spans="1:19" x14ac:dyDescent="0.35">
      <c r="A233" t="s">
        <v>1413</v>
      </c>
      <c r="B233" t="s">
        <v>607</v>
      </c>
      <c r="C233" s="5">
        <v>46052</v>
      </c>
      <c r="E233" t="s">
        <v>608</v>
      </c>
      <c r="F233" t="s">
        <v>674</v>
      </c>
      <c r="G233" t="s">
        <v>264</v>
      </c>
      <c r="H233" t="s">
        <v>797</v>
      </c>
      <c r="I233" t="s">
        <v>8</v>
      </c>
      <c r="J233" t="s">
        <v>21</v>
      </c>
      <c r="K233" t="s">
        <v>786</v>
      </c>
      <c r="L233" t="s">
        <v>817</v>
      </c>
      <c r="M233" t="s">
        <v>818</v>
      </c>
      <c r="N233">
        <v>3</v>
      </c>
      <c r="O233" s="3">
        <v>21.57</v>
      </c>
      <c r="P233" s="3">
        <v>26.96</v>
      </c>
      <c r="Q233" s="6">
        <v>0.15</v>
      </c>
      <c r="R233" s="3">
        <v>68.74799999999999</v>
      </c>
      <c r="S233" t="s">
        <v>1134</v>
      </c>
    </row>
    <row r="234" spans="1:19" x14ac:dyDescent="0.35">
      <c r="A234" t="s">
        <v>1414</v>
      </c>
      <c r="B234" t="s">
        <v>479</v>
      </c>
      <c r="C234" s="5">
        <v>45760</v>
      </c>
      <c r="D234" s="5">
        <v>45770</v>
      </c>
      <c r="E234" t="s">
        <v>480</v>
      </c>
      <c r="F234" t="s">
        <v>696</v>
      </c>
      <c r="G234" t="s">
        <v>243</v>
      </c>
      <c r="H234" t="s">
        <v>20</v>
      </c>
      <c r="I234" t="s">
        <v>20</v>
      </c>
      <c r="J234" t="s">
        <v>51</v>
      </c>
      <c r="K234" t="s">
        <v>798</v>
      </c>
      <c r="L234" t="s">
        <v>799</v>
      </c>
      <c r="M234" t="s">
        <v>800</v>
      </c>
      <c r="N234">
        <v>12</v>
      </c>
      <c r="O234" s="3">
        <v>11.28</v>
      </c>
      <c r="P234" s="3">
        <v>15.23</v>
      </c>
      <c r="Q234" s="6">
        <v>0.05</v>
      </c>
      <c r="R234" s="3">
        <v>173.62199999999999</v>
      </c>
      <c r="S234" t="s">
        <v>946</v>
      </c>
    </row>
    <row r="235" spans="1:19" x14ac:dyDescent="0.35">
      <c r="A235" t="s">
        <v>1417</v>
      </c>
      <c r="B235" t="s">
        <v>522</v>
      </c>
      <c r="C235" s="5">
        <v>45900</v>
      </c>
      <c r="D235" s="5">
        <v>45904</v>
      </c>
      <c r="E235" t="s">
        <v>523</v>
      </c>
      <c r="F235" t="s">
        <v>681</v>
      </c>
      <c r="G235" t="s">
        <v>264</v>
      </c>
      <c r="H235" t="s">
        <v>20</v>
      </c>
      <c r="I235" t="s">
        <v>29</v>
      </c>
      <c r="J235" t="s">
        <v>191</v>
      </c>
      <c r="K235" t="s">
        <v>786</v>
      </c>
      <c r="L235" t="s">
        <v>799</v>
      </c>
      <c r="M235" t="s">
        <v>818</v>
      </c>
      <c r="N235">
        <v>3</v>
      </c>
      <c r="O235" s="3">
        <v>11.26</v>
      </c>
      <c r="P235" s="3">
        <v>15.2</v>
      </c>
      <c r="Q235" s="6">
        <v>0.05</v>
      </c>
      <c r="R235" s="3">
        <v>43.319999999999993</v>
      </c>
      <c r="S235" t="s">
        <v>829</v>
      </c>
    </row>
    <row r="236" spans="1:19" x14ac:dyDescent="0.35">
      <c r="A236" t="s">
        <v>1419</v>
      </c>
      <c r="B236" t="s">
        <v>466</v>
      </c>
      <c r="C236" s="5">
        <v>45823</v>
      </c>
      <c r="D236" s="5">
        <v>45831</v>
      </c>
      <c r="E236" t="s">
        <v>441</v>
      </c>
      <c r="F236" t="s">
        <v>681</v>
      </c>
      <c r="G236" t="s">
        <v>235</v>
      </c>
      <c r="H236" t="s">
        <v>797</v>
      </c>
      <c r="I236" t="s">
        <v>14</v>
      </c>
      <c r="J236" t="s">
        <v>214</v>
      </c>
      <c r="K236" t="s">
        <v>798</v>
      </c>
      <c r="L236" t="s">
        <v>799</v>
      </c>
      <c r="M236" t="s">
        <v>842</v>
      </c>
      <c r="N236">
        <v>5</v>
      </c>
      <c r="O236" s="3">
        <v>22.07</v>
      </c>
      <c r="P236" s="3">
        <v>27.59</v>
      </c>
      <c r="Q236" s="6">
        <v>0</v>
      </c>
      <c r="R236" s="3">
        <v>137.94999999999999</v>
      </c>
      <c r="S236" t="s">
        <v>859</v>
      </c>
    </row>
    <row r="237" spans="1:19" x14ac:dyDescent="0.35">
      <c r="A237" t="s">
        <v>1421</v>
      </c>
      <c r="B237" t="s">
        <v>614</v>
      </c>
      <c r="C237" s="5">
        <v>45699</v>
      </c>
      <c r="E237" t="s">
        <v>615</v>
      </c>
      <c r="F237" t="s">
        <v>637</v>
      </c>
      <c r="G237" t="s">
        <v>235</v>
      </c>
      <c r="H237" t="s">
        <v>797</v>
      </c>
      <c r="I237" t="s">
        <v>8</v>
      </c>
      <c r="J237" t="s">
        <v>174</v>
      </c>
      <c r="K237" t="s">
        <v>813</v>
      </c>
      <c r="L237" t="s">
        <v>793</v>
      </c>
      <c r="M237" t="s">
        <v>842</v>
      </c>
      <c r="N237">
        <v>2</v>
      </c>
      <c r="O237" s="3">
        <v>32.53</v>
      </c>
      <c r="P237" s="3">
        <v>43.92</v>
      </c>
      <c r="Q237" s="6">
        <v>0.15</v>
      </c>
      <c r="R237" s="3">
        <v>74.664000000000001</v>
      </c>
      <c r="S237" t="s">
        <v>892</v>
      </c>
    </row>
    <row r="238" spans="1:19" x14ac:dyDescent="0.35">
      <c r="A238" t="s">
        <v>1423</v>
      </c>
      <c r="B238" t="s">
        <v>569</v>
      </c>
      <c r="C238" s="5">
        <v>45437</v>
      </c>
      <c r="E238" t="s">
        <v>535</v>
      </c>
      <c r="F238" t="s">
        <v>696</v>
      </c>
      <c r="H238" t="s">
        <v>797</v>
      </c>
      <c r="I238" t="s">
        <v>8</v>
      </c>
      <c r="J238" t="s">
        <v>174</v>
      </c>
      <c r="K238" t="s">
        <v>798</v>
      </c>
      <c r="L238" t="s">
        <v>787</v>
      </c>
      <c r="M238" t="s">
        <v>788</v>
      </c>
      <c r="N238">
        <v>10</v>
      </c>
      <c r="O238" s="3">
        <v>32.53</v>
      </c>
      <c r="P238" s="3">
        <v>43.92</v>
      </c>
      <c r="Q238" s="6">
        <v>0.05</v>
      </c>
      <c r="R238" s="3">
        <v>417.24000000000007</v>
      </c>
      <c r="S238" t="s">
        <v>876</v>
      </c>
    </row>
    <row r="239" spans="1:19" x14ac:dyDescent="0.35">
      <c r="A239" t="s">
        <v>1424</v>
      </c>
      <c r="B239" t="s">
        <v>260</v>
      </c>
      <c r="C239" s="5">
        <v>45623</v>
      </c>
      <c r="D239" s="5">
        <v>45629</v>
      </c>
      <c r="E239" t="s">
        <v>261</v>
      </c>
      <c r="F239" t="s">
        <v>674</v>
      </c>
      <c r="G239" t="s">
        <v>264</v>
      </c>
      <c r="H239" t="s">
        <v>14</v>
      </c>
      <c r="I239" t="s">
        <v>48</v>
      </c>
      <c r="J239" t="s">
        <v>148</v>
      </c>
      <c r="K239" t="s">
        <v>786</v>
      </c>
      <c r="L239" t="s">
        <v>822</v>
      </c>
      <c r="M239" t="s">
        <v>818</v>
      </c>
      <c r="N239">
        <v>1</v>
      </c>
      <c r="O239" s="3">
        <v>58.01</v>
      </c>
      <c r="P239" s="3">
        <v>72.510000000000005</v>
      </c>
      <c r="Q239" s="6">
        <v>0</v>
      </c>
      <c r="R239" s="3">
        <v>72.510000000000005</v>
      </c>
      <c r="S239" t="s">
        <v>1017</v>
      </c>
    </row>
    <row r="240" spans="1:19" x14ac:dyDescent="0.35">
      <c r="A240" t="s">
        <v>1427</v>
      </c>
      <c r="B240" t="s">
        <v>592</v>
      </c>
      <c r="C240" s="5">
        <v>46000</v>
      </c>
      <c r="E240" t="s">
        <v>478</v>
      </c>
      <c r="F240" t="s">
        <v>637</v>
      </c>
      <c r="G240" t="s">
        <v>243</v>
      </c>
      <c r="H240" t="s">
        <v>797</v>
      </c>
      <c r="I240" t="s">
        <v>38</v>
      </c>
      <c r="J240" t="s">
        <v>69</v>
      </c>
      <c r="K240" t="s">
        <v>798</v>
      </c>
      <c r="L240" t="s">
        <v>787</v>
      </c>
      <c r="M240" t="s">
        <v>818</v>
      </c>
      <c r="N240">
        <v>3</v>
      </c>
      <c r="O240" s="3">
        <v>20.9</v>
      </c>
      <c r="P240" s="3">
        <v>28.21</v>
      </c>
      <c r="Q240" s="6">
        <v>0.15</v>
      </c>
      <c r="R240" s="3">
        <v>71.93549999999999</v>
      </c>
      <c r="S240" t="s">
        <v>814</v>
      </c>
    </row>
    <row r="241" spans="1:19" x14ac:dyDescent="0.35">
      <c r="A241" t="s">
        <v>1429</v>
      </c>
      <c r="B241" t="s">
        <v>590</v>
      </c>
      <c r="C241" s="5">
        <v>45379</v>
      </c>
      <c r="D241" s="5">
        <v>45386</v>
      </c>
      <c r="E241" t="s">
        <v>591</v>
      </c>
      <c r="F241" t="s">
        <v>696</v>
      </c>
      <c r="G241" t="s">
        <v>235</v>
      </c>
      <c r="H241" t="s">
        <v>20</v>
      </c>
      <c r="I241" t="s">
        <v>43</v>
      </c>
      <c r="J241" t="s">
        <v>113</v>
      </c>
      <c r="K241" t="s">
        <v>786</v>
      </c>
      <c r="L241" t="s">
        <v>799</v>
      </c>
      <c r="M241" t="s">
        <v>788</v>
      </c>
      <c r="N241">
        <v>5</v>
      </c>
      <c r="O241" s="3">
        <v>16.91</v>
      </c>
      <c r="P241" s="3">
        <v>21.14</v>
      </c>
      <c r="Q241" s="6">
        <v>0.05</v>
      </c>
      <c r="R241" s="3">
        <v>100.41500000000001</v>
      </c>
      <c r="S241" t="s">
        <v>790</v>
      </c>
    </row>
    <row r="242" spans="1:19" x14ac:dyDescent="0.35">
      <c r="A242" t="s">
        <v>1433</v>
      </c>
      <c r="B242" t="s">
        <v>438</v>
      </c>
      <c r="C242" s="5">
        <v>45336</v>
      </c>
      <c r="E242" t="s">
        <v>439</v>
      </c>
      <c r="F242" t="s">
        <v>627</v>
      </c>
      <c r="G242" t="s">
        <v>264</v>
      </c>
      <c r="H242" t="s">
        <v>20</v>
      </c>
      <c r="I242" t="s">
        <v>14</v>
      </c>
      <c r="J242" t="s">
        <v>150</v>
      </c>
      <c r="K242" t="s">
        <v>786</v>
      </c>
      <c r="L242" t="s">
        <v>787</v>
      </c>
      <c r="M242" t="s">
        <v>788</v>
      </c>
      <c r="N242">
        <v>12</v>
      </c>
      <c r="O242" s="3">
        <v>5.81</v>
      </c>
      <c r="P242" s="3">
        <v>7.55</v>
      </c>
      <c r="Q242" s="6">
        <v>0</v>
      </c>
      <c r="R242" s="3">
        <v>90.6</v>
      </c>
      <c r="S242" t="s">
        <v>1001</v>
      </c>
    </row>
    <row r="243" spans="1:19" x14ac:dyDescent="0.35">
      <c r="A243" t="s">
        <v>1436</v>
      </c>
      <c r="B243" t="s">
        <v>426</v>
      </c>
      <c r="C243" s="5">
        <v>45344</v>
      </c>
      <c r="E243" t="s">
        <v>427</v>
      </c>
      <c r="F243" t="s">
        <v>633</v>
      </c>
      <c r="G243" t="s">
        <v>264</v>
      </c>
      <c r="H243" t="s">
        <v>20</v>
      </c>
      <c r="I243" t="s">
        <v>43</v>
      </c>
      <c r="J243" t="s">
        <v>171</v>
      </c>
      <c r="K243" t="s">
        <v>786</v>
      </c>
      <c r="L243" t="s">
        <v>793</v>
      </c>
      <c r="M243" t="s">
        <v>788</v>
      </c>
      <c r="N243">
        <v>2</v>
      </c>
      <c r="O243" s="3">
        <v>29.39</v>
      </c>
      <c r="P243" s="3">
        <v>39.68</v>
      </c>
      <c r="Q243" s="6">
        <v>0</v>
      </c>
      <c r="R243" s="3">
        <v>79.36</v>
      </c>
      <c r="S243" t="s">
        <v>888</v>
      </c>
    </row>
    <row r="244" spans="1:19" x14ac:dyDescent="0.35">
      <c r="A244" t="s">
        <v>1438</v>
      </c>
      <c r="B244" t="s">
        <v>560</v>
      </c>
      <c r="C244" s="5">
        <v>45499</v>
      </c>
      <c r="D244" s="5">
        <v>45503</v>
      </c>
      <c r="E244" t="s">
        <v>292</v>
      </c>
      <c r="F244" t="s">
        <v>637</v>
      </c>
      <c r="G244" t="s">
        <v>264</v>
      </c>
      <c r="H244" t="s">
        <v>797</v>
      </c>
      <c r="I244" t="s">
        <v>8</v>
      </c>
      <c r="J244" t="s">
        <v>65</v>
      </c>
      <c r="K244" t="s">
        <v>798</v>
      </c>
      <c r="L244" t="s">
        <v>799</v>
      </c>
      <c r="M244" t="s">
        <v>842</v>
      </c>
      <c r="N244">
        <v>12</v>
      </c>
      <c r="O244" s="3">
        <v>30.16</v>
      </c>
      <c r="P244" s="3">
        <v>40.72</v>
      </c>
      <c r="Q244" s="6">
        <v>0.1</v>
      </c>
      <c r="R244" s="3">
        <v>439.77599999999995</v>
      </c>
      <c r="S244" t="s">
        <v>819</v>
      </c>
    </row>
    <row r="245" spans="1:19" x14ac:dyDescent="0.35">
      <c r="A245" t="s">
        <v>1440</v>
      </c>
      <c r="B245" t="s">
        <v>573</v>
      </c>
      <c r="C245" s="5">
        <v>45514</v>
      </c>
      <c r="D245" s="5">
        <v>45519</v>
      </c>
      <c r="E245" t="s">
        <v>277</v>
      </c>
      <c r="F245" t="s">
        <v>696</v>
      </c>
      <c r="G245" t="s">
        <v>235</v>
      </c>
      <c r="H245" t="s">
        <v>14</v>
      </c>
      <c r="I245" t="s">
        <v>20</v>
      </c>
      <c r="J245" t="s">
        <v>34</v>
      </c>
      <c r="K245" t="s">
        <v>798</v>
      </c>
      <c r="L245" t="s">
        <v>799</v>
      </c>
      <c r="M245" t="s">
        <v>842</v>
      </c>
      <c r="N245">
        <v>5</v>
      </c>
      <c r="O245" s="3">
        <v>28.02</v>
      </c>
      <c r="P245" s="3">
        <v>36.43</v>
      </c>
      <c r="Q245" s="6">
        <v>0</v>
      </c>
      <c r="R245" s="3">
        <v>182.15</v>
      </c>
      <c r="S245" t="s">
        <v>790</v>
      </c>
    </row>
    <row r="246" spans="1:19" x14ac:dyDescent="0.35">
      <c r="A246" t="s">
        <v>1442</v>
      </c>
      <c r="B246" t="s">
        <v>534</v>
      </c>
      <c r="C246" s="5">
        <v>45926</v>
      </c>
      <c r="E246" t="s">
        <v>535</v>
      </c>
      <c r="F246" t="s">
        <v>637</v>
      </c>
      <c r="H246" t="s">
        <v>20</v>
      </c>
      <c r="I246" t="s">
        <v>20</v>
      </c>
      <c r="J246" t="s">
        <v>39</v>
      </c>
      <c r="K246" t="s">
        <v>813</v>
      </c>
      <c r="L246" t="s">
        <v>787</v>
      </c>
      <c r="M246" t="s">
        <v>800</v>
      </c>
      <c r="N246">
        <v>1</v>
      </c>
      <c r="O246" s="3">
        <v>9.5</v>
      </c>
      <c r="P246" s="3">
        <v>12.83</v>
      </c>
      <c r="Q246" s="6">
        <v>0</v>
      </c>
      <c r="R246" s="3">
        <v>12.83</v>
      </c>
      <c r="S246" t="s">
        <v>888</v>
      </c>
    </row>
    <row r="247" spans="1:19" x14ac:dyDescent="0.35">
      <c r="A247" t="s">
        <v>1444</v>
      </c>
      <c r="B247" t="s">
        <v>554</v>
      </c>
      <c r="C247" s="5">
        <v>45325</v>
      </c>
      <c r="E247" t="s">
        <v>445</v>
      </c>
      <c r="F247" t="s">
        <v>633</v>
      </c>
      <c r="G247" t="s">
        <v>235</v>
      </c>
      <c r="H247" t="s">
        <v>797</v>
      </c>
      <c r="I247" t="s">
        <v>48</v>
      </c>
      <c r="J247" t="s">
        <v>179</v>
      </c>
      <c r="K247" t="s">
        <v>813</v>
      </c>
      <c r="L247" t="s">
        <v>787</v>
      </c>
      <c r="M247" t="s">
        <v>788</v>
      </c>
      <c r="N247">
        <v>20</v>
      </c>
      <c r="O247" s="3">
        <v>16.670000000000002</v>
      </c>
      <c r="P247" s="3">
        <v>22.5</v>
      </c>
      <c r="Q247" s="6">
        <v>0</v>
      </c>
      <c r="R247" s="3">
        <v>450</v>
      </c>
      <c r="S247" t="s">
        <v>825</v>
      </c>
    </row>
    <row r="248" spans="1:19" x14ac:dyDescent="0.35">
      <c r="A248" t="s">
        <v>1446</v>
      </c>
      <c r="B248" t="s">
        <v>574</v>
      </c>
      <c r="C248" s="5">
        <v>45583</v>
      </c>
      <c r="D248" s="5">
        <v>45589</v>
      </c>
      <c r="E248" t="s">
        <v>458</v>
      </c>
      <c r="F248" t="s">
        <v>681</v>
      </c>
      <c r="H248" t="s">
        <v>14</v>
      </c>
      <c r="I248" t="s">
        <v>14</v>
      </c>
      <c r="J248" t="s">
        <v>12</v>
      </c>
      <c r="K248" t="s">
        <v>798</v>
      </c>
      <c r="L248" t="s">
        <v>799</v>
      </c>
      <c r="M248" t="s">
        <v>818</v>
      </c>
      <c r="N248">
        <v>10</v>
      </c>
      <c r="O248" s="3">
        <v>35.03</v>
      </c>
      <c r="P248" s="3">
        <v>50.79</v>
      </c>
      <c r="Q248" s="6">
        <v>0.15</v>
      </c>
      <c r="R248" s="3">
        <v>431.71499999999997</v>
      </c>
      <c r="S248" t="s">
        <v>803</v>
      </c>
    </row>
    <row r="249" spans="1:19" x14ac:dyDescent="0.35">
      <c r="A249" t="s">
        <v>1449</v>
      </c>
      <c r="B249" t="s">
        <v>612</v>
      </c>
      <c r="C249" s="5">
        <v>45328</v>
      </c>
      <c r="D249" s="5">
        <v>45333</v>
      </c>
      <c r="E249" t="s">
        <v>447</v>
      </c>
      <c r="F249" t="s">
        <v>633</v>
      </c>
      <c r="G249" t="s">
        <v>235</v>
      </c>
      <c r="H249" t="s">
        <v>797</v>
      </c>
      <c r="I249" t="s">
        <v>43</v>
      </c>
      <c r="J249" t="s">
        <v>44</v>
      </c>
      <c r="K249" t="s">
        <v>786</v>
      </c>
      <c r="L249" t="s">
        <v>799</v>
      </c>
      <c r="M249" t="s">
        <v>818</v>
      </c>
      <c r="N249">
        <v>12</v>
      </c>
      <c r="O249" s="3">
        <v>14.05</v>
      </c>
      <c r="P249" s="3">
        <v>19.670000000000002</v>
      </c>
      <c r="Q249" s="6">
        <v>0.1</v>
      </c>
      <c r="R249" s="3">
        <v>212.43600000000001</v>
      </c>
      <c r="S249" t="s">
        <v>834</v>
      </c>
    </row>
    <row r="250" spans="1:19" x14ac:dyDescent="0.35">
      <c r="A250" t="s">
        <v>1451</v>
      </c>
      <c r="B250" t="s">
        <v>337</v>
      </c>
      <c r="C250" s="5">
        <v>45774</v>
      </c>
      <c r="E250" t="s">
        <v>338</v>
      </c>
      <c r="F250" t="s">
        <v>681</v>
      </c>
      <c r="G250" t="s">
        <v>243</v>
      </c>
      <c r="H250" t="s">
        <v>20</v>
      </c>
      <c r="I250" t="s">
        <v>20</v>
      </c>
      <c r="J250" t="s">
        <v>159</v>
      </c>
      <c r="K250" t="s">
        <v>798</v>
      </c>
      <c r="L250" t="s">
        <v>793</v>
      </c>
      <c r="M250" t="s">
        <v>788</v>
      </c>
      <c r="N250">
        <v>1</v>
      </c>
      <c r="O250" s="3">
        <v>8.2200000000000006</v>
      </c>
      <c r="P250" s="3">
        <v>11.1</v>
      </c>
      <c r="Q250" s="6">
        <v>0.15</v>
      </c>
      <c r="R250" s="3">
        <v>9.4350000000000005</v>
      </c>
      <c r="S250" t="s">
        <v>963</v>
      </c>
    </row>
    <row r="251" spans="1:19" x14ac:dyDescent="0.35">
      <c r="A251" t="s">
        <v>1453</v>
      </c>
      <c r="B251" t="s">
        <v>327</v>
      </c>
      <c r="C251" s="5">
        <v>45918</v>
      </c>
      <c r="E251" t="s">
        <v>328</v>
      </c>
      <c r="F251" t="s">
        <v>627</v>
      </c>
      <c r="G251" t="s">
        <v>264</v>
      </c>
      <c r="H251" t="s">
        <v>20</v>
      </c>
      <c r="I251" t="s">
        <v>8</v>
      </c>
      <c r="J251" t="s">
        <v>181</v>
      </c>
      <c r="K251" t="s">
        <v>798</v>
      </c>
      <c r="L251" t="s">
        <v>817</v>
      </c>
      <c r="M251" t="s">
        <v>818</v>
      </c>
      <c r="N251">
        <v>20</v>
      </c>
      <c r="O251" s="3">
        <v>20.49</v>
      </c>
      <c r="P251" s="3">
        <v>29.71</v>
      </c>
      <c r="Q251" s="6">
        <v>0.15</v>
      </c>
      <c r="R251" s="3">
        <v>505.07000000000005</v>
      </c>
      <c r="S251" t="s">
        <v>1001</v>
      </c>
    </row>
    <row r="252" spans="1:19" x14ac:dyDescent="0.35">
      <c r="A252" t="s">
        <v>1455</v>
      </c>
      <c r="B252" t="s">
        <v>479</v>
      </c>
      <c r="C252" s="5">
        <v>45911</v>
      </c>
      <c r="D252" s="5">
        <v>45921</v>
      </c>
      <c r="E252" t="s">
        <v>480</v>
      </c>
      <c r="F252" t="s">
        <v>627</v>
      </c>
      <c r="G252" t="s">
        <v>243</v>
      </c>
      <c r="H252" t="s">
        <v>20</v>
      </c>
      <c r="I252" t="s">
        <v>48</v>
      </c>
      <c r="J252" t="s">
        <v>54</v>
      </c>
      <c r="K252" t="s">
        <v>798</v>
      </c>
      <c r="L252" t="s">
        <v>799</v>
      </c>
      <c r="M252" t="s">
        <v>800</v>
      </c>
      <c r="N252">
        <v>2</v>
      </c>
      <c r="O252" s="3">
        <v>21.67</v>
      </c>
      <c r="P252" s="3">
        <v>28.17</v>
      </c>
      <c r="Q252" s="6">
        <v>0</v>
      </c>
      <c r="R252" s="3">
        <v>56.34</v>
      </c>
      <c r="S252" t="s">
        <v>946</v>
      </c>
    </row>
    <row r="253" spans="1:19" x14ac:dyDescent="0.35">
      <c r="A253" t="s">
        <v>1456</v>
      </c>
      <c r="B253" t="s">
        <v>597</v>
      </c>
      <c r="C253" s="5">
        <v>45800</v>
      </c>
      <c r="D253" s="5">
        <v>45804</v>
      </c>
      <c r="E253" t="s">
        <v>598</v>
      </c>
      <c r="F253" t="s">
        <v>681</v>
      </c>
      <c r="G253" t="s">
        <v>235</v>
      </c>
      <c r="H253" t="s">
        <v>14</v>
      </c>
      <c r="I253" t="s">
        <v>29</v>
      </c>
      <c r="J253" t="s">
        <v>27</v>
      </c>
      <c r="K253" t="s">
        <v>786</v>
      </c>
      <c r="L253" t="s">
        <v>822</v>
      </c>
      <c r="M253" t="s">
        <v>788</v>
      </c>
      <c r="N253">
        <v>5</v>
      </c>
      <c r="O253" s="3">
        <v>33.06</v>
      </c>
      <c r="P253" s="3">
        <v>47.94</v>
      </c>
      <c r="Q253" s="6">
        <v>0.15</v>
      </c>
      <c r="R253" s="3">
        <v>203.745</v>
      </c>
      <c r="S253" t="s">
        <v>859</v>
      </c>
    </row>
    <row r="254" spans="1:19" x14ac:dyDescent="0.35">
      <c r="A254" t="s">
        <v>1459</v>
      </c>
      <c r="B254" t="s">
        <v>260</v>
      </c>
      <c r="C254" s="5">
        <v>45293</v>
      </c>
      <c r="D254" s="5">
        <v>45299</v>
      </c>
      <c r="E254" t="s">
        <v>261</v>
      </c>
      <c r="F254" t="s">
        <v>696</v>
      </c>
      <c r="G254" t="s">
        <v>264</v>
      </c>
      <c r="H254" t="s">
        <v>14</v>
      </c>
      <c r="I254" t="s">
        <v>29</v>
      </c>
      <c r="J254" t="s">
        <v>106</v>
      </c>
      <c r="K254" t="s">
        <v>813</v>
      </c>
      <c r="L254" t="s">
        <v>799</v>
      </c>
      <c r="M254" t="s">
        <v>818</v>
      </c>
      <c r="N254">
        <v>1</v>
      </c>
      <c r="O254" s="3">
        <v>29.64</v>
      </c>
      <c r="P254" s="3">
        <v>41.5</v>
      </c>
      <c r="Q254" s="6">
        <v>0.05</v>
      </c>
      <c r="R254" s="3">
        <v>39.424999999999997</v>
      </c>
      <c r="S254" t="s">
        <v>829</v>
      </c>
    </row>
    <row r="255" spans="1:19" x14ac:dyDescent="0.35">
      <c r="A255" t="s">
        <v>1463</v>
      </c>
      <c r="B255" t="s">
        <v>565</v>
      </c>
      <c r="C255" s="5">
        <v>45650</v>
      </c>
      <c r="E255" t="s">
        <v>566</v>
      </c>
      <c r="F255" t="s">
        <v>674</v>
      </c>
      <c r="H255" t="s">
        <v>797</v>
      </c>
      <c r="I255" t="s">
        <v>8</v>
      </c>
      <c r="J255" t="s">
        <v>204</v>
      </c>
      <c r="K255" t="s">
        <v>798</v>
      </c>
      <c r="L255" t="s">
        <v>793</v>
      </c>
      <c r="M255" t="s">
        <v>842</v>
      </c>
      <c r="N255">
        <v>20</v>
      </c>
      <c r="O255" s="3">
        <v>28.27</v>
      </c>
      <c r="P255" s="3">
        <v>40.99</v>
      </c>
      <c r="Q255" s="6">
        <v>0</v>
      </c>
      <c r="R255" s="3">
        <v>819.80000000000007</v>
      </c>
      <c r="S255" t="s">
        <v>859</v>
      </c>
    </row>
    <row r="256" spans="1:19" x14ac:dyDescent="0.35">
      <c r="A256" t="s">
        <v>1465</v>
      </c>
      <c r="B256" t="s">
        <v>434</v>
      </c>
      <c r="C256" s="5">
        <v>45810</v>
      </c>
      <c r="E256" t="s">
        <v>435</v>
      </c>
      <c r="F256" t="s">
        <v>637</v>
      </c>
      <c r="G256" t="s">
        <v>264</v>
      </c>
      <c r="H256" t="s">
        <v>797</v>
      </c>
      <c r="I256" t="s">
        <v>14</v>
      </c>
      <c r="J256" t="s">
        <v>12</v>
      </c>
      <c r="K256" t="s">
        <v>798</v>
      </c>
      <c r="L256" t="s">
        <v>793</v>
      </c>
      <c r="M256" t="s">
        <v>842</v>
      </c>
      <c r="N256">
        <v>10</v>
      </c>
      <c r="O256" s="3">
        <v>35.03</v>
      </c>
      <c r="P256" s="3">
        <v>50.79</v>
      </c>
      <c r="Q256" s="6">
        <v>0</v>
      </c>
      <c r="R256" s="3">
        <v>507.9</v>
      </c>
      <c r="S256" t="s">
        <v>963</v>
      </c>
    </row>
    <row r="257" spans="1:19" x14ac:dyDescent="0.35">
      <c r="A257" t="s">
        <v>1468</v>
      </c>
      <c r="B257" t="s">
        <v>578</v>
      </c>
      <c r="C257" s="5">
        <v>45630</v>
      </c>
      <c r="D257" s="5">
        <v>45638</v>
      </c>
      <c r="E257" t="s">
        <v>368</v>
      </c>
      <c r="F257" t="s">
        <v>696</v>
      </c>
      <c r="G257" t="s">
        <v>235</v>
      </c>
      <c r="H257" t="s">
        <v>48</v>
      </c>
      <c r="I257" t="s">
        <v>29</v>
      </c>
      <c r="J257" t="s">
        <v>123</v>
      </c>
      <c r="K257" t="s">
        <v>786</v>
      </c>
      <c r="L257" t="s">
        <v>799</v>
      </c>
      <c r="M257" t="s">
        <v>818</v>
      </c>
      <c r="N257">
        <v>3</v>
      </c>
      <c r="O257" s="3">
        <v>20.7</v>
      </c>
      <c r="P257" s="3">
        <v>30.01</v>
      </c>
      <c r="Q257" s="6">
        <v>0</v>
      </c>
      <c r="R257" s="3">
        <v>90.03</v>
      </c>
      <c r="S257" t="s">
        <v>869</v>
      </c>
    </row>
    <row r="258" spans="1:19" x14ac:dyDescent="0.35">
      <c r="A258" t="s">
        <v>1471</v>
      </c>
      <c r="B258" t="s">
        <v>495</v>
      </c>
      <c r="C258" s="5">
        <v>45841</v>
      </c>
      <c r="E258" t="s">
        <v>496</v>
      </c>
      <c r="F258" t="s">
        <v>637</v>
      </c>
      <c r="G258" t="s">
        <v>264</v>
      </c>
      <c r="H258" t="s">
        <v>20</v>
      </c>
      <c r="I258" t="s">
        <v>48</v>
      </c>
      <c r="J258" t="s">
        <v>217</v>
      </c>
      <c r="K258" t="s">
        <v>786</v>
      </c>
      <c r="L258" t="s">
        <v>787</v>
      </c>
      <c r="M258" t="s">
        <v>800</v>
      </c>
      <c r="N258">
        <v>12</v>
      </c>
      <c r="O258" s="3">
        <v>24.07</v>
      </c>
      <c r="P258" s="3">
        <v>34.9</v>
      </c>
      <c r="Q258" s="6">
        <v>0.1</v>
      </c>
      <c r="R258" s="3">
        <v>376.91999999999996</v>
      </c>
      <c r="S258" t="s">
        <v>825</v>
      </c>
    </row>
    <row r="259" spans="1:19" x14ac:dyDescent="0.35">
      <c r="A259" t="s">
        <v>1473</v>
      </c>
      <c r="B259" t="s">
        <v>527</v>
      </c>
      <c r="C259" s="5">
        <v>45615</v>
      </c>
      <c r="D259" s="5">
        <v>45620</v>
      </c>
      <c r="E259" t="s">
        <v>282</v>
      </c>
      <c r="F259" t="s">
        <v>254</v>
      </c>
      <c r="G259" t="s">
        <v>235</v>
      </c>
      <c r="H259" t="s">
        <v>797</v>
      </c>
      <c r="I259" t="s">
        <v>48</v>
      </c>
      <c r="J259" t="s">
        <v>143</v>
      </c>
      <c r="K259" t="s">
        <v>798</v>
      </c>
      <c r="L259" t="s">
        <v>799</v>
      </c>
      <c r="M259" t="s">
        <v>800</v>
      </c>
      <c r="N259">
        <v>2</v>
      </c>
      <c r="O259" s="3">
        <v>29.93</v>
      </c>
      <c r="P259" s="3">
        <v>38.909999999999997</v>
      </c>
      <c r="Q259" s="6">
        <v>0</v>
      </c>
      <c r="R259" s="3">
        <v>77.819999999999993</v>
      </c>
      <c r="S259" t="s">
        <v>888</v>
      </c>
    </row>
    <row r="260" spans="1:19" x14ac:dyDescent="0.35">
      <c r="A260" t="s">
        <v>1474</v>
      </c>
      <c r="B260" t="s">
        <v>457</v>
      </c>
      <c r="C260" s="5">
        <v>45323</v>
      </c>
      <c r="D260" s="5">
        <v>45328</v>
      </c>
      <c r="E260" t="s">
        <v>458</v>
      </c>
      <c r="F260" t="s">
        <v>681</v>
      </c>
      <c r="G260" t="s">
        <v>243</v>
      </c>
      <c r="H260" t="s">
        <v>14</v>
      </c>
      <c r="I260" t="s">
        <v>38</v>
      </c>
      <c r="J260" t="s">
        <v>130</v>
      </c>
      <c r="K260" t="s">
        <v>813</v>
      </c>
      <c r="L260" t="s">
        <v>799</v>
      </c>
      <c r="M260" t="s">
        <v>788</v>
      </c>
      <c r="N260">
        <v>10</v>
      </c>
      <c r="O260" s="3">
        <v>13.35</v>
      </c>
      <c r="P260" s="3">
        <v>17.36</v>
      </c>
      <c r="Q260" s="6">
        <v>0.1</v>
      </c>
      <c r="R260" s="3">
        <v>156.24</v>
      </c>
      <c r="S260" t="s">
        <v>919</v>
      </c>
    </row>
    <row r="261" spans="1:19" x14ac:dyDescent="0.35">
      <c r="A261" t="s">
        <v>1476</v>
      </c>
      <c r="B261" t="s">
        <v>590</v>
      </c>
      <c r="C261" s="5">
        <v>46014</v>
      </c>
      <c r="D261" s="5">
        <v>46018</v>
      </c>
      <c r="E261" t="s">
        <v>591</v>
      </c>
      <c r="F261" t="s">
        <v>254</v>
      </c>
      <c r="G261" t="s">
        <v>235</v>
      </c>
      <c r="H261" t="s">
        <v>797</v>
      </c>
      <c r="I261" t="s">
        <v>43</v>
      </c>
      <c r="J261" t="s">
        <v>141</v>
      </c>
      <c r="K261" t="s">
        <v>813</v>
      </c>
      <c r="L261" t="s">
        <v>799</v>
      </c>
      <c r="M261" t="s">
        <v>800</v>
      </c>
      <c r="N261">
        <v>5</v>
      </c>
      <c r="O261" s="3">
        <v>17.2</v>
      </c>
      <c r="P261" s="3">
        <v>22.36</v>
      </c>
      <c r="Q261" s="6">
        <v>0.05</v>
      </c>
      <c r="R261" s="3">
        <v>106.21</v>
      </c>
      <c r="S261" t="s">
        <v>859</v>
      </c>
    </row>
    <row r="262" spans="1:19" x14ac:dyDescent="0.35">
      <c r="A262" t="s">
        <v>1479</v>
      </c>
      <c r="B262" t="s">
        <v>364</v>
      </c>
      <c r="C262" s="5">
        <v>45829</v>
      </c>
      <c r="E262" t="s">
        <v>365</v>
      </c>
      <c r="F262" t="s">
        <v>254</v>
      </c>
      <c r="G262" t="s">
        <v>243</v>
      </c>
      <c r="H262" t="s">
        <v>797</v>
      </c>
      <c r="I262" t="s">
        <v>20</v>
      </c>
      <c r="J262" t="s">
        <v>119</v>
      </c>
      <c r="K262" t="s">
        <v>813</v>
      </c>
      <c r="L262" t="s">
        <v>793</v>
      </c>
      <c r="M262" t="s">
        <v>842</v>
      </c>
      <c r="N262">
        <v>3</v>
      </c>
      <c r="O262" s="3">
        <v>40.94</v>
      </c>
      <c r="P262" s="3">
        <v>53.22</v>
      </c>
      <c r="Q262" s="6">
        <v>0.05</v>
      </c>
      <c r="R262" s="3">
        <v>151.67699999999999</v>
      </c>
      <c r="S262" t="s">
        <v>892</v>
      </c>
    </row>
    <row r="263" spans="1:19" x14ac:dyDescent="0.35">
      <c r="A263" t="s">
        <v>1482</v>
      </c>
      <c r="B263" t="s">
        <v>511</v>
      </c>
      <c r="C263" s="5">
        <v>45317</v>
      </c>
      <c r="D263" s="5">
        <v>45319</v>
      </c>
      <c r="E263" t="s">
        <v>512</v>
      </c>
      <c r="F263" t="s">
        <v>674</v>
      </c>
      <c r="G263" t="s">
        <v>264</v>
      </c>
      <c r="H263" t="s">
        <v>797</v>
      </c>
      <c r="I263" t="s">
        <v>48</v>
      </c>
      <c r="J263" t="s">
        <v>202</v>
      </c>
      <c r="K263" t="s">
        <v>786</v>
      </c>
      <c r="L263" t="s">
        <v>799</v>
      </c>
      <c r="M263" t="s">
        <v>800</v>
      </c>
      <c r="N263">
        <v>5</v>
      </c>
      <c r="O263" s="3">
        <v>27</v>
      </c>
      <c r="P263" s="3">
        <v>39.15</v>
      </c>
      <c r="Q263" s="6">
        <v>0</v>
      </c>
      <c r="R263" s="3">
        <v>195.75</v>
      </c>
      <c r="S263" t="s">
        <v>888</v>
      </c>
    </row>
    <row r="264" spans="1:19" x14ac:dyDescent="0.35">
      <c r="A264" t="s">
        <v>1485</v>
      </c>
      <c r="B264" t="s">
        <v>377</v>
      </c>
      <c r="C264" s="5">
        <v>45820</v>
      </c>
      <c r="D264" s="5">
        <v>45821</v>
      </c>
      <c r="E264" t="s">
        <v>378</v>
      </c>
      <c r="F264" t="s">
        <v>681</v>
      </c>
      <c r="G264" t="s">
        <v>243</v>
      </c>
      <c r="H264" t="s">
        <v>797</v>
      </c>
      <c r="I264" t="s">
        <v>14</v>
      </c>
      <c r="J264" t="s">
        <v>24</v>
      </c>
      <c r="K264" t="s">
        <v>798</v>
      </c>
      <c r="L264" t="s">
        <v>799</v>
      </c>
      <c r="M264" t="s">
        <v>842</v>
      </c>
      <c r="N264">
        <v>2</v>
      </c>
      <c r="O264" s="3">
        <v>37.42</v>
      </c>
      <c r="P264" s="3">
        <v>50.52</v>
      </c>
      <c r="Q264" s="6">
        <v>0</v>
      </c>
      <c r="R264" s="3">
        <v>101.04</v>
      </c>
      <c r="S264" t="s">
        <v>859</v>
      </c>
    </row>
    <row r="265" spans="1:19" x14ac:dyDescent="0.35">
      <c r="A265" t="s">
        <v>1487</v>
      </c>
      <c r="B265" t="s">
        <v>315</v>
      </c>
      <c r="C265" s="5">
        <v>45995</v>
      </c>
      <c r="D265" s="5">
        <v>46000</v>
      </c>
      <c r="E265" t="s">
        <v>316</v>
      </c>
      <c r="F265" t="s">
        <v>633</v>
      </c>
      <c r="G265" t="s">
        <v>235</v>
      </c>
      <c r="H265" t="s">
        <v>14</v>
      </c>
      <c r="I265" t="s">
        <v>48</v>
      </c>
      <c r="J265" t="s">
        <v>179</v>
      </c>
      <c r="K265" t="s">
        <v>813</v>
      </c>
      <c r="L265" t="s">
        <v>799</v>
      </c>
      <c r="M265" t="s">
        <v>800</v>
      </c>
      <c r="N265">
        <v>20</v>
      </c>
      <c r="O265" s="3">
        <v>16.670000000000002</v>
      </c>
      <c r="P265" s="3">
        <v>22.5</v>
      </c>
      <c r="Q265" s="6">
        <v>0</v>
      </c>
      <c r="R265" s="3">
        <v>450</v>
      </c>
      <c r="S265" t="s">
        <v>803</v>
      </c>
    </row>
    <row r="266" spans="1:19" x14ac:dyDescent="0.35">
      <c r="A266" t="s">
        <v>1489</v>
      </c>
      <c r="B266" t="s">
        <v>434</v>
      </c>
      <c r="C266" s="5">
        <v>45946</v>
      </c>
      <c r="E266" t="s">
        <v>435</v>
      </c>
      <c r="F266" t="s">
        <v>674</v>
      </c>
      <c r="G266" t="s">
        <v>264</v>
      </c>
      <c r="H266" t="s">
        <v>797</v>
      </c>
      <c r="I266" t="s">
        <v>14</v>
      </c>
      <c r="J266" t="s">
        <v>152</v>
      </c>
      <c r="K266" t="s">
        <v>798</v>
      </c>
      <c r="L266" t="s">
        <v>793</v>
      </c>
      <c r="M266" t="s">
        <v>818</v>
      </c>
      <c r="N266">
        <v>12</v>
      </c>
      <c r="O266" s="3">
        <v>38.549999999999997</v>
      </c>
      <c r="P266" s="3">
        <v>53.97</v>
      </c>
      <c r="Q266" s="6">
        <v>0.15</v>
      </c>
      <c r="R266" s="3">
        <v>550.49400000000003</v>
      </c>
      <c r="S266" t="s">
        <v>919</v>
      </c>
    </row>
    <row r="267" spans="1:19" x14ac:dyDescent="0.35">
      <c r="A267" t="s">
        <v>1491</v>
      </c>
      <c r="B267" t="s">
        <v>355</v>
      </c>
      <c r="C267" s="5">
        <v>45571</v>
      </c>
      <c r="D267" s="5">
        <v>45577</v>
      </c>
      <c r="E267" t="s">
        <v>356</v>
      </c>
      <c r="F267" t="s">
        <v>633</v>
      </c>
      <c r="G267" t="s">
        <v>264</v>
      </c>
      <c r="H267" t="s">
        <v>797</v>
      </c>
      <c r="I267" t="s">
        <v>79</v>
      </c>
      <c r="J267" t="s">
        <v>184</v>
      </c>
      <c r="K267" t="s">
        <v>786</v>
      </c>
      <c r="L267" t="s">
        <v>799</v>
      </c>
      <c r="M267" t="s">
        <v>842</v>
      </c>
      <c r="N267">
        <v>12</v>
      </c>
      <c r="O267" s="3">
        <v>28.87</v>
      </c>
      <c r="P267" s="3">
        <v>40.42</v>
      </c>
      <c r="Q267" s="6">
        <v>0</v>
      </c>
      <c r="R267" s="3">
        <v>485.04</v>
      </c>
      <c r="S267" t="s">
        <v>790</v>
      </c>
    </row>
    <row r="268" spans="1:19" x14ac:dyDescent="0.35">
      <c r="A268" t="s">
        <v>1494</v>
      </c>
      <c r="B268" t="s">
        <v>409</v>
      </c>
      <c r="C268" s="5">
        <v>45854</v>
      </c>
      <c r="D268" s="5">
        <v>45864</v>
      </c>
      <c r="E268" t="s">
        <v>410</v>
      </c>
      <c r="F268" t="s">
        <v>674</v>
      </c>
      <c r="G268" t="s">
        <v>235</v>
      </c>
      <c r="H268" t="s">
        <v>48</v>
      </c>
      <c r="I268" t="s">
        <v>14</v>
      </c>
      <c r="J268" t="s">
        <v>138</v>
      </c>
      <c r="K268" t="s">
        <v>786</v>
      </c>
      <c r="L268" t="s">
        <v>799</v>
      </c>
      <c r="M268" t="s">
        <v>788</v>
      </c>
      <c r="N268">
        <v>20</v>
      </c>
      <c r="O268" s="3">
        <v>42.6</v>
      </c>
      <c r="P268" s="3">
        <v>59.64</v>
      </c>
      <c r="Q268" s="6">
        <v>0</v>
      </c>
      <c r="R268" s="3">
        <v>1192.8</v>
      </c>
      <c r="S268" t="s">
        <v>859</v>
      </c>
    </row>
    <row r="269" spans="1:19" x14ac:dyDescent="0.35">
      <c r="A269" t="s">
        <v>1496</v>
      </c>
      <c r="B269" t="s">
        <v>487</v>
      </c>
      <c r="C269" s="5">
        <v>45638</v>
      </c>
      <c r="D269" s="5">
        <v>45640</v>
      </c>
      <c r="E269" t="s">
        <v>488</v>
      </c>
      <c r="F269" t="s">
        <v>254</v>
      </c>
      <c r="G269" t="s">
        <v>243</v>
      </c>
      <c r="H269" t="s">
        <v>797</v>
      </c>
      <c r="I269" t="s">
        <v>48</v>
      </c>
      <c r="J269" t="s">
        <v>217</v>
      </c>
      <c r="K269" t="s">
        <v>798</v>
      </c>
      <c r="L269" t="s">
        <v>799</v>
      </c>
      <c r="M269" t="s">
        <v>842</v>
      </c>
      <c r="N269">
        <v>5</v>
      </c>
      <c r="O269" s="3">
        <v>24.07</v>
      </c>
      <c r="P269" s="3">
        <v>34.9</v>
      </c>
      <c r="Q269" s="6">
        <v>0.05</v>
      </c>
      <c r="R269" s="3">
        <v>165.77500000000001</v>
      </c>
      <c r="S269" t="s">
        <v>829</v>
      </c>
    </row>
    <row r="270" spans="1:19" x14ac:dyDescent="0.35">
      <c r="A270" t="s">
        <v>1499</v>
      </c>
      <c r="B270" t="s">
        <v>366</v>
      </c>
      <c r="C270" s="5">
        <v>45728</v>
      </c>
      <c r="D270" s="5">
        <v>45733</v>
      </c>
      <c r="E270" t="s">
        <v>245</v>
      </c>
      <c r="F270" t="s">
        <v>681</v>
      </c>
      <c r="G270" t="s">
        <v>243</v>
      </c>
      <c r="H270" t="s">
        <v>14</v>
      </c>
      <c r="I270" t="s">
        <v>20</v>
      </c>
      <c r="J270" t="s">
        <v>102</v>
      </c>
      <c r="K270" t="s">
        <v>798</v>
      </c>
      <c r="L270" t="s">
        <v>799</v>
      </c>
      <c r="M270" t="s">
        <v>818</v>
      </c>
      <c r="N270">
        <v>5</v>
      </c>
      <c r="O270" s="3">
        <v>19.04</v>
      </c>
      <c r="P270" s="3">
        <v>25.7</v>
      </c>
      <c r="Q270" s="6">
        <v>0.1</v>
      </c>
      <c r="R270" s="3">
        <v>115.65</v>
      </c>
      <c r="S270" t="s">
        <v>814</v>
      </c>
    </row>
    <row r="271" spans="1:19" x14ac:dyDescent="0.35">
      <c r="A271" t="s">
        <v>1502</v>
      </c>
      <c r="B271" t="s">
        <v>592</v>
      </c>
      <c r="C271" s="5">
        <v>45632</v>
      </c>
      <c r="E271" t="s">
        <v>478</v>
      </c>
      <c r="F271" t="s">
        <v>637</v>
      </c>
      <c r="G271" t="s">
        <v>243</v>
      </c>
      <c r="H271" t="s">
        <v>14</v>
      </c>
      <c r="I271" t="s">
        <v>43</v>
      </c>
      <c r="J271" t="s">
        <v>171</v>
      </c>
      <c r="K271" t="s">
        <v>798</v>
      </c>
      <c r="L271" t="s">
        <v>817</v>
      </c>
      <c r="M271" t="s">
        <v>818</v>
      </c>
      <c r="N271">
        <v>20</v>
      </c>
      <c r="O271" s="3">
        <v>29.39</v>
      </c>
      <c r="P271" s="3">
        <v>39.68</v>
      </c>
      <c r="Q271" s="6">
        <v>0.1</v>
      </c>
      <c r="R271" s="3">
        <v>714.24</v>
      </c>
      <c r="S271" t="s">
        <v>888</v>
      </c>
    </row>
    <row r="272" spans="1:19" x14ac:dyDescent="0.35">
      <c r="A272" t="s">
        <v>1503</v>
      </c>
      <c r="B272" t="s">
        <v>320</v>
      </c>
      <c r="C272" s="5">
        <v>45387</v>
      </c>
      <c r="D272" s="5">
        <v>45390</v>
      </c>
      <c r="E272" t="s">
        <v>321</v>
      </c>
      <c r="F272" t="s">
        <v>696</v>
      </c>
      <c r="G272" t="s">
        <v>235</v>
      </c>
      <c r="H272" t="s">
        <v>797</v>
      </c>
      <c r="I272" t="s">
        <v>38</v>
      </c>
      <c r="J272" t="s">
        <v>156</v>
      </c>
      <c r="K272" t="s">
        <v>798</v>
      </c>
      <c r="L272" t="s">
        <v>799</v>
      </c>
      <c r="M272" t="s">
        <v>818</v>
      </c>
      <c r="N272">
        <v>3</v>
      </c>
      <c r="O272" s="3">
        <v>20.81</v>
      </c>
      <c r="P272" s="3">
        <v>29.13</v>
      </c>
      <c r="Q272" s="6">
        <v>0</v>
      </c>
      <c r="R272" s="3">
        <v>87.39</v>
      </c>
      <c r="S272" t="s">
        <v>794</v>
      </c>
    </row>
    <row r="273" spans="1:19" x14ac:dyDescent="0.35">
      <c r="A273" t="s">
        <v>1506</v>
      </c>
      <c r="B273" t="s">
        <v>452</v>
      </c>
      <c r="C273" s="5">
        <v>45923</v>
      </c>
      <c r="E273" t="s">
        <v>420</v>
      </c>
      <c r="F273" t="s">
        <v>696</v>
      </c>
      <c r="G273" t="s">
        <v>264</v>
      </c>
      <c r="H273" t="s">
        <v>797</v>
      </c>
      <c r="I273" t="s">
        <v>8</v>
      </c>
      <c r="J273" t="s">
        <v>174</v>
      </c>
      <c r="K273" t="s">
        <v>786</v>
      </c>
      <c r="L273" t="s">
        <v>793</v>
      </c>
      <c r="M273" t="s">
        <v>800</v>
      </c>
      <c r="N273">
        <v>5</v>
      </c>
      <c r="O273" s="3">
        <v>32.53</v>
      </c>
      <c r="P273" s="3">
        <v>43.92</v>
      </c>
      <c r="Q273" s="6">
        <v>0.05</v>
      </c>
      <c r="R273" s="3">
        <v>208.62000000000003</v>
      </c>
      <c r="S273" t="s">
        <v>819</v>
      </c>
    </row>
    <row r="274" spans="1:19" x14ac:dyDescent="0.35">
      <c r="A274" t="s">
        <v>1507</v>
      </c>
      <c r="B274" t="s">
        <v>500</v>
      </c>
      <c r="C274" s="5">
        <v>45322</v>
      </c>
      <c r="E274" t="s">
        <v>447</v>
      </c>
      <c r="F274" t="s">
        <v>254</v>
      </c>
      <c r="G274" t="s">
        <v>235</v>
      </c>
      <c r="H274" t="s">
        <v>797</v>
      </c>
      <c r="I274" t="s">
        <v>29</v>
      </c>
      <c r="J274" t="s">
        <v>121</v>
      </c>
      <c r="K274" t="s">
        <v>798</v>
      </c>
      <c r="L274" t="s">
        <v>787</v>
      </c>
      <c r="M274" t="s">
        <v>800</v>
      </c>
      <c r="N274">
        <v>3</v>
      </c>
      <c r="O274" s="3">
        <v>15.46</v>
      </c>
      <c r="P274" s="3">
        <v>22.42</v>
      </c>
      <c r="Q274" s="6">
        <v>0.1</v>
      </c>
      <c r="R274" s="3">
        <v>60.534000000000006</v>
      </c>
      <c r="S274" t="s">
        <v>803</v>
      </c>
    </row>
    <row r="275" spans="1:19" x14ac:dyDescent="0.35">
      <c r="A275" t="s">
        <v>1509</v>
      </c>
      <c r="B275" t="s">
        <v>324</v>
      </c>
      <c r="C275" s="5">
        <v>45422</v>
      </c>
      <c r="E275" t="s">
        <v>296</v>
      </c>
      <c r="F275" t="s">
        <v>696</v>
      </c>
      <c r="G275" t="s">
        <v>264</v>
      </c>
      <c r="H275" t="s">
        <v>20</v>
      </c>
      <c r="I275" t="s">
        <v>20</v>
      </c>
      <c r="J275" t="s">
        <v>159</v>
      </c>
      <c r="K275" t="s">
        <v>786</v>
      </c>
      <c r="L275" t="s">
        <v>793</v>
      </c>
      <c r="M275" t="s">
        <v>842</v>
      </c>
      <c r="N275">
        <v>2</v>
      </c>
      <c r="O275" s="3">
        <v>8.2200000000000006</v>
      </c>
      <c r="P275" s="3">
        <v>11.1</v>
      </c>
      <c r="Q275" s="6">
        <v>0</v>
      </c>
      <c r="R275" s="3">
        <v>22.2</v>
      </c>
      <c r="S275" t="s">
        <v>790</v>
      </c>
    </row>
    <row r="276" spans="1:19" x14ac:dyDescent="0.35">
      <c r="A276" t="s">
        <v>1511</v>
      </c>
      <c r="B276" t="s">
        <v>550</v>
      </c>
      <c r="C276" s="5">
        <v>45764</v>
      </c>
      <c r="E276" t="s">
        <v>408</v>
      </c>
      <c r="F276" t="s">
        <v>696</v>
      </c>
      <c r="G276" t="s">
        <v>243</v>
      </c>
      <c r="H276" t="s">
        <v>797</v>
      </c>
      <c r="I276" t="s">
        <v>48</v>
      </c>
      <c r="J276" t="s">
        <v>135</v>
      </c>
      <c r="K276" t="s">
        <v>798</v>
      </c>
      <c r="L276" t="s">
        <v>787</v>
      </c>
      <c r="M276" t="s">
        <v>818</v>
      </c>
      <c r="N276">
        <v>5</v>
      </c>
      <c r="O276" s="3">
        <v>51.72</v>
      </c>
      <c r="P276" s="3">
        <v>67.239999999999995</v>
      </c>
      <c r="Q276" s="6">
        <v>0.05</v>
      </c>
      <c r="R276" s="3">
        <v>319.39</v>
      </c>
      <c r="S276" t="s">
        <v>834</v>
      </c>
    </row>
    <row r="277" spans="1:19" x14ac:dyDescent="0.35">
      <c r="A277" t="s">
        <v>1512</v>
      </c>
      <c r="B277" t="s">
        <v>585</v>
      </c>
      <c r="C277" s="5">
        <v>45640</v>
      </c>
      <c r="D277" s="5">
        <v>45644</v>
      </c>
      <c r="E277" t="s">
        <v>586</v>
      </c>
      <c r="F277" t="s">
        <v>627</v>
      </c>
      <c r="G277" t="s">
        <v>235</v>
      </c>
      <c r="H277" t="s">
        <v>797</v>
      </c>
      <c r="I277" t="s">
        <v>14</v>
      </c>
      <c r="J277" t="s">
        <v>169</v>
      </c>
      <c r="K277" t="s">
        <v>786</v>
      </c>
      <c r="L277" t="s">
        <v>799</v>
      </c>
      <c r="M277" t="s">
        <v>800</v>
      </c>
      <c r="N277">
        <v>3</v>
      </c>
      <c r="O277" s="3">
        <v>40.590000000000003</v>
      </c>
      <c r="P277" s="3">
        <v>58.86</v>
      </c>
      <c r="Q277" s="6">
        <v>0.1</v>
      </c>
      <c r="R277" s="3">
        <v>158.922</v>
      </c>
      <c r="S277" t="s">
        <v>1001</v>
      </c>
    </row>
    <row r="278" spans="1:19" x14ac:dyDescent="0.35">
      <c r="A278" t="s">
        <v>1514</v>
      </c>
      <c r="B278" t="s">
        <v>603</v>
      </c>
      <c r="C278" s="5">
        <v>45469</v>
      </c>
      <c r="D278" s="5">
        <v>45471</v>
      </c>
      <c r="E278" t="s">
        <v>508</v>
      </c>
      <c r="F278" t="s">
        <v>681</v>
      </c>
      <c r="G278" t="s">
        <v>264</v>
      </c>
      <c r="H278" t="s">
        <v>14</v>
      </c>
      <c r="I278" t="s">
        <v>20</v>
      </c>
      <c r="J278" t="s">
        <v>188</v>
      </c>
      <c r="K278" t="s">
        <v>798</v>
      </c>
      <c r="L278" t="s">
        <v>799</v>
      </c>
      <c r="M278" t="s">
        <v>818</v>
      </c>
      <c r="N278">
        <v>20</v>
      </c>
      <c r="O278" s="3">
        <v>24.6</v>
      </c>
      <c r="P278" s="3">
        <v>35.67</v>
      </c>
      <c r="Q278" s="6">
        <v>0</v>
      </c>
      <c r="R278" s="3">
        <v>713.40000000000009</v>
      </c>
      <c r="S278" t="s">
        <v>790</v>
      </c>
    </row>
    <row r="279" spans="1:19" x14ac:dyDescent="0.35">
      <c r="A279" t="s">
        <v>1515</v>
      </c>
      <c r="B279" t="s">
        <v>426</v>
      </c>
      <c r="C279" s="5">
        <v>45747</v>
      </c>
      <c r="D279" s="5">
        <v>45748</v>
      </c>
      <c r="E279" t="s">
        <v>427</v>
      </c>
      <c r="F279" t="s">
        <v>696</v>
      </c>
      <c r="G279" t="s">
        <v>264</v>
      </c>
      <c r="H279" t="s">
        <v>797</v>
      </c>
      <c r="I279" t="s">
        <v>43</v>
      </c>
      <c r="J279" t="s">
        <v>161</v>
      </c>
      <c r="K279" t="s">
        <v>813</v>
      </c>
      <c r="L279" t="s">
        <v>799</v>
      </c>
      <c r="M279" t="s">
        <v>818</v>
      </c>
      <c r="N279">
        <v>5</v>
      </c>
      <c r="O279" s="3">
        <v>21.74</v>
      </c>
      <c r="P279" s="3">
        <v>30.44</v>
      </c>
      <c r="Q279" s="6">
        <v>0</v>
      </c>
      <c r="R279" s="3">
        <v>152.20000000000002</v>
      </c>
      <c r="S279" t="s">
        <v>819</v>
      </c>
    </row>
    <row r="280" spans="1:19" x14ac:dyDescent="0.35">
      <c r="A280" t="s">
        <v>1516</v>
      </c>
      <c r="B280" t="s">
        <v>345</v>
      </c>
      <c r="C280" s="5">
        <v>45384</v>
      </c>
      <c r="E280" t="s">
        <v>346</v>
      </c>
      <c r="F280" t="s">
        <v>627</v>
      </c>
      <c r="G280" t="s">
        <v>264</v>
      </c>
      <c r="H280" t="s">
        <v>48</v>
      </c>
      <c r="I280" t="s">
        <v>8</v>
      </c>
      <c r="J280" t="s">
        <v>181</v>
      </c>
      <c r="K280" t="s">
        <v>798</v>
      </c>
      <c r="L280" t="s">
        <v>787</v>
      </c>
      <c r="M280" t="s">
        <v>788</v>
      </c>
      <c r="N280">
        <v>12</v>
      </c>
      <c r="O280" s="3">
        <v>20.49</v>
      </c>
      <c r="P280" s="3">
        <v>29.71</v>
      </c>
      <c r="Q280" s="6">
        <v>0.15</v>
      </c>
      <c r="R280" s="3">
        <v>303.04199999999997</v>
      </c>
      <c r="S280" t="s">
        <v>888</v>
      </c>
    </row>
    <row r="281" spans="1:19" x14ac:dyDescent="0.35">
      <c r="A281" t="s">
        <v>1517</v>
      </c>
      <c r="B281" t="s">
        <v>419</v>
      </c>
      <c r="C281" s="5">
        <v>45755</v>
      </c>
      <c r="E281" t="s">
        <v>420</v>
      </c>
      <c r="F281" t="s">
        <v>696</v>
      </c>
      <c r="G281" t="s">
        <v>243</v>
      </c>
      <c r="H281" t="s">
        <v>14</v>
      </c>
      <c r="I281" t="s">
        <v>14</v>
      </c>
      <c r="J281" t="s">
        <v>186</v>
      </c>
      <c r="K281" t="s">
        <v>798</v>
      </c>
      <c r="L281" t="s">
        <v>793</v>
      </c>
      <c r="M281" t="s">
        <v>800</v>
      </c>
      <c r="N281">
        <v>1</v>
      </c>
      <c r="O281" s="3">
        <v>28.32</v>
      </c>
      <c r="P281" s="3">
        <v>35.4</v>
      </c>
      <c r="Q281" s="6">
        <v>0</v>
      </c>
      <c r="R281" s="3">
        <v>35.4</v>
      </c>
      <c r="S281" t="s">
        <v>803</v>
      </c>
    </row>
    <row r="282" spans="1:19" x14ac:dyDescent="0.35">
      <c r="A282" t="s">
        <v>1519</v>
      </c>
      <c r="B282" t="s">
        <v>483</v>
      </c>
      <c r="C282" s="5">
        <v>45987</v>
      </c>
      <c r="E282" t="s">
        <v>484</v>
      </c>
      <c r="F282" t="s">
        <v>681</v>
      </c>
      <c r="G282" t="s">
        <v>264</v>
      </c>
      <c r="H282" t="s">
        <v>48</v>
      </c>
      <c r="I282" t="s">
        <v>43</v>
      </c>
      <c r="J282" t="s">
        <v>53</v>
      </c>
      <c r="K282" t="s">
        <v>798</v>
      </c>
      <c r="L282" t="s">
        <v>787</v>
      </c>
      <c r="M282" t="s">
        <v>842</v>
      </c>
      <c r="N282">
        <v>5</v>
      </c>
      <c r="O282" s="3">
        <v>54.93</v>
      </c>
      <c r="P282" s="3">
        <v>79.650000000000006</v>
      </c>
      <c r="Q282" s="6">
        <v>0.1</v>
      </c>
      <c r="R282" s="3">
        <v>358.42500000000001</v>
      </c>
      <c r="S282" t="s">
        <v>892</v>
      </c>
    </row>
    <row r="283" spans="1:19" x14ac:dyDescent="0.35">
      <c r="A283" t="s">
        <v>1520</v>
      </c>
      <c r="B283" t="s">
        <v>421</v>
      </c>
      <c r="C283" s="5">
        <v>45705</v>
      </c>
      <c r="E283" t="s">
        <v>422</v>
      </c>
      <c r="F283" t="s">
        <v>254</v>
      </c>
      <c r="G283" t="s">
        <v>235</v>
      </c>
      <c r="H283" t="s">
        <v>797</v>
      </c>
      <c r="I283" t="s">
        <v>43</v>
      </c>
      <c r="J283" t="s">
        <v>58</v>
      </c>
      <c r="K283" t="s">
        <v>798</v>
      </c>
      <c r="L283" t="s">
        <v>787</v>
      </c>
      <c r="M283" t="s">
        <v>800</v>
      </c>
      <c r="N283">
        <v>10</v>
      </c>
      <c r="O283" s="3">
        <v>11.21</v>
      </c>
      <c r="P283" s="3">
        <v>15.13</v>
      </c>
      <c r="Q283" s="6">
        <v>0</v>
      </c>
      <c r="R283" s="3">
        <v>151.30000000000001</v>
      </c>
      <c r="S283" t="s">
        <v>859</v>
      </c>
    </row>
    <row r="284" spans="1:19" x14ac:dyDescent="0.35">
      <c r="A284" t="s">
        <v>1521</v>
      </c>
      <c r="B284" t="s">
        <v>481</v>
      </c>
      <c r="C284" s="5">
        <v>45323</v>
      </c>
      <c r="D284" s="5">
        <v>45332</v>
      </c>
      <c r="E284" t="s">
        <v>482</v>
      </c>
      <c r="F284" t="s">
        <v>681</v>
      </c>
      <c r="G284" t="s">
        <v>264</v>
      </c>
      <c r="H284" t="s">
        <v>14</v>
      </c>
      <c r="I284" t="s">
        <v>14</v>
      </c>
      <c r="J284" t="s">
        <v>24</v>
      </c>
      <c r="K284" t="s">
        <v>798</v>
      </c>
      <c r="L284" t="s">
        <v>799</v>
      </c>
      <c r="M284" t="s">
        <v>818</v>
      </c>
      <c r="N284">
        <v>12</v>
      </c>
      <c r="O284" s="3">
        <v>37.42</v>
      </c>
      <c r="P284" s="3">
        <v>50.52</v>
      </c>
      <c r="Q284" s="6">
        <v>0.05</v>
      </c>
      <c r="R284" s="3">
        <v>575.928</v>
      </c>
      <c r="S284" t="s">
        <v>876</v>
      </c>
    </row>
    <row r="285" spans="1:19" x14ac:dyDescent="0.35">
      <c r="A285" t="s">
        <v>1522</v>
      </c>
      <c r="B285" t="s">
        <v>500</v>
      </c>
      <c r="C285" s="5">
        <v>45508</v>
      </c>
      <c r="D285" s="5">
        <v>45511</v>
      </c>
      <c r="E285" t="s">
        <v>447</v>
      </c>
      <c r="F285" t="s">
        <v>674</v>
      </c>
      <c r="G285" t="s">
        <v>235</v>
      </c>
      <c r="H285" t="s">
        <v>797</v>
      </c>
      <c r="I285" t="s">
        <v>20</v>
      </c>
      <c r="J285" t="s">
        <v>163</v>
      </c>
      <c r="K285" t="s">
        <v>798</v>
      </c>
      <c r="L285" t="s">
        <v>822</v>
      </c>
      <c r="M285" t="s">
        <v>818</v>
      </c>
      <c r="N285">
        <v>5</v>
      </c>
      <c r="O285" s="3">
        <v>55.3</v>
      </c>
      <c r="P285" s="3">
        <v>74.66</v>
      </c>
      <c r="Q285" s="6">
        <v>0</v>
      </c>
      <c r="R285" s="3">
        <v>373.29999999999995</v>
      </c>
      <c r="S285" t="s">
        <v>859</v>
      </c>
    </row>
    <row r="286" spans="1:19" x14ac:dyDescent="0.35">
      <c r="A286" t="s">
        <v>1525</v>
      </c>
      <c r="B286" t="s">
        <v>303</v>
      </c>
      <c r="C286" s="5">
        <v>45429</v>
      </c>
      <c r="D286" s="5">
        <v>45432</v>
      </c>
      <c r="E286" t="s">
        <v>304</v>
      </c>
      <c r="F286" t="s">
        <v>681</v>
      </c>
      <c r="G286" t="s">
        <v>243</v>
      </c>
      <c r="H286" t="s">
        <v>797</v>
      </c>
      <c r="I286" t="s">
        <v>38</v>
      </c>
      <c r="J286" t="s">
        <v>165</v>
      </c>
      <c r="K286" t="s">
        <v>798</v>
      </c>
      <c r="L286" t="s">
        <v>799</v>
      </c>
      <c r="M286" t="s">
        <v>818</v>
      </c>
      <c r="N286">
        <v>3</v>
      </c>
      <c r="O286" s="3">
        <v>18.45</v>
      </c>
      <c r="P286" s="3">
        <v>25.83</v>
      </c>
      <c r="Q286" s="6">
        <v>0</v>
      </c>
      <c r="R286" s="3">
        <v>77.489999999999995</v>
      </c>
      <c r="S286" t="s">
        <v>834</v>
      </c>
    </row>
    <row r="287" spans="1:19" x14ac:dyDescent="0.35">
      <c r="A287" t="s">
        <v>1528</v>
      </c>
      <c r="B287" t="s">
        <v>493</v>
      </c>
      <c r="C287" s="5">
        <v>45949</v>
      </c>
      <c r="D287" s="5">
        <v>45958</v>
      </c>
      <c r="E287" t="s">
        <v>311</v>
      </c>
      <c r="F287" t="s">
        <v>637</v>
      </c>
      <c r="G287" t="s">
        <v>243</v>
      </c>
      <c r="H287" t="s">
        <v>14</v>
      </c>
      <c r="I287" t="s">
        <v>8</v>
      </c>
      <c r="J287" t="s">
        <v>73</v>
      </c>
      <c r="K287" t="s">
        <v>786</v>
      </c>
      <c r="L287" t="s">
        <v>799</v>
      </c>
      <c r="M287" t="s">
        <v>818</v>
      </c>
      <c r="N287">
        <v>5</v>
      </c>
      <c r="O287" s="3">
        <v>67.95</v>
      </c>
      <c r="P287" s="3">
        <v>88.34</v>
      </c>
      <c r="Q287" s="6">
        <v>0.1</v>
      </c>
      <c r="R287" s="3">
        <v>397.53000000000003</v>
      </c>
      <c r="S287" t="s">
        <v>876</v>
      </c>
    </row>
    <row r="288" spans="1:19" x14ac:dyDescent="0.35">
      <c r="A288" t="s">
        <v>1529</v>
      </c>
      <c r="B288" t="s">
        <v>448</v>
      </c>
      <c r="C288" s="5">
        <v>45752</v>
      </c>
      <c r="D288" s="5">
        <v>45757</v>
      </c>
      <c r="E288" t="s">
        <v>427</v>
      </c>
      <c r="F288" t="s">
        <v>674</v>
      </c>
      <c r="G288" t="s">
        <v>243</v>
      </c>
      <c r="H288" t="s">
        <v>797</v>
      </c>
      <c r="I288" t="s">
        <v>43</v>
      </c>
      <c r="J288" t="s">
        <v>161</v>
      </c>
      <c r="K288" t="s">
        <v>798</v>
      </c>
      <c r="L288" t="s">
        <v>799</v>
      </c>
      <c r="M288" t="s">
        <v>788</v>
      </c>
      <c r="N288">
        <v>1</v>
      </c>
      <c r="O288" s="3">
        <v>21.74</v>
      </c>
      <c r="P288" s="3">
        <v>30.44</v>
      </c>
      <c r="Q288" s="6">
        <v>0.15</v>
      </c>
      <c r="R288" s="3">
        <v>25.874000000000002</v>
      </c>
      <c r="S288" t="s">
        <v>892</v>
      </c>
    </row>
    <row r="289" spans="1:19" x14ac:dyDescent="0.35">
      <c r="A289" t="s">
        <v>1532</v>
      </c>
      <c r="B289" t="s">
        <v>543</v>
      </c>
      <c r="C289" s="5">
        <v>45712</v>
      </c>
      <c r="D289" s="5">
        <v>45720</v>
      </c>
      <c r="E289" t="s">
        <v>544</v>
      </c>
      <c r="F289" t="s">
        <v>633</v>
      </c>
      <c r="G289" t="s">
        <v>243</v>
      </c>
      <c r="H289" t="s">
        <v>797</v>
      </c>
      <c r="I289" t="s">
        <v>79</v>
      </c>
      <c r="J289" t="s">
        <v>77</v>
      </c>
      <c r="K289" t="s">
        <v>813</v>
      </c>
      <c r="L289" t="s">
        <v>799</v>
      </c>
      <c r="M289" t="s">
        <v>800</v>
      </c>
      <c r="N289">
        <v>20</v>
      </c>
      <c r="O289" s="3">
        <v>13.71</v>
      </c>
      <c r="P289" s="3">
        <v>17.82</v>
      </c>
      <c r="Q289" s="6">
        <v>0</v>
      </c>
      <c r="R289" s="3">
        <v>356.4</v>
      </c>
      <c r="S289" t="s">
        <v>803</v>
      </c>
    </row>
    <row r="290" spans="1:19" x14ac:dyDescent="0.35">
      <c r="A290" t="s">
        <v>1534</v>
      </c>
      <c r="B290" t="s">
        <v>347</v>
      </c>
      <c r="C290" s="5">
        <v>45999</v>
      </c>
      <c r="E290" t="s">
        <v>348</v>
      </c>
      <c r="F290" t="s">
        <v>681</v>
      </c>
      <c r="G290" t="s">
        <v>243</v>
      </c>
      <c r="H290" t="s">
        <v>20</v>
      </c>
      <c r="I290" t="s">
        <v>8</v>
      </c>
      <c r="J290" t="s">
        <v>6</v>
      </c>
      <c r="K290" t="s">
        <v>786</v>
      </c>
      <c r="L290" t="s">
        <v>817</v>
      </c>
      <c r="M290" t="s">
        <v>800</v>
      </c>
      <c r="N290">
        <v>2</v>
      </c>
      <c r="O290" s="3">
        <v>32.24</v>
      </c>
      <c r="P290" s="3">
        <v>41.91</v>
      </c>
      <c r="Q290" s="6">
        <v>0.05</v>
      </c>
      <c r="R290" s="3">
        <v>79.628999999999991</v>
      </c>
      <c r="S290" t="s">
        <v>892</v>
      </c>
    </row>
    <row r="291" spans="1:19" x14ac:dyDescent="0.35">
      <c r="A291" t="s">
        <v>1536</v>
      </c>
      <c r="B291" t="s">
        <v>556</v>
      </c>
      <c r="C291" s="5">
        <v>45372</v>
      </c>
      <c r="D291" s="5">
        <v>45381</v>
      </c>
      <c r="E291" t="s">
        <v>472</v>
      </c>
      <c r="F291" t="s">
        <v>254</v>
      </c>
      <c r="G291" t="s">
        <v>235</v>
      </c>
      <c r="H291" t="s">
        <v>797</v>
      </c>
      <c r="I291" t="s">
        <v>14</v>
      </c>
      <c r="J291" t="s">
        <v>24</v>
      </c>
      <c r="K291" t="s">
        <v>798</v>
      </c>
      <c r="L291" t="s">
        <v>799</v>
      </c>
      <c r="M291" t="s">
        <v>842</v>
      </c>
      <c r="N291">
        <v>1</v>
      </c>
      <c r="O291" s="3">
        <v>37.42</v>
      </c>
      <c r="P291" s="3">
        <v>50.52</v>
      </c>
      <c r="Q291" s="6">
        <v>0.15</v>
      </c>
      <c r="R291" s="3">
        <v>42.942</v>
      </c>
      <c r="S291" t="s">
        <v>869</v>
      </c>
    </row>
    <row r="292" spans="1:19" x14ac:dyDescent="0.35">
      <c r="A292" t="s">
        <v>1538</v>
      </c>
      <c r="B292" t="s">
        <v>556</v>
      </c>
      <c r="C292" s="5">
        <v>45885</v>
      </c>
      <c r="E292" t="s">
        <v>472</v>
      </c>
      <c r="F292" t="s">
        <v>254</v>
      </c>
      <c r="G292" t="s">
        <v>235</v>
      </c>
      <c r="H292" t="s">
        <v>48</v>
      </c>
      <c r="I292" t="s">
        <v>38</v>
      </c>
      <c r="J292" t="s">
        <v>117</v>
      </c>
      <c r="K292" t="s">
        <v>798</v>
      </c>
      <c r="L292" t="s">
        <v>787</v>
      </c>
      <c r="M292" t="s">
        <v>818</v>
      </c>
      <c r="N292">
        <v>20</v>
      </c>
      <c r="O292" s="3">
        <v>43.25</v>
      </c>
      <c r="P292" s="3">
        <v>60.55</v>
      </c>
      <c r="Q292" s="6">
        <v>0.1</v>
      </c>
      <c r="R292" s="3">
        <v>1089.9000000000001</v>
      </c>
      <c r="S292" t="s">
        <v>819</v>
      </c>
    </row>
    <row r="293" spans="1:19" x14ac:dyDescent="0.35">
      <c r="A293" t="s">
        <v>1539</v>
      </c>
      <c r="B293" t="s">
        <v>475</v>
      </c>
      <c r="C293" s="5">
        <v>45879</v>
      </c>
      <c r="E293" t="s">
        <v>476</v>
      </c>
      <c r="F293" t="s">
        <v>633</v>
      </c>
      <c r="G293" t="s">
        <v>243</v>
      </c>
      <c r="H293" t="s">
        <v>48</v>
      </c>
      <c r="I293" t="s">
        <v>14</v>
      </c>
      <c r="J293" t="s">
        <v>194</v>
      </c>
      <c r="K293" t="s">
        <v>786</v>
      </c>
      <c r="L293" t="s">
        <v>793</v>
      </c>
      <c r="M293" t="s">
        <v>842</v>
      </c>
      <c r="N293">
        <v>1</v>
      </c>
      <c r="O293" s="3">
        <v>20.32</v>
      </c>
      <c r="P293" s="3">
        <v>25.4</v>
      </c>
      <c r="Q293" s="6">
        <v>0.15</v>
      </c>
      <c r="R293" s="3">
        <v>21.59</v>
      </c>
      <c r="S293" t="s">
        <v>946</v>
      </c>
    </row>
    <row r="294" spans="1:19" x14ac:dyDescent="0.35">
      <c r="A294" t="s">
        <v>1541</v>
      </c>
      <c r="B294" t="s">
        <v>405</v>
      </c>
      <c r="C294" s="5">
        <v>45603</v>
      </c>
      <c r="D294" s="5">
        <v>45604</v>
      </c>
      <c r="E294" t="s">
        <v>404</v>
      </c>
      <c r="F294" t="s">
        <v>254</v>
      </c>
      <c r="G294" t="s">
        <v>264</v>
      </c>
      <c r="H294" t="s">
        <v>14</v>
      </c>
      <c r="I294" t="s">
        <v>8</v>
      </c>
      <c r="J294" t="s">
        <v>6</v>
      </c>
      <c r="K294" t="s">
        <v>798</v>
      </c>
      <c r="L294" t="s">
        <v>799</v>
      </c>
      <c r="M294" t="s">
        <v>800</v>
      </c>
      <c r="N294">
        <v>5</v>
      </c>
      <c r="O294" s="3">
        <v>32.24</v>
      </c>
      <c r="P294" s="3">
        <v>41.91</v>
      </c>
      <c r="Q294" s="6">
        <v>0.15</v>
      </c>
      <c r="R294" s="3">
        <v>178.11749999999998</v>
      </c>
      <c r="S294" t="s">
        <v>946</v>
      </c>
    </row>
    <row r="295" spans="1:19" x14ac:dyDescent="0.35">
      <c r="A295" t="s">
        <v>1542</v>
      </c>
      <c r="B295" t="s">
        <v>312</v>
      </c>
      <c r="C295" s="5">
        <v>45585</v>
      </c>
      <c r="E295" t="s">
        <v>313</v>
      </c>
      <c r="F295" t="s">
        <v>674</v>
      </c>
      <c r="G295" t="s">
        <v>235</v>
      </c>
      <c r="H295" t="s">
        <v>14</v>
      </c>
      <c r="I295" t="s">
        <v>48</v>
      </c>
      <c r="J295" t="s">
        <v>148</v>
      </c>
      <c r="K295" t="s">
        <v>786</v>
      </c>
      <c r="L295" t="s">
        <v>793</v>
      </c>
      <c r="M295" t="s">
        <v>788</v>
      </c>
      <c r="N295">
        <v>3</v>
      </c>
      <c r="O295" s="3">
        <v>58.01</v>
      </c>
      <c r="P295" s="3">
        <v>72.510000000000005</v>
      </c>
      <c r="Q295" s="6">
        <v>0.1</v>
      </c>
      <c r="R295" s="3">
        <v>195.77700000000002</v>
      </c>
      <c r="S295" t="s">
        <v>1017</v>
      </c>
    </row>
    <row r="296" spans="1:19" x14ac:dyDescent="0.35">
      <c r="A296" t="s">
        <v>1544</v>
      </c>
      <c r="B296" t="s">
        <v>248</v>
      </c>
      <c r="C296" s="5">
        <v>45573</v>
      </c>
      <c r="D296" s="5">
        <v>45579</v>
      </c>
      <c r="E296" t="s">
        <v>249</v>
      </c>
      <c r="F296" t="s">
        <v>681</v>
      </c>
      <c r="H296" t="s">
        <v>797</v>
      </c>
      <c r="I296" t="s">
        <v>20</v>
      </c>
      <c r="J296" t="s">
        <v>97</v>
      </c>
      <c r="K296" t="s">
        <v>813</v>
      </c>
      <c r="L296" t="s">
        <v>799</v>
      </c>
      <c r="M296" t="s">
        <v>788</v>
      </c>
      <c r="N296">
        <v>5</v>
      </c>
      <c r="O296" s="3">
        <v>20.79</v>
      </c>
      <c r="P296" s="3">
        <v>28.07</v>
      </c>
      <c r="Q296" s="6">
        <v>0.15</v>
      </c>
      <c r="R296" s="3">
        <v>119.2975</v>
      </c>
      <c r="S296" t="s">
        <v>845</v>
      </c>
    </row>
    <row r="297" spans="1:19" x14ac:dyDescent="0.35">
      <c r="A297" t="s">
        <v>1546</v>
      </c>
      <c r="B297" t="s">
        <v>588</v>
      </c>
      <c r="C297" s="5">
        <v>45471</v>
      </c>
      <c r="D297" s="5">
        <v>45481</v>
      </c>
      <c r="E297" t="s">
        <v>435</v>
      </c>
      <c r="F297" t="s">
        <v>674</v>
      </c>
      <c r="G297" t="s">
        <v>264</v>
      </c>
      <c r="H297" t="s">
        <v>14</v>
      </c>
      <c r="I297" t="s">
        <v>14</v>
      </c>
      <c r="J297" t="s">
        <v>90</v>
      </c>
      <c r="K297" t="s">
        <v>786</v>
      </c>
      <c r="L297" t="s">
        <v>799</v>
      </c>
      <c r="M297" t="s">
        <v>800</v>
      </c>
      <c r="N297">
        <v>1</v>
      </c>
      <c r="O297" s="3">
        <v>27.34</v>
      </c>
      <c r="P297" s="3">
        <v>39.64</v>
      </c>
      <c r="Q297" s="6">
        <v>0</v>
      </c>
      <c r="R297" s="3">
        <v>39.64</v>
      </c>
      <c r="S297" t="s">
        <v>888</v>
      </c>
    </row>
    <row r="298" spans="1:19" x14ac:dyDescent="0.35">
      <c r="A298" t="s">
        <v>1548</v>
      </c>
      <c r="B298" t="s">
        <v>606</v>
      </c>
      <c r="C298" s="5">
        <v>45449</v>
      </c>
      <c r="D298" s="5">
        <v>45455</v>
      </c>
      <c r="E298" t="s">
        <v>600</v>
      </c>
      <c r="F298" t="s">
        <v>696</v>
      </c>
      <c r="H298" t="s">
        <v>20</v>
      </c>
      <c r="I298" t="s">
        <v>20</v>
      </c>
      <c r="J298" t="s">
        <v>196</v>
      </c>
      <c r="K298" t="s">
        <v>798</v>
      </c>
      <c r="L298" t="s">
        <v>799</v>
      </c>
      <c r="M298" t="s">
        <v>788</v>
      </c>
      <c r="N298">
        <v>10</v>
      </c>
      <c r="O298" s="3">
        <v>15.78</v>
      </c>
      <c r="P298" s="3">
        <v>19.72</v>
      </c>
      <c r="Q298" s="6">
        <v>0</v>
      </c>
      <c r="R298" s="3">
        <v>197.2</v>
      </c>
      <c r="S298" t="s">
        <v>803</v>
      </c>
    </row>
    <row r="299" spans="1:19" x14ac:dyDescent="0.35">
      <c r="A299" t="s">
        <v>1551</v>
      </c>
      <c r="B299" t="s">
        <v>406</v>
      </c>
      <c r="C299" s="5">
        <v>45347</v>
      </c>
      <c r="D299" s="5">
        <v>45356</v>
      </c>
      <c r="E299" t="s">
        <v>287</v>
      </c>
      <c r="F299" t="s">
        <v>637</v>
      </c>
      <c r="G299" t="s">
        <v>243</v>
      </c>
      <c r="H299" t="s">
        <v>20</v>
      </c>
      <c r="I299" t="s">
        <v>20</v>
      </c>
      <c r="J299" t="s">
        <v>163</v>
      </c>
      <c r="K299" t="s">
        <v>813</v>
      </c>
      <c r="L299" t="s">
        <v>799</v>
      </c>
      <c r="M299" t="s">
        <v>818</v>
      </c>
      <c r="N299">
        <v>1</v>
      </c>
      <c r="O299" s="3">
        <v>55.3</v>
      </c>
      <c r="P299" s="3">
        <v>74.66</v>
      </c>
      <c r="Q299" s="6">
        <v>0</v>
      </c>
      <c r="R299" s="3">
        <v>74.66</v>
      </c>
      <c r="S299" t="s">
        <v>819</v>
      </c>
    </row>
    <row r="300" spans="1:19" x14ac:dyDescent="0.35">
      <c r="A300" t="s">
        <v>1553</v>
      </c>
      <c r="B300" t="s">
        <v>580</v>
      </c>
      <c r="C300" s="5">
        <v>45531</v>
      </c>
      <c r="D300" s="5">
        <v>45539</v>
      </c>
      <c r="E300" t="s">
        <v>581</v>
      </c>
      <c r="F300" t="s">
        <v>681</v>
      </c>
      <c r="G300" t="s">
        <v>235</v>
      </c>
      <c r="H300" t="s">
        <v>797</v>
      </c>
      <c r="I300" t="s">
        <v>48</v>
      </c>
      <c r="J300" t="s">
        <v>177</v>
      </c>
      <c r="K300" t="s">
        <v>798</v>
      </c>
      <c r="L300" t="s">
        <v>799</v>
      </c>
      <c r="M300" t="s">
        <v>818</v>
      </c>
      <c r="N300">
        <v>5</v>
      </c>
      <c r="O300" s="3">
        <v>41.79</v>
      </c>
      <c r="P300" s="3">
        <v>60.6</v>
      </c>
      <c r="Q300" s="6">
        <v>0</v>
      </c>
      <c r="R300" s="3">
        <v>303</v>
      </c>
      <c r="S300" t="s">
        <v>859</v>
      </c>
    </row>
    <row r="301" spans="1:19" x14ac:dyDescent="0.35">
      <c r="A301" t="s">
        <v>1555</v>
      </c>
      <c r="B301" t="s">
        <v>524</v>
      </c>
      <c r="C301" s="5">
        <v>45683</v>
      </c>
      <c r="D301" s="5">
        <v>45688</v>
      </c>
      <c r="E301" t="s">
        <v>484</v>
      </c>
      <c r="F301" t="s">
        <v>681</v>
      </c>
      <c r="H301" t="s">
        <v>48</v>
      </c>
      <c r="I301" t="s">
        <v>29</v>
      </c>
      <c r="J301" t="s">
        <v>32</v>
      </c>
      <c r="K301" t="s">
        <v>813</v>
      </c>
      <c r="L301" t="s">
        <v>799</v>
      </c>
      <c r="M301" t="s">
        <v>800</v>
      </c>
      <c r="N301">
        <v>5</v>
      </c>
      <c r="O301" s="3">
        <v>18.989999999999998</v>
      </c>
      <c r="P301" s="3">
        <v>25.64</v>
      </c>
      <c r="Q301" s="6">
        <v>0.05</v>
      </c>
      <c r="R301" s="3">
        <v>121.78999999999999</v>
      </c>
      <c r="S301" t="s">
        <v>946</v>
      </c>
    </row>
    <row r="302" spans="1:19" x14ac:dyDescent="0.35">
      <c r="A302" t="s">
        <v>1557</v>
      </c>
      <c r="B302" t="s">
        <v>407</v>
      </c>
      <c r="C302" s="5">
        <v>45635</v>
      </c>
      <c r="E302" t="s">
        <v>408</v>
      </c>
      <c r="F302" t="s">
        <v>637</v>
      </c>
      <c r="G302" t="s">
        <v>235</v>
      </c>
      <c r="H302" t="s">
        <v>797</v>
      </c>
      <c r="I302" t="s">
        <v>43</v>
      </c>
      <c r="J302" t="s">
        <v>53</v>
      </c>
      <c r="K302" t="s">
        <v>798</v>
      </c>
      <c r="L302" t="s">
        <v>793</v>
      </c>
      <c r="M302" t="s">
        <v>788</v>
      </c>
      <c r="N302">
        <v>5</v>
      </c>
      <c r="O302" s="3">
        <v>54.93</v>
      </c>
      <c r="P302" s="3">
        <v>79.650000000000006</v>
      </c>
      <c r="Q302" s="6">
        <v>0.15</v>
      </c>
      <c r="R302" s="3">
        <v>338.51249999999999</v>
      </c>
      <c r="S302" t="s">
        <v>825</v>
      </c>
    </row>
    <row r="303" spans="1:19" x14ac:dyDescent="0.35">
      <c r="A303" t="s">
        <v>1560</v>
      </c>
      <c r="B303" t="s">
        <v>520</v>
      </c>
      <c r="C303" s="5">
        <v>45894</v>
      </c>
      <c r="E303" t="s">
        <v>521</v>
      </c>
      <c r="F303" t="s">
        <v>633</v>
      </c>
      <c r="G303" t="s">
        <v>243</v>
      </c>
      <c r="H303" t="s">
        <v>14</v>
      </c>
      <c r="I303" t="s">
        <v>8</v>
      </c>
      <c r="J303" t="s">
        <v>212</v>
      </c>
      <c r="K303" t="s">
        <v>786</v>
      </c>
      <c r="L303" t="s">
        <v>793</v>
      </c>
      <c r="M303" t="s">
        <v>842</v>
      </c>
      <c r="N303">
        <v>20</v>
      </c>
      <c r="O303" s="3">
        <v>95.09</v>
      </c>
      <c r="P303" s="3">
        <v>133.13</v>
      </c>
      <c r="Q303" s="6">
        <v>0.15</v>
      </c>
      <c r="R303" s="3">
        <v>2263.21</v>
      </c>
      <c r="S303" t="s">
        <v>839</v>
      </c>
    </row>
    <row r="304" spans="1:19" x14ac:dyDescent="0.35">
      <c r="A304" t="s">
        <v>1561</v>
      </c>
      <c r="B304" t="s">
        <v>473</v>
      </c>
      <c r="C304" s="5">
        <v>45361</v>
      </c>
      <c r="E304" t="s">
        <v>368</v>
      </c>
      <c r="F304" t="s">
        <v>254</v>
      </c>
      <c r="G304" t="s">
        <v>235</v>
      </c>
      <c r="H304" t="s">
        <v>14</v>
      </c>
      <c r="I304" t="s">
        <v>8</v>
      </c>
      <c r="J304" t="s">
        <v>204</v>
      </c>
      <c r="K304" t="s">
        <v>798</v>
      </c>
      <c r="L304" t="s">
        <v>793</v>
      </c>
      <c r="M304" t="s">
        <v>800</v>
      </c>
      <c r="N304">
        <v>5</v>
      </c>
      <c r="O304" s="3">
        <v>28.27</v>
      </c>
      <c r="P304" s="3">
        <v>40.99</v>
      </c>
      <c r="Q304" s="6">
        <v>0</v>
      </c>
      <c r="R304" s="3">
        <v>204.95000000000002</v>
      </c>
      <c r="S304" t="s">
        <v>963</v>
      </c>
    </row>
    <row r="305" spans="1:19" x14ac:dyDescent="0.35">
      <c r="A305" t="s">
        <v>1564</v>
      </c>
      <c r="B305" t="s">
        <v>559</v>
      </c>
      <c r="C305" s="5">
        <v>45326</v>
      </c>
      <c r="D305" s="5">
        <v>45328</v>
      </c>
      <c r="E305" t="s">
        <v>311</v>
      </c>
      <c r="F305" t="s">
        <v>254</v>
      </c>
      <c r="G305" t="s">
        <v>235</v>
      </c>
      <c r="H305" t="s">
        <v>797</v>
      </c>
      <c r="I305" t="s">
        <v>8</v>
      </c>
      <c r="J305" t="s">
        <v>174</v>
      </c>
      <c r="K305" t="s">
        <v>798</v>
      </c>
      <c r="L305" t="s">
        <v>822</v>
      </c>
      <c r="M305" t="s">
        <v>788</v>
      </c>
      <c r="N305">
        <v>20</v>
      </c>
      <c r="O305" s="3">
        <v>32.53</v>
      </c>
      <c r="P305" s="3">
        <v>43.92</v>
      </c>
      <c r="Q305" s="6">
        <v>0.1</v>
      </c>
      <c r="R305" s="3">
        <v>790.56000000000006</v>
      </c>
      <c r="S305" t="s">
        <v>869</v>
      </c>
    </row>
    <row r="306" spans="1:19" x14ac:dyDescent="0.35">
      <c r="A306" t="s">
        <v>1565</v>
      </c>
      <c r="B306" t="s">
        <v>315</v>
      </c>
      <c r="C306" s="5">
        <v>46017</v>
      </c>
      <c r="D306" s="5">
        <v>46020</v>
      </c>
      <c r="E306" t="s">
        <v>316</v>
      </c>
      <c r="F306" t="s">
        <v>637</v>
      </c>
      <c r="G306" t="s">
        <v>235</v>
      </c>
      <c r="H306" t="s">
        <v>14</v>
      </c>
      <c r="I306" t="s">
        <v>14</v>
      </c>
      <c r="J306" t="s">
        <v>128</v>
      </c>
      <c r="K306" t="s">
        <v>798</v>
      </c>
      <c r="L306" t="s">
        <v>799</v>
      </c>
      <c r="M306" t="s">
        <v>788</v>
      </c>
      <c r="N306">
        <v>2</v>
      </c>
      <c r="O306" s="3">
        <v>18.850000000000001</v>
      </c>
      <c r="P306" s="3">
        <v>27.33</v>
      </c>
      <c r="Q306" s="6">
        <v>0</v>
      </c>
      <c r="R306" s="3">
        <v>54.66</v>
      </c>
      <c r="S306" t="s">
        <v>1001</v>
      </c>
    </row>
    <row r="307" spans="1:19" x14ac:dyDescent="0.35">
      <c r="A307" t="s">
        <v>1566</v>
      </c>
      <c r="B307" t="s">
        <v>497</v>
      </c>
      <c r="C307" s="5">
        <v>45551</v>
      </c>
      <c r="D307" s="5">
        <v>45557</v>
      </c>
      <c r="E307" t="s">
        <v>296</v>
      </c>
      <c r="F307" t="s">
        <v>681</v>
      </c>
      <c r="G307" t="s">
        <v>235</v>
      </c>
      <c r="H307" t="s">
        <v>48</v>
      </c>
      <c r="I307" t="s">
        <v>8</v>
      </c>
      <c r="J307" t="s">
        <v>181</v>
      </c>
      <c r="K307" t="s">
        <v>798</v>
      </c>
      <c r="L307" t="s">
        <v>822</v>
      </c>
      <c r="M307" t="s">
        <v>800</v>
      </c>
      <c r="N307">
        <v>3</v>
      </c>
      <c r="O307" s="3">
        <v>20.49</v>
      </c>
      <c r="P307" s="3">
        <v>29.71</v>
      </c>
      <c r="Q307" s="6">
        <v>0.05</v>
      </c>
      <c r="R307" s="3">
        <v>84.67349999999999</v>
      </c>
      <c r="S307" t="s">
        <v>1001</v>
      </c>
    </row>
    <row r="308" spans="1:19" x14ac:dyDescent="0.35">
      <c r="A308" t="s">
        <v>1567</v>
      </c>
      <c r="B308" t="s">
        <v>616</v>
      </c>
      <c r="C308" s="5">
        <v>45555</v>
      </c>
      <c r="E308" t="s">
        <v>231</v>
      </c>
      <c r="F308" t="s">
        <v>254</v>
      </c>
      <c r="G308" t="s">
        <v>264</v>
      </c>
      <c r="H308" t="s">
        <v>797</v>
      </c>
      <c r="I308" t="s">
        <v>14</v>
      </c>
      <c r="J308" t="s">
        <v>209</v>
      </c>
      <c r="K308" t="s">
        <v>813</v>
      </c>
      <c r="L308" t="s">
        <v>793</v>
      </c>
      <c r="M308" t="s">
        <v>842</v>
      </c>
      <c r="N308">
        <v>10</v>
      </c>
      <c r="O308" s="3">
        <v>24.18</v>
      </c>
      <c r="P308" s="3">
        <v>33.85</v>
      </c>
      <c r="Q308" s="6">
        <v>0</v>
      </c>
      <c r="R308" s="3">
        <v>338.5</v>
      </c>
      <c r="S308" t="s">
        <v>1017</v>
      </c>
    </row>
    <row r="309" spans="1:19" x14ac:dyDescent="0.35">
      <c r="A309" t="s">
        <v>1568</v>
      </c>
      <c r="B309" t="s">
        <v>299</v>
      </c>
      <c r="C309" s="5">
        <v>45474</v>
      </c>
      <c r="E309" t="s">
        <v>300</v>
      </c>
      <c r="F309" t="s">
        <v>696</v>
      </c>
      <c r="G309" t="s">
        <v>264</v>
      </c>
      <c r="H309" t="s">
        <v>48</v>
      </c>
      <c r="I309" t="s">
        <v>14</v>
      </c>
      <c r="J309" t="s">
        <v>169</v>
      </c>
      <c r="K309" t="s">
        <v>798</v>
      </c>
      <c r="L309" t="s">
        <v>793</v>
      </c>
      <c r="M309" t="s">
        <v>818</v>
      </c>
      <c r="N309">
        <v>1</v>
      </c>
      <c r="O309" s="3">
        <v>40.590000000000003</v>
      </c>
      <c r="P309" s="3">
        <v>58.86</v>
      </c>
      <c r="Q309" s="6">
        <v>0</v>
      </c>
      <c r="R309" s="3">
        <v>58.86</v>
      </c>
      <c r="S309" t="s">
        <v>888</v>
      </c>
    </row>
    <row r="310" spans="1:19" x14ac:dyDescent="0.35">
      <c r="A310" t="s">
        <v>1569</v>
      </c>
      <c r="B310" t="s">
        <v>384</v>
      </c>
      <c r="C310" s="5">
        <v>45845</v>
      </c>
      <c r="D310" s="5">
        <v>45847</v>
      </c>
      <c r="E310" t="s">
        <v>385</v>
      </c>
      <c r="F310" t="s">
        <v>627</v>
      </c>
      <c r="G310" t="s">
        <v>264</v>
      </c>
      <c r="H310" t="s">
        <v>14</v>
      </c>
      <c r="I310" t="s">
        <v>8</v>
      </c>
      <c r="J310" t="s">
        <v>129</v>
      </c>
      <c r="K310" t="s">
        <v>786</v>
      </c>
      <c r="L310" t="s">
        <v>799</v>
      </c>
      <c r="M310" t="s">
        <v>842</v>
      </c>
      <c r="N310">
        <v>5</v>
      </c>
      <c r="O310" s="3">
        <v>22.15</v>
      </c>
      <c r="P310" s="3">
        <v>31.01</v>
      </c>
      <c r="Q310" s="6">
        <v>0</v>
      </c>
      <c r="R310" s="3">
        <v>155.05000000000001</v>
      </c>
      <c r="S310" t="s">
        <v>834</v>
      </c>
    </row>
    <row r="311" spans="1:19" x14ac:dyDescent="0.35">
      <c r="A311" t="s">
        <v>1570</v>
      </c>
      <c r="B311" t="s">
        <v>614</v>
      </c>
      <c r="C311" s="5">
        <v>45877</v>
      </c>
      <c r="D311" s="5">
        <v>45884</v>
      </c>
      <c r="E311" t="s">
        <v>615</v>
      </c>
      <c r="F311" t="s">
        <v>696</v>
      </c>
      <c r="G311" t="s">
        <v>235</v>
      </c>
      <c r="H311" t="s">
        <v>797</v>
      </c>
      <c r="I311" t="s">
        <v>14</v>
      </c>
      <c r="J311" t="s">
        <v>60</v>
      </c>
      <c r="K311" t="s">
        <v>798</v>
      </c>
      <c r="L311" t="s">
        <v>799</v>
      </c>
      <c r="M311" t="s">
        <v>842</v>
      </c>
      <c r="N311">
        <v>3</v>
      </c>
      <c r="O311" s="3">
        <v>18.18</v>
      </c>
      <c r="P311" s="3">
        <v>24.54</v>
      </c>
      <c r="Q311" s="6">
        <v>0</v>
      </c>
      <c r="R311" s="3">
        <v>73.62</v>
      </c>
      <c r="S311" t="s">
        <v>825</v>
      </c>
    </row>
    <row r="312" spans="1:19" x14ac:dyDescent="0.35">
      <c r="A312" t="s">
        <v>1573</v>
      </c>
      <c r="B312" t="s">
        <v>588</v>
      </c>
      <c r="C312" s="5">
        <v>45564</v>
      </c>
      <c r="D312" s="5">
        <v>45571</v>
      </c>
      <c r="E312" t="s">
        <v>435</v>
      </c>
      <c r="F312" t="s">
        <v>633</v>
      </c>
      <c r="G312" t="s">
        <v>264</v>
      </c>
      <c r="H312" t="s">
        <v>48</v>
      </c>
      <c r="I312" t="s">
        <v>38</v>
      </c>
      <c r="J312" t="s">
        <v>126</v>
      </c>
      <c r="K312" t="s">
        <v>798</v>
      </c>
      <c r="L312" t="s">
        <v>799</v>
      </c>
      <c r="M312" t="s">
        <v>818</v>
      </c>
      <c r="N312">
        <v>3</v>
      </c>
      <c r="O312" s="3">
        <v>41.95</v>
      </c>
      <c r="P312" s="3">
        <v>58.73</v>
      </c>
      <c r="Q312" s="6">
        <v>0.05</v>
      </c>
      <c r="R312" s="3">
        <v>167.38049999999998</v>
      </c>
      <c r="S312" t="s">
        <v>876</v>
      </c>
    </row>
    <row r="313" spans="1:19" x14ac:dyDescent="0.35">
      <c r="A313" t="s">
        <v>1574</v>
      </c>
      <c r="B313" t="s">
        <v>528</v>
      </c>
      <c r="C313" s="5">
        <v>46037</v>
      </c>
      <c r="D313" s="5">
        <v>46046</v>
      </c>
      <c r="E313" t="s">
        <v>433</v>
      </c>
      <c r="F313" t="s">
        <v>674</v>
      </c>
      <c r="G313" t="s">
        <v>264</v>
      </c>
      <c r="H313" t="s">
        <v>797</v>
      </c>
      <c r="I313" t="s">
        <v>8</v>
      </c>
      <c r="J313" t="s">
        <v>73</v>
      </c>
      <c r="K313" t="s">
        <v>786</v>
      </c>
      <c r="L313" t="s">
        <v>799</v>
      </c>
      <c r="M313" t="s">
        <v>818</v>
      </c>
      <c r="N313">
        <v>3</v>
      </c>
      <c r="O313" s="3">
        <v>67.95</v>
      </c>
      <c r="P313" s="3">
        <v>88.34</v>
      </c>
      <c r="Q313" s="6">
        <v>0</v>
      </c>
      <c r="R313" s="3">
        <v>265.02</v>
      </c>
      <c r="S313" t="s">
        <v>803</v>
      </c>
    </row>
    <row r="314" spans="1:19" x14ac:dyDescent="0.35">
      <c r="A314" t="s">
        <v>1577</v>
      </c>
      <c r="B314" t="s">
        <v>580</v>
      </c>
      <c r="C314" s="5">
        <v>45659</v>
      </c>
      <c r="D314" s="5">
        <v>45665</v>
      </c>
      <c r="E314" t="s">
        <v>581</v>
      </c>
      <c r="F314" t="s">
        <v>633</v>
      </c>
      <c r="G314" t="s">
        <v>235</v>
      </c>
      <c r="H314" t="s">
        <v>797</v>
      </c>
      <c r="I314" t="s">
        <v>8</v>
      </c>
      <c r="J314" t="s">
        <v>65</v>
      </c>
      <c r="K314" t="s">
        <v>798</v>
      </c>
      <c r="L314" t="s">
        <v>822</v>
      </c>
      <c r="M314" t="s">
        <v>842</v>
      </c>
      <c r="N314">
        <v>1</v>
      </c>
      <c r="O314" s="3">
        <v>30.16</v>
      </c>
      <c r="P314" s="3">
        <v>40.72</v>
      </c>
      <c r="Q314" s="6">
        <v>0</v>
      </c>
      <c r="R314" s="3">
        <v>40.72</v>
      </c>
      <c r="S314" t="s">
        <v>790</v>
      </c>
    </row>
    <row r="315" spans="1:19" x14ac:dyDescent="0.35">
      <c r="A315" t="s">
        <v>1579</v>
      </c>
      <c r="B315" t="s">
        <v>609</v>
      </c>
      <c r="C315" s="5">
        <v>45374</v>
      </c>
      <c r="D315" s="5">
        <v>45379</v>
      </c>
      <c r="E315" t="s">
        <v>610</v>
      </c>
      <c r="F315" t="s">
        <v>637</v>
      </c>
      <c r="H315" t="s">
        <v>797</v>
      </c>
      <c r="I315" t="s">
        <v>20</v>
      </c>
      <c r="J315" t="s">
        <v>197</v>
      </c>
      <c r="K315" t="s">
        <v>798</v>
      </c>
      <c r="L315" t="s">
        <v>799</v>
      </c>
      <c r="M315" t="s">
        <v>818</v>
      </c>
      <c r="N315">
        <v>5</v>
      </c>
      <c r="O315" s="3">
        <v>22.45</v>
      </c>
      <c r="P315" s="3">
        <v>29.18</v>
      </c>
      <c r="Q315" s="6">
        <v>0.15</v>
      </c>
      <c r="R315" s="3">
        <v>124.015</v>
      </c>
      <c r="S315" t="s">
        <v>963</v>
      </c>
    </row>
    <row r="316" spans="1:19" x14ac:dyDescent="0.35">
      <c r="A316" t="s">
        <v>1581</v>
      </c>
      <c r="B316" t="s">
        <v>327</v>
      </c>
      <c r="C316" s="5">
        <v>46004</v>
      </c>
      <c r="D316" s="5">
        <v>46007</v>
      </c>
      <c r="E316" t="s">
        <v>328</v>
      </c>
      <c r="F316" t="s">
        <v>681</v>
      </c>
      <c r="G316" t="s">
        <v>264</v>
      </c>
      <c r="H316" t="s">
        <v>14</v>
      </c>
      <c r="I316" t="s">
        <v>79</v>
      </c>
      <c r="J316" t="s">
        <v>88</v>
      </c>
      <c r="K316" t="s">
        <v>798</v>
      </c>
      <c r="L316" t="s">
        <v>822</v>
      </c>
      <c r="M316" t="s">
        <v>818</v>
      </c>
      <c r="N316">
        <v>3</v>
      </c>
      <c r="O316" s="3">
        <v>11.82</v>
      </c>
      <c r="P316" s="3">
        <v>17.14</v>
      </c>
      <c r="Q316" s="6">
        <v>0.15</v>
      </c>
      <c r="R316" s="3">
        <v>43.707000000000001</v>
      </c>
      <c r="S316" t="s">
        <v>963</v>
      </c>
    </row>
    <row r="317" spans="1:19" x14ac:dyDescent="0.35">
      <c r="A317" t="s">
        <v>1583</v>
      </c>
      <c r="B317" t="s">
        <v>260</v>
      </c>
      <c r="C317" s="5">
        <v>45328</v>
      </c>
      <c r="E317" t="s">
        <v>261</v>
      </c>
      <c r="F317" t="s">
        <v>681</v>
      </c>
      <c r="G317" t="s">
        <v>264</v>
      </c>
      <c r="H317" t="s">
        <v>48</v>
      </c>
      <c r="I317" t="s">
        <v>8</v>
      </c>
      <c r="J317" t="s">
        <v>23</v>
      </c>
      <c r="K317" t="s">
        <v>798</v>
      </c>
      <c r="L317" t="s">
        <v>793</v>
      </c>
      <c r="M317" t="s">
        <v>800</v>
      </c>
      <c r="N317">
        <v>10</v>
      </c>
      <c r="O317" s="3">
        <v>58.47</v>
      </c>
      <c r="P317" s="3">
        <v>84.78</v>
      </c>
      <c r="Q317" s="6">
        <v>0.05</v>
      </c>
      <c r="R317" s="3">
        <v>805.41</v>
      </c>
      <c r="S317" t="s">
        <v>790</v>
      </c>
    </row>
    <row r="318" spans="1:19" x14ac:dyDescent="0.35">
      <c r="A318" t="s">
        <v>1584</v>
      </c>
      <c r="B318" t="s">
        <v>272</v>
      </c>
      <c r="C318" s="5">
        <v>45752</v>
      </c>
      <c r="E318" t="s">
        <v>273</v>
      </c>
      <c r="F318" t="s">
        <v>633</v>
      </c>
      <c r="G318" t="s">
        <v>243</v>
      </c>
      <c r="H318" t="s">
        <v>797</v>
      </c>
      <c r="I318" t="s">
        <v>48</v>
      </c>
      <c r="J318" t="s">
        <v>143</v>
      </c>
      <c r="K318" t="s">
        <v>786</v>
      </c>
      <c r="L318" t="s">
        <v>787</v>
      </c>
      <c r="M318" t="s">
        <v>842</v>
      </c>
      <c r="N318">
        <v>1</v>
      </c>
      <c r="O318" s="3">
        <v>29.93</v>
      </c>
      <c r="P318" s="3">
        <v>38.909999999999997</v>
      </c>
      <c r="Q318" s="6">
        <v>0</v>
      </c>
      <c r="R318" s="3">
        <v>38.909999999999997</v>
      </c>
      <c r="S318" t="s">
        <v>869</v>
      </c>
    </row>
    <row r="319" spans="1:19" x14ac:dyDescent="0.35">
      <c r="A319" t="s">
        <v>1585</v>
      </c>
      <c r="B319" t="s">
        <v>494</v>
      </c>
      <c r="C319" s="5">
        <v>45975</v>
      </c>
      <c r="D319" s="5">
        <v>45978</v>
      </c>
      <c r="E319" t="s">
        <v>396</v>
      </c>
      <c r="F319" t="s">
        <v>681</v>
      </c>
      <c r="G319" t="s">
        <v>243</v>
      </c>
      <c r="H319" t="s">
        <v>20</v>
      </c>
      <c r="I319" t="s">
        <v>20</v>
      </c>
      <c r="J319" t="s">
        <v>97</v>
      </c>
      <c r="K319" t="s">
        <v>798</v>
      </c>
      <c r="L319" t="s">
        <v>799</v>
      </c>
      <c r="M319" t="s">
        <v>788</v>
      </c>
      <c r="N319">
        <v>1</v>
      </c>
      <c r="O319" s="3">
        <v>20.79</v>
      </c>
      <c r="P319" s="3">
        <v>28.07</v>
      </c>
      <c r="Q319" s="6">
        <v>0</v>
      </c>
      <c r="R319" s="3">
        <v>28.07</v>
      </c>
      <c r="S319" t="s">
        <v>829</v>
      </c>
    </row>
    <row r="320" spans="1:19" x14ac:dyDescent="0.35">
      <c r="A320" t="s">
        <v>1589</v>
      </c>
      <c r="B320" t="s">
        <v>252</v>
      </c>
      <c r="C320" s="5">
        <v>45792</v>
      </c>
      <c r="E320" t="s">
        <v>253</v>
      </c>
      <c r="F320" t="s">
        <v>696</v>
      </c>
      <c r="G320" t="s">
        <v>243</v>
      </c>
      <c r="H320" t="s">
        <v>48</v>
      </c>
      <c r="I320" t="s">
        <v>14</v>
      </c>
      <c r="J320" t="s">
        <v>214</v>
      </c>
      <c r="K320" t="s">
        <v>798</v>
      </c>
      <c r="L320" t="s">
        <v>793</v>
      </c>
      <c r="M320" t="s">
        <v>788</v>
      </c>
      <c r="N320">
        <v>3</v>
      </c>
      <c r="O320" s="3">
        <v>22.07</v>
      </c>
      <c r="P320" s="3">
        <v>27.59</v>
      </c>
      <c r="Q320" s="6">
        <v>0</v>
      </c>
      <c r="R320" s="3">
        <v>82.77</v>
      </c>
      <c r="S320" t="s">
        <v>810</v>
      </c>
    </row>
    <row r="321" spans="1:19" x14ac:dyDescent="0.35">
      <c r="A321" t="s">
        <v>1592</v>
      </c>
      <c r="B321" t="s">
        <v>426</v>
      </c>
      <c r="C321" s="5">
        <v>45939</v>
      </c>
      <c r="E321" t="s">
        <v>427</v>
      </c>
      <c r="F321" t="s">
        <v>637</v>
      </c>
      <c r="G321" t="s">
        <v>264</v>
      </c>
      <c r="H321" t="s">
        <v>20</v>
      </c>
      <c r="I321" t="s">
        <v>48</v>
      </c>
      <c r="J321" t="s">
        <v>135</v>
      </c>
      <c r="K321" t="s">
        <v>798</v>
      </c>
      <c r="L321" t="s">
        <v>787</v>
      </c>
      <c r="M321" t="s">
        <v>842</v>
      </c>
      <c r="N321">
        <v>20</v>
      </c>
      <c r="O321" s="3">
        <v>51.72</v>
      </c>
      <c r="P321" s="3">
        <v>67.239999999999995</v>
      </c>
      <c r="Q321" s="6">
        <v>0</v>
      </c>
      <c r="R321" s="3">
        <v>1344.8</v>
      </c>
      <c r="S321" t="s">
        <v>919</v>
      </c>
    </row>
    <row r="322" spans="1:19" x14ac:dyDescent="0.35">
      <c r="A322" t="s">
        <v>1593</v>
      </c>
      <c r="B322" t="s">
        <v>557</v>
      </c>
      <c r="C322" s="5">
        <v>45801</v>
      </c>
      <c r="E322" t="s">
        <v>558</v>
      </c>
      <c r="F322" t="s">
        <v>674</v>
      </c>
      <c r="G322" t="s">
        <v>235</v>
      </c>
      <c r="H322" t="s">
        <v>797</v>
      </c>
      <c r="I322" t="s">
        <v>38</v>
      </c>
      <c r="J322" t="s">
        <v>109</v>
      </c>
      <c r="K322" t="s">
        <v>798</v>
      </c>
      <c r="L322" t="s">
        <v>793</v>
      </c>
      <c r="M322" t="s">
        <v>818</v>
      </c>
      <c r="N322">
        <v>12</v>
      </c>
      <c r="O322" s="3">
        <v>29.32</v>
      </c>
      <c r="P322" s="3">
        <v>36.65</v>
      </c>
      <c r="Q322" s="6">
        <v>0</v>
      </c>
      <c r="R322" s="3">
        <v>439.79999999999995</v>
      </c>
      <c r="S322" t="s">
        <v>919</v>
      </c>
    </row>
    <row r="323" spans="1:19" x14ac:dyDescent="0.35">
      <c r="A323" t="s">
        <v>1595</v>
      </c>
      <c r="B323" t="s">
        <v>529</v>
      </c>
      <c r="C323" s="5">
        <v>45992</v>
      </c>
      <c r="E323" t="s">
        <v>253</v>
      </c>
      <c r="F323" t="s">
        <v>674</v>
      </c>
      <c r="G323" t="s">
        <v>235</v>
      </c>
      <c r="H323" t="s">
        <v>797</v>
      </c>
      <c r="I323" t="s">
        <v>8</v>
      </c>
      <c r="J323" t="s">
        <v>212</v>
      </c>
      <c r="K323" t="s">
        <v>786</v>
      </c>
      <c r="L323" t="s">
        <v>793</v>
      </c>
      <c r="M323" t="s">
        <v>842</v>
      </c>
      <c r="N323">
        <v>5</v>
      </c>
      <c r="O323" s="3">
        <v>95.09</v>
      </c>
      <c r="P323" s="3">
        <v>133.13</v>
      </c>
      <c r="Q323" s="6">
        <v>0.1</v>
      </c>
      <c r="R323" s="3">
        <v>599.08500000000004</v>
      </c>
      <c r="S323" t="s">
        <v>810</v>
      </c>
    </row>
    <row r="324" spans="1:19" x14ac:dyDescent="0.35">
      <c r="A324" t="s">
        <v>1598</v>
      </c>
      <c r="B324" t="s">
        <v>334</v>
      </c>
      <c r="C324" s="5">
        <v>45635</v>
      </c>
      <c r="D324" s="5">
        <v>45645</v>
      </c>
      <c r="E324" t="s">
        <v>335</v>
      </c>
      <c r="F324" t="s">
        <v>633</v>
      </c>
      <c r="G324" t="s">
        <v>243</v>
      </c>
      <c r="H324" t="s">
        <v>797</v>
      </c>
      <c r="I324" t="s">
        <v>48</v>
      </c>
      <c r="J324" t="s">
        <v>143</v>
      </c>
      <c r="K324" t="s">
        <v>798</v>
      </c>
      <c r="L324" t="s">
        <v>799</v>
      </c>
      <c r="M324" t="s">
        <v>788</v>
      </c>
      <c r="N324">
        <v>1</v>
      </c>
      <c r="O324" s="3">
        <v>29.93</v>
      </c>
      <c r="P324" s="3">
        <v>38.909999999999997</v>
      </c>
      <c r="Q324" s="6">
        <v>0.05</v>
      </c>
      <c r="R324" s="3">
        <v>36.964499999999994</v>
      </c>
      <c r="S324" t="s">
        <v>794</v>
      </c>
    </row>
    <row r="325" spans="1:19" x14ac:dyDescent="0.35">
      <c r="A325" t="s">
        <v>1599</v>
      </c>
      <c r="B325" t="s">
        <v>322</v>
      </c>
      <c r="C325" s="5">
        <v>45333</v>
      </c>
      <c r="D325" s="5">
        <v>45334</v>
      </c>
      <c r="E325" t="s">
        <v>245</v>
      </c>
      <c r="F325" t="s">
        <v>637</v>
      </c>
      <c r="G325" t="s">
        <v>243</v>
      </c>
      <c r="H325" t="s">
        <v>20</v>
      </c>
      <c r="I325" t="s">
        <v>29</v>
      </c>
      <c r="J325" t="s">
        <v>32</v>
      </c>
      <c r="K325" t="s">
        <v>798</v>
      </c>
      <c r="L325" t="s">
        <v>799</v>
      </c>
      <c r="M325" t="s">
        <v>842</v>
      </c>
      <c r="N325">
        <v>3</v>
      </c>
      <c r="O325" s="3">
        <v>18.989999999999998</v>
      </c>
      <c r="P325" s="3">
        <v>25.64</v>
      </c>
      <c r="Q325" s="6">
        <v>0.05</v>
      </c>
      <c r="R325" s="3">
        <v>73.073999999999998</v>
      </c>
      <c r="S325" t="s">
        <v>834</v>
      </c>
    </row>
    <row r="326" spans="1:19" x14ac:dyDescent="0.35">
      <c r="A326" t="s">
        <v>1602</v>
      </c>
      <c r="B326" t="s">
        <v>315</v>
      </c>
      <c r="C326" s="5">
        <v>45299</v>
      </c>
      <c r="E326" t="s">
        <v>316</v>
      </c>
      <c r="F326" t="s">
        <v>681</v>
      </c>
      <c r="G326" t="s">
        <v>235</v>
      </c>
      <c r="H326" t="s">
        <v>14</v>
      </c>
      <c r="I326" t="s">
        <v>48</v>
      </c>
      <c r="J326" t="s">
        <v>54</v>
      </c>
      <c r="K326" t="s">
        <v>786</v>
      </c>
      <c r="L326" t="s">
        <v>793</v>
      </c>
      <c r="M326" t="s">
        <v>818</v>
      </c>
      <c r="N326">
        <v>2</v>
      </c>
      <c r="O326" s="3">
        <v>21.67</v>
      </c>
      <c r="P326" s="3">
        <v>28.17</v>
      </c>
      <c r="Q326" s="6">
        <v>0.15</v>
      </c>
      <c r="R326" s="3">
        <v>47.889000000000003</v>
      </c>
      <c r="S326" t="s">
        <v>888</v>
      </c>
    </row>
    <row r="327" spans="1:19" x14ac:dyDescent="0.35">
      <c r="A327" t="s">
        <v>1604</v>
      </c>
      <c r="B327" t="s">
        <v>565</v>
      </c>
      <c r="C327" s="5">
        <v>45503</v>
      </c>
      <c r="D327" s="5">
        <v>45511</v>
      </c>
      <c r="E327" t="s">
        <v>566</v>
      </c>
      <c r="F327" t="s">
        <v>633</v>
      </c>
      <c r="H327" t="s">
        <v>14</v>
      </c>
      <c r="I327" t="s">
        <v>20</v>
      </c>
      <c r="J327" t="s">
        <v>163</v>
      </c>
      <c r="K327" t="s">
        <v>798</v>
      </c>
      <c r="L327" t="s">
        <v>822</v>
      </c>
      <c r="M327" t="s">
        <v>842</v>
      </c>
      <c r="N327">
        <v>2</v>
      </c>
      <c r="O327" s="3">
        <v>55.3</v>
      </c>
      <c r="P327" s="3">
        <v>74.66</v>
      </c>
      <c r="Q327" s="6">
        <v>0.1</v>
      </c>
      <c r="R327" s="3">
        <v>134.38800000000001</v>
      </c>
      <c r="S327" t="s">
        <v>810</v>
      </c>
    </row>
    <row r="328" spans="1:19" x14ac:dyDescent="0.35">
      <c r="A328" t="s">
        <v>1606</v>
      </c>
      <c r="B328" t="s">
        <v>561</v>
      </c>
      <c r="C328" s="5">
        <v>45918</v>
      </c>
      <c r="E328" t="s">
        <v>562</v>
      </c>
      <c r="F328" t="s">
        <v>637</v>
      </c>
      <c r="G328" t="s">
        <v>243</v>
      </c>
      <c r="H328" t="s">
        <v>20</v>
      </c>
      <c r="I328" t="s">
        <v>48</v>
      </c>
      <c r="J328" t="s">
        <v>61</v>
      </c>
      <c r="K328" t="s">
        <v>798</v>
      </c>
      <c r="L328" t="s">
        <v>787</v>
      </c>
      <c r="M328" t="s">
        <v>788</v>
      </c>
      <c r="N328">
        <v>5</v>
      </c>
      <c r="O328" s="3">
        <v>26.08</v>
      </c>
      <c r="P328" s="3">
        <v>35.21</v>
      </c>
      <c r="Q328" s="6">
        <v>0</v>
      </c>
      <c r="R328" s="3">
        <v>176.05</v>
      </c>
      <c r="S328" t="s">
        <v>919</v>
      </c>
    </row>
    <row r="329" spans="1:19" x14ac:dyDescent="0.35">
      <c r="A329" t="s">
        <v>1607</v>
      </c>
      <c r="B329" t="s">
        <v>559</v>
      </c>
      <c r="C329" s="5">
        <v>45834</v>
      </c>
      <c r="D329" s="5">
        <v>45838</v>
      </c>
      <c r="E329" t="s">
        <v>311</v>
      </c>
      <c r="F329" t="s">
        <v>633</v>
      </c>
      <c r="G329" t="s">
        <v>235</v>
      </c>
      <c r="H329" t="s">
        <v>20</v>
      </c>
      <c r="I329" t="s">
        <v>8</v>
      </c>
      <c r="J329" t="s">
        <v>204</v>
      </c>
      <c r="K329" t="s">
        <v>786</v>
      </c>
      <c r="L329" t="s">
        <v>799</v>
      </c>
      <c r="M329" t="s">
        <v>818</v>
      </c>
      <c r="N329">
        <v>2</v>
      </c>
      <c r="O329" s="3">
        <v>28.27</v>
      </c>
      <c r="P329" s="3">
        <v>40.99</v>
      </c>
      <c r="Q329" s="6">
        <v>0.15</v>
      </c>
      <c r="R329" s="3">
        <v>69.683000000000007</v>
      </c>
      <c r="S329" t="s">
        <v>825</v>
      </c>
    </row>
    <row r="330" spans="1:19" x14ac:dyDescent="0.35">
      <c r="A330" t="s">
        <v>1609</v>
      </c>
      <c r="B330" t="s">
        <v>372</v>
      </c>
      <c r="C330" s="5">
        <v>45575</v>
      </c>
      <c r="E330" t="s">
        <v>373</v>
      </c>
      <c r="F330" t="s">
        <v>254</v>
      </c>
      <c r="G330" t="s">
        <v>235</v>
      </c>
      <c r="H330" t="s">
        <v>20</v>
      </c>
      <c r="I330" t="s">
        <v>29</v>
      </c>
      <c r="J330" t="s">
        <v>32</v>
      </c>
      <c r="K330" t="s">
        <v>798</v>
      </c>
      <c r="L330" t="s">
        <v>817</v>
      </c>
      <c r="M330" t="s">
        <v>818</v>
      </c>
      <c r="N330">
        <v>12</v>
      </c>
      <c r="O330" s="3">
        <v>18.989999999999998</v>
      </c>
      <c r="P330" s="3">
        <v>25.64</v>
      </c>
      <c r="Q330" s="6">
        <v>0.05</v>
      </c>
      <c r="R330" s="3">
        <v>292.29599999999999</v>
      </c>
      <c r="S330" t="s">
        <v>810</v>
      </c>
    </row>
    <row r="331" spans="1:19" x14ac:dyDescent="0.35">
      <c r="A331" t="s">
        <v>1610</v>
      </c>
      <c r="B331" t="s">
        <v>283</v>
      </c>
      <c r="C331" s="5">
        <v>45455</v>
      </c>
      <c r="E331" t="s">
        <v>284</v>
      </c>
      <c r="F331" t="s">
        <v>681</v>
      </c>
      <c r="G331" t="s">
        <v>264</v>
      </c>
      <c r="H331" t="s">
        <v>797</v>
      </c>
      <c r="I331" t="s">
        <v>48</v>
      </c>
      <c r="J331" t="s">
        <v>84</v>
      </c>
      <c r="K331" t="s">
        <v>798</v>
      </c>
      <c r="L331" t="s">
        <v>793</v>
      </c>
      <c r="M331" t="s">
        <v>818</v>
      </c>
      <c r="N331">
        <v>1</v>
      </c>
      <c r="O331" s="3">
        <v>27.52</v>
      </c>
      <c r="P331" s="3">
        <v>34.4</v>
      </c>
      <c r="Q331" s="6">
        <v>0</v>
      </c>
      <c r="R331" s="3">
        <v>34.4</v>
      </c>
      <c r="S331" t="s">
        <v>919</v>
      </c>
    </row>
    <row r="332" spans="1:19" x14ac:dyDescent="0.35">
      <c r="A332" t="s">
        <v>1611</v>
      </c>
      <c r="B332" t="s">
        <v>527</v>
      </c>
      <c r="C332" s="5">
        <v>46050</v>
      </c>
      <c r="D332" s="5">
        <v>46060</v>
      </c>
      <c r="E332" t="s">
        <v>282</v>
      </c>
      <c r="F332" t="s">
        <v>674</v>
      </c>
      <c r="G332" t="s">
        <v>235</v>
      </c>
      <c r="H332" t="s">
        <v>797</v>
      </c>
      <c r="I332" t="s">
        <v>20</v>
      </c>
      <c r="J332" t="s">
        <v>104</v>
      </c>
      <c r="K332" t="s">
        <v>813</v>
      </c>
      <c r="L332" t="s">
        <v>799</v>
      </c>
      <c r="M332" t="s">
        <v>842</v>
      </c>
      <c r="N332">
        <v>2</v>
      </c>
      <c r="O332" s="3">
        <v>43.88</v>
      </c>
      <c r="P332" s="3">
        <v>54.85</v>
      </c>
      <c r="Q332" s="6">
        <v>0</v>
      </c>
      <c r="R332" s="3">
        <v>109.7</v>
      </c>
      <c r="S332" t="s">
        <v>845</v>
      </c>
    </row>
    <row r="333" spans="1:19" x14ac:dyDescent="0.35">
      <c r="A333" t="s">
        <v>1613</v>
      </c>
      <c r="B333" t="s">
        <v>475</v>
      </c>
      <c r="C333" s="5">
        <v>45885</v>
      </c>
      <c r="E333" t="s">
        <v>476</v>
      </c>
      <c r="F333" t="s">
        <v>674</v>
      </c>
      <c r="G333" t="s">
        <v>243</v>
      </c>
      <c r="H333" t="s">
        <v>20</v>
      </c>
      <c r="I333" t="s">
        <v>8</v>
      </c>
      <c r="J333" t="s">
        <v>6</v>
      </c>
      <c r="K333" t="s">
        <v>786</v>
      </c>
      <c r="L333" t="s">
        <v>793</v>
      </c>
      <c r="M333" t="s">
        <v>842</v>
      </c>
      <c r="N333">
        <v>3</v>
      </c>
      <c r="O333" s="3">
        <v>32.24</v>
      </c>
      <c r="P333" s="3">
        <v>41.91</v>
      </c>
      <c r="Q333" s="6">
        <v>0</v>
      </c>
      <c r="R333" s="3">
        <v>125.72999999999999</v>
      </c>
      <c r="S333" t="s">
        <v>794</v>
      </c>
    </row>
    <row r="334" spans="1:19" x14ac:dyDescent="0.35">
      <c r="A334" t="s">
        <v>1614</v>
      </c>
      <c r="B334" t="s">
        <v>601</v>
      </c>
      <c r="C334" s="5">
        <v>45392</v>
      </c>
      <c r="E334" t="s">
        <v>602</v>
      </c>
      <c r="F334" t="s">
        <v>696</v>
      </c>
      <c r="G334" t="s">
        <v>235</v>
      </c>
      <c r="H334" t="s">
        <v>20</v>
      </c>
      <c r="I334" t="s">
        <v>8</v>
      </c>
      <c r="J334" t="s">
        <v>207</v>
      </c>
      <c r="K334" t="s">
        <v>798</v>
      </c>
      <c r="L334" t="s">
        <v>793</v>
      </c>
      <c r="M334" t="s">
        <v>818</v>
      </c>
      <c r="N334">
        <v>2</v>
      </c>
      <c r="O334" s="3">
        <v>8.5399999999999991</v>
      </c>
      <c r="P334" s="3">
        <v>10.67</v>
      </c>
      <c r="Q334" s="6">
        <v>0.1</v>
      </c>
      <c r="R334" s="3">
        <v>19.206</v>
      </c>
      <c r="S334" t="s">
        <v>819</v>
      </c>
    </row>
    <row r="335" spans="1:19" x14ac:dyDescent="0.35">
      <c r="A335" t="s">
        <v>1616</v>
      </c>
      <c r="B335" t="s">
        <v>351</v>
      </c>
      <c r="C335" s="5">
        <v>45347</v>
      </c>
      <c r="E335" t="s">
        <v>352</v>
      </c>
      <c r="F335" t="s">
        <v>674</v>
      </c>
      <c r="G335" t="s">
        <v>264</v>
      </c>
      <c r="H335" t="s">
        <v>48</v>
      </c>
      <c r="I335" t="s">
        <v>20</v>
      </c>
      <c r="J335" t="s">
        <v>18</v>
      </c>
      <c r="K335" t="s">
        <v>798</v>
      </c>
      <c r="L335" t="s">
        <v>793</v>
      </c>
      <c r="M335" t="s">
        <v>788</v>
      </c>
      <c r="N335">
        <v>12</v>
      </c>
      <c r="O335" s="3">
        <v>21.57</v>
      </c>
      <c r="P335" s="3">
        <v>26.96</v>
      </c>
      <c r="Q335" s="6">
        <v>0.05</v>
      </c>
      <c r="R335" s="3">
        <v>307.34399999999999</v>
      </c>
      <c r="S335" t="s">
        <v>963</v>
      </c>
    </row>
    <row r="336" spans="1:19" x14ac:dyDescent="0.35">
      <c r="A336" t="s">
        <v>1618</v>
      </c>
      <c r="B336" t="s">
        <v>409</v>
      </c>
      <c r="C336" s="5">
        <v>45939</v>
      </c>
      <c r="D336" s="5">
        <v>45947</v>
      </c>
      <c r="E336" t="s">
        <v>410</v>
      </c>
      <c r="F336" t="s">
        <v>674</v>
      </c>
      <c r="G336" t="s">
        <v>235</v>
      </c>
      <c r="H336" t="s">
        <v>797</v>
      </c>
      <c r="I336" t="s">
        <v>8</v>
      </c>
      <c r="J336" t="s">
        <v>95</v>
      </c>
      <c r="K336" t="s">
        <v>813</v>
      </c>
      <c r="L336" t="s">
        <v>799</v>
      </c>
      <c r="M336" t="s">
        <v>800</v>
      </c>
      <c r="N336">
        <v>2</v>
      </c>
      <c r="O336" s="3">
        <v>23.02</v>
      </c>
      <c r="P336" s="3">
        <v>28.77</v>
      </c>
      <c r="Q336" s="6">
        <v>0</v>
      </c>
      <c r="R336" s="3">
        <v>57.54</v>
      </c>
      <c r="S336" t="s">
        <v>919</v>
      </c>
    </row>
    <row r="337" spans="1:19" x14ac:dyDescent="0.35">
      <c r="A337" t="s">
        <v>1620</v>
      </c>
      <c r="B337" t="s">
        <v>362</v>
      </c>
      <c r="C337" s="5">
        <v>45761</v>
      </c>
      <c r="D337" s="5">
        <v>45765</v>
      </c>
      <c r="E337" t="s">
        <v>363</v>
      </c>
      <c r="F337" t="s">
        <v>637</v>
      </c>
      <c r="G337" t="s">
        <v>235</v>
      </c>
      <c r="H337" t="s">
        <v>797</v>
      </c>
      <c r="I337" t="s">
        <v>14</v>
      </c>
      <c r="J337" t="s">
        <v>93</v>
      </c>
      <c r="K337" t="s">
        <v>786</v>
      </c>
      <c r="L337" t="s">
        <v>799</v>
      </c>
      <c r="M337" t="s">
        <v>788</v>
      </c>
      <c r="N337">
        <v>1</v>
      </c>
      <c r="O337" s="3">
        <v>26.96</v>
      </c>
      <c r="P337" s="3">
        <v>37.74</v>
      </c>
      <c r="Q337" s="6">
        <v>0.1</v>
      </c>
      <c r="R337" s="3">
        <v>33.966000000000001</v>
      </c>
      <c r="S337" t="s">
        <v>790</v>
      </c>
    </row>
    <row r="338" spans="1:19" x14ac:dyDescent="0.35">
      <c r="A338" t="s">
        <v>1622</v>
      </c>
      <c r="B338" t="s">
        <v>520</v>
      </c>
      <c r="C338" s="5">
        <v>45380</v>
      </c>
      <c r="D338" s="5">
        <v>45387</v>
      </c>
      <c r="E338" t="s">
        <v>521</v>
      </c>
      <c r="F338" t="s">
        <v>696</v>
      </c>
      <c r="G338" t="s">
        <v>243</v>
      </c>
      <c r="H338" t="s">
        <v>20</v>
      </c>
      <c r="I338" t="s">
        <v>43</v>
      </c>
      <c r="J338" t="s">
        <v>58</v>
      </c>
      <c r="K338" t="s">
        <v>798</v>
      </c>
      <c r="L338" t="s">
        <v>799</v>
      </c>
      <c r="M338" t="s">
        <v>818</v>
      </c>
      <c r="N338">
        <v>3</v>
      </c>
      <c r="O338" s="3">
        <v>11.21</v>
      </c>
      <c r="P338" s="3">
        <v>15.13</v>
      </c>
      <c r="Q338" s="6">
        <v>0</v>
      </c>
      <c r="R338" s="3">
        <v>45.39</v>
      </c>
      <c r="S338" t="s">
        <v>839</v>
      </c>
    </row>
    <row r="339" spans="1:19" x14ac:dyDescent="0.35">
      <c r="A339" t="s">
        <v>1624</v>
      </c>
      <c r="B339" t="s">
        <v>400</v>
      </c>
      <c r="C339" s="5">
        <v>46045</v>
      </c>
      <c r="D339" s="5">
        <v>46052</v>
      </c>
      <c r="E339" t="s">
        <v>383</v>
      </c>
      <c r="F339" t="s">
        <v>633</v>
      </c>
      <c r="G339" t="s">
        <v>235</v>
      </c>
      <c r="H339" t="s">
        <v>797</v>
      </c>
      <c r="I339" t="s">
        <v>14</v>
      </c>
      <c r="J339" t="s">
        <v>12</v>
      </c>
      <c r="K339" t="s">
        <v>798</v>
      </c>
      <c r="L339" t="s">
        <v>822</v>
      </c>
      <c r="M339" t="s">
        <v>788</v>
      </c>
      <c r="N339">
        <v>12</v>
      </c>
      <c r="O339" s="3">
        <v>35.03</v>
      </c>
      <c r="P339" s="3">
        <v>50.79</v>
      </c>
      <c r="Q339" s="6">
        <v>0.1</v>
      </c>
      <c r="R339" s="3">
        <v>548.53200000000004</v>
      </c>
      <c r="S339" t="s">
        <v>839</v>
      </c>
    </row>
    <row r="340" spans="1:19" x14ac:dyDescent="0.35">
      <c r="A340" t="s">
        <v>1625</v>
      </c>
      <c r="B340" t="s">
        <v>498</v>
      </c>
      <c r="C340" s="5">
        <v>45337</v>
      </c>
      <c r="D340" s="5">
        <v>45345</v>
      </c>
      <c r="E340" t="s">
        <v>499</v>
      </c>
      <c r="F340" t="s">
        <v>681</v>
      </c>
      <c r="G340" t="s">
        <v>235</v>
      </c>
      <c r="H340" t="s">
        <v>20</v>
      </c>
      <c r="I340" t="s">
        <v>79</v>
      </c>
      <c r="J340" t="s">
        <v>108</v>
      </c>
      <c r="K340" t="s">
        <v>813</v>
      </c>
      <c r="L340" t="s">
        <v>799</v>
      </c>
      <c r="M340" t="s">
        <v>818</v>
      </c>
      <c r="N340">
        <v>2</v>
      </c>
      <c r="O340" s="3">
        <v>9.3000000000000007</v>
      </c>
      <c r="P340" s="3">
        <v>12.56</v>
      </c>
      <c r="Q340" s="6">
        <v>0.15</v>
      </c>
      <c r="R340" s="3">
        <v>21.352</v>
      </c>
      <c r="S340" t="s">
        <v>919</v>
      </c>
    </row>
    <row r="341" spans="1:19" x14ac:dyDescent="0.35">
      <c r="A341" t="s">
        <v>1628</v>
      </c>
      <c r="B341" t="s">
        <v>312</v>
      </c>
      <c r="C341" s="5">
        <v>45799</v>
      </c>
      <c r="E341" t="s">
        <v>313</v>
      </c>
      <c r="F341" t="s">
        <v>627</v>
      </c>
      <c r="G341" t="s">
        <v>235</v>
      </c>
      <c r="H341" t="s">
        <v>20</v>
      </c>
      <c r="I341" t="s">
        <v>20</v>
      </c>
      <c r="J341" t="s">
        <v>134</v>
      </c>
      <c r="K341" t="s">
        <v>798</v>
      </c>
      <c r="L341" t="s">
        <v>793</v>
      </c>
      <c r="M341" t="s">
        <v>788</v>
      </c>
      <c r="N341">
        <v>10</v>
      </c>
      <c r="O341" s="3">
        <v>38.36</v>
      </c>
      <c r="P341" s="3">
        <v>53.7</v>
      </c>
      <c r="Q341" s="6">
        <v>0</v>
      </c>
      <c r="R341" s="3">
        <v>537</v>
      </c>
      <c r="S341" t="s">
        <v>814</v>
      </c>
    </row>
    <row r="342" spans="1:19" x14ac:dyDescent="0.35">
      <c r="A342" t="s">
        <v>1629</v>
      </c>
      <c r="B342" t="s">
        <v>569</v>
      </c>
      <c r="C342" s="5">
        <v>45594</v>
      </c>
      <c r="E342" t="s">
        <v>535</v>
      </c>
      <c r="F342" t="s">
        <v>254</v>
      </c>
      <c r="H342" t="s">
        <v>797</v>
      </c>
      <c r="I342" t="s">
        <v>48</v>
      </c>
      <c r="J342" t="s">
        <v>217</v>
      </c>
      <c r="K342" t="s">
        <v>798</v>
      </c>
      <c r="L342" t="s">
        <v>787</v>
      </c>
      <c r="M342" t="s">
        <v>818</v>
      </c>
      <c r="N342">
        <v>5</v>
      </c>
      <c r="O342" s="3">
        <v>24.07</v>
      </c>
      <c r="P342" s="3">
        <v>34.9</v>
      </c>
      <c r="Q342" s="6">
        <v>0.1</v>
      </c>
      <c r="R342" s="3">
        <v>157.05000000000001</v>
      </c>
      <c r="S342" t="s">
        <v>803</v>
      </c>
    </row>
    <row r="343" spans="1:19" x14ac:dyDescent="0.35">
      <c r="A343" t="s">
        <v>1631</v>
      </c>
      <c r="B343" t="s">
        <v>495</v>
      </c>
      <c r="C343" s="5">
        <v>45316</v>
      </c>
      <c r="E343" t="s">
        <v>496</v>
      </c>
      <c r="F343" t="s">
        <v>637</v>
      </c>
      <c r="G343" t="s">
        <v>264</v>
      </c>
      <c r="H343" t="s">
        <v>797</v>
      </c>
      <c r="I343" t="s">
        <v>48</v>
      </c>
      <c r="J343" t="s">
        <v>135</v>
      </c>
      <c r="K343" t="s">
        <v>798</v>
      </c>
      <c r="L343" t="s">
        <v>793</v>
      </c>
      <c r="M343" t="s">
        <v>800</v>
      </c>
      <c r="N343">
        <v>3</v>
      </c>
      <c r="O343" s="3">
        <v>51.72</v>
      </c>
      <c r="P343" s="3">
        <v>67.239999999999995</v>
      </c>
      <c r="Q343" s="6">
        <v>0.15</v>
      </c>
      <c r="R343" s="3">
        <v>171.46199999999999</v>
      </c>
      <c r="S343" t="s">
        <v>845</v>
      </c>
    </row>
    <row r="344" spans="1:19" x14ac:dyDescent="0.35">
      <c r="A344" t="s">
        <v>1633</v>
      </c>
      <c r="B344" t="s">
        <v>230</v>
      </c>
      <c r="C344" s="5">
        <v>46012</v>
      </c>
      <c r="D344" s="5">
        <v>46017</v>
      </c>
      <c r="E344" t="s">
        <v>231</v>
      </c>
      <c r="F344" t="s">
        <v>637</v>
      </c>
      <c r="G344" t="s">
        <v>235</v>
      </c>
      <c r="H344" t="s">
        <v>14</v>
      </c>
      <c r="I344" t="s">
        <v>38</v>
      </c>
      <c r="J344" t="s">
        <v>109</v>
      </c>
      <c r="K344" t="s">
        <v>798</v>
      </c>
      <c r="L344" t="s">
        <v>799</v>
      </c>
      <c r="M344" t="s">
        <v>842</v>
      </c>
      <c r="N344">
        <v>10</v>
      </c>
      <c r="O344" s="3">
        <v>29.32</v>
      </c>
      <c r="P344" s="3">
        <v>36.65</v>
      </c>
      <c r="Q344" s="6">
        <v>0</v>
      </c>
      <c r="R344" s="3">
        <v>366.5</v>
      </c>
      <c r="S344" t="s">
        <v>876</v>
      </c>
    </row>
    <row r="345" spans="1:19" x14ac:dyDescent="0.35">
      <c r="A345" t="s">
        <v>1635</v>
      </c>
      <c r="B345" t="s">
        <v>528</v>
      </c>
      <c r="C345" s="5">
        <v>46006</v>
      </c>
      <c r="E345" t="s">
        <v>433</v>
      </c>
      <c r="F345" t="s">
        <v>627</v>
      </c>
      <c r="G345" t="s">
        <v>264</v>
      </c>
      <c r="H345" t="s">
        <v>20</v>
      </c>
      <c r="I345" t="s">
        <v>14</v>
      </c>
      <c r="J345" t="s">
        <v>186</v>
      </c>
      <c r="K345" t="s">
        <v>786</v>
      </c>
      <c r="L345" t="s">
        <v>787</v>
      </c>
      <c r="M345" t="s">
        <v>800</v>
      </c>
      <c r="N345">
        <v>3</v>
      </c>
      <c r="O345" s="3">
        <v>28.32</v>
      </c>
      <c r="P345" s="3">
        <v>35.4</v>
      </c>
      <c r="Q345" s="6">
        <v>0.15</v>
      </c>
      <c r="R345" s="3">
        <v>90.27</v>
      </c>
      <c r="S345" t="s">
        <v>829</v>
      </c>
    </row>
    <row r="346" spans="1:19" x14ac:dyDescent="0.35">
      <c r="A346" t="s">
        <v>1636</v>
      </c>
      <c r="B346" t="s">
        <v>283</v>
      </c>
      <c r="C346" s="5">
        <v>45819</v>
      </c>
      <c r="E346" t="s">
        <v>284</v>
      </c>
      <c r="F346" t="s">
        <v>254</v>
      </c>
      <c r="G346" t="s">
        <v>264</v>
      </c>
      <c r="H346" t="s">
        <v>797</v>
      </c>
      <c r="I346" t="s">
        <v>48</v>
      </c>
      <c r="J346" t="s">
        <v>61</v>
      </c>
      <c r="K346" t="s">
        <v>798</v>
      </c>
      <c r="L346" t="s">
        <v>787</v>
      </c>
      <c r="M346" t="s">
        <v>800</v>
      </c>
      <c r="N346">
        <v>10</v>
      </c>
      <c r="O346" s="3">
        <v>26.08</v>
      </c>
      <c r="P346" s="3">
        <v>35.21</v>
      </c>
      <c r="Q346" s="6">
        <v>0</v>
      </c>
      <c r="R346" s="3">
        <v>352.1</v>
      </c>
      <c r="S346" t="s">
        <v>869</v>
      </c>
    </row>
    <row r="347" spans="1:19" x14ac:dyDescent="0.35">
      <c r="A347" t="s">
        <v>1639</v>
      </c>
      <c r="B347" t="s">
        <v>536</v>
      </c>
      <c r="C347" s="5">
        <v>45864</v>
      </c>
      <c r="E347" t="s">
        <v>537</v>
      </c>
      <c r="F347" t="s">
        <v>681</v>
      </c>
      <c r="G347" t="s">
        <v>235</v>
      </c>
      <c r="H347" t="s">
        <v>20</v>
      </c>
      <c r="I347" t="s">
        <v>8</v>
      </c>
      <c r="J347" t="s">
        <v>212</v>
      </c>
      <c r="K347" t="s">
        <v>813</v>
      </c>
      <c r="L347" t="s">
        <v>793</v>
      </c>
      <c r="M347" t="s">
        <v>842</v>
      </c>
      <c r="N347">
        <v>5</v>
      </c>
      <c r="O347" s="3">
        <v>95.09</v>
      </c>
      <c r="P347" s="3">
        <v>133.13</v>
      </c>
      <c r="Q347" s="6">
        <v>0.15</v>
      </c>
      <c r="R347" s="3">
        <v>565.80250000000001</v>
      </c>
      <c r="S347" t="s">
        <v>819</v>
      </c>
    </row>
    <row r="348" spans="1:19" x14ac:dyDescent="0.35">
      <c r="A348" t="s">
        <v>1640</v>
      </c>
      <c r="B348" t="s">
        <v>588</v>
      </c>
      <c r="C348" s="5">
        <v>46047</v>
      </c>
      <c r="E348" t="s">
        <v>435</v>
      </c>
      <c r="F348" t="s">
        <v>674</v>
      </c>
      <c r="G348" t="s">
        <v>264</v>
      </c>
      <c r="H348" t="s">
        <v>20</v>
      </c>
      <c r="I348" t="s">
        <v>20</v>
      </c>
      <c r="J348" t="s">
        <v>197</v>
      </c>
      <c r="K348" t="s">
        <v>786</v>
      </c>
      <c r="L348" t="s">
        <v>793</v>
      </c>
      <c r="M348" t="s">
        <v>800</v>
      </c>
      <c r="N348">
        <v>3</v>
      </c>
      <c r="O348" s="3">
        <v>22.45</v>
      </c>
      <c r="P348" s="3">
        <v>29.18</v>
      </c>
      <c r="Q348" s="6">
        <v>0.1</v>
      </c>
      <c r="R348" s="3">
        <v>78.785999999999987</v>
      </c>
      <c r="S348" t="s">
        <v>825</v>
      </c>
    </row>
    <row r="349" spans="1:19" x14ac:dyDescent="0.35">
      <c r="A349" t="s">
        <v>1641</v>
      </c>
      <c r="B349" t="s">
        <v>283</v>
      </c>
      <c r="C349" s="5">
        <v>45725</v>
      </c>
      <c r="D349" s="5">
        <v>45734</v>
      </c>
      <c r="E349" t="s">
        <v>284</v>
      </c>
      <c r="F349" t="s">
        <v>254</v>
      </c>
      <c r="G349" t="s">
        <v>264</v>
      </c>
      <c r="H349" t="s">
        <v>797</v>
      </c>
      <c r="I349" t="s">
        <v>43</v>
      </c>
      <c r="J349" t="s">
        <v>200</v>
      </c>
      <c r="K349" t="s">
        <v>798</v>
      </c>
      <c r="L349" t="s">
        <v>799</v>
      </c>
      <c r="M349" t="s">
        <v>842</v>
      </c>
      <c r="N349">
        <v>12</v>
      </c>
      <c r="O349" s="3">
        <v>69.23</v>
      </c>
      <c r="P349" s="3">
        <v>86.54</v>
      </c>
      <c r="Q349" s="6">
        <v>0.05</v>
      </c>
      <c r="R349" s="3">
        <v>986.55600000000004</v>
      </c>
      <c r="S349" t="s">
        <v>1001</v>
      </c>
    </row>
    <row r="350" spans="1:19" x14ac:dyDescent="0.35">
      <c r="A350" t="s">
        <v>1644</v>
      </c>
      <c r="B350" t="s">
        <v>419</v>
      </c>
      <c r="C350" s="5">
        <v>45986</v>
      </c>
      <c r="D350" s="5">
        <v>45988</v>
      </c>
      <c r="E350" t="s">
        <v>420</v>
      </c>
      <c r="F350" t="s">
        <v>696</v>
      </c>
      <c r="G350" t="s">
        <v>243</v>
      </c>
      <c r="H350" t="s">
        <v>14</v>
      </c>
      <c r="I350" t="s">
        <v>8</v>
      </c>
      <c r="J350" t="s">
        <v>21</v>
      </c>
      <c r="K350" t="s">
        <v>786</v>
      </c>
      <c r="L350" t="s">
        <v>822</v>
      </c>
      <c r="M350" t="s">
        <v>842</v>
      </c>
      <c r="N350">
        <v>10</v>
      </c>
      <c r="O350" s="3">
        <v>21.57</v>
      </c>
      <c r="P350" s="3">
        <v>26.96</v>
      </c>
      <c r="Q350" s="6">
        <v>0</v>
      </c>
      <c r="R350" s="3">
        <v>269.60000000000002</v>
      </c>
      <c r="S350" t="s">
        <v>845</v>
      </c>
    </row>
    <row r="351" spans="1:19" x14ac:dyDescent="0.35">
      <c r="A351" t="s">
        <v>1646</v>
      </c>
      <c r="B351" t="s">
        <v>366</v>
      </c>
      <c r="C351" s="5">
        <v>45374</v>
      </c>
      <c r="E351" t="s">
        <v>245</v>
      </c>
      <c r="F351" t="s">
        <v>633</v>
      </c>
      <c r="G351" t="s">
        <v>243</v>
      </c>
      <c r="H351" t="s">
        <v>48</v>
      </c>
      <c r="I351" t="s">
        <v>38</v>
      </c>
      <c r="J351" t="s">
        <v>126</v>
      </c>
      <c r="K351" t="s">
        <v>813</v>
      </c>
      <c r="L351" t="s">
        <v>787</v>
      </c>
      <c r="M351" t="s">
        <v>842</v>
      </c>
      <c r="N351">
        <v>1</v>
      </c>
      <c r="O351" s="3">
        <v>41.95</v>
      </c>
      <c r="P351" s="3">
        <v>58.73</v>
      </c>
      <c r="Q351" s="6">
        <v>0.15</v>
      </c>
      <c r="R351" s="3">
        <v>49.920499999999997</v>
      </c>
      <c r="S351" t="s">
        <v>888</v>
      </c>
    </row>
    <row r="352" spans="1:19" x14ac:dyDescent="0.35">
      <c r="A352" t="s">
        <v>1648</v>
      </c>
      <c r="B352" t="s">
        <v>377</v>
      </c>
      <c r="C352" s="5">
        <v>45800</v>
      </c>
      <c r="E352" t="s">
        <v>378</v>
      </c>
      <c r="F352" t="s">
        <v>627</v>
      </c>
      <c r="G352" t="s">
        <v>243</v>
      </c>
      <c r="H352" t="s">
        <v>48</v>
      </c>
      <c r="I352" t="s">
        <v>14</v>
      </c>
      <c r="J352" t="s">
        <v>209</v>
      </c>
      <c r="K352" t="s">
        <v>813</v>
      </c>
      <c r="L352" t="s">
        <v>793</v>
      </c>
      <c r="M352" t="s">
        <v>788</v>
      </c>
      <c r="N352">
        <v>20</v>
      </c>
      <c r="O352" s="3">
        <v>24.18</v>
      </c>
      <c r="P352" s="3">
        <v>33.85</v>
      </c>
      <c r="Q352" s="6">
        <v>0.05</v>
      </c>
      <c r="R352" s="3">
        <v>643.15</v>
      </c>
      <c r="S352" t="s">
        <v>814</v>
      </c>
    </row>
    <row r="353" spans="1:19" x14ac:dyDescent="0.35">
      <c r="A353" t="s">
        <v>1650</v>
      </c>
      <c r="B353" t="s">
        <v>601</v>
      </c>
      <c r="C353" s="5">
        <v>45722</v>
      </c>
      <c r="E353" t="s">
        <v>602</v>
      </c>
      <c r="F353" t="s">
        <v>681</v>
      </c>
      <c r="G353" t="s">
        <v>235</v>
      </c>
      <c r="H353" t="s">
        <v>797</v>
      </c>
      <c r="I353" t="s">
        <v>38</v>
      </c>
      <c r="J353" t="s">
        <v>109</v>
      </c>
      <c r="K353" t="s">
        <v>813</v>
      </c>
      <c r="L353" t="s">
        <v>787</v>
      </c>
      <c r="M353" t="s">
        <v>788</v>
      </c>
      <c r="N353">
        <v>2</v>
      </c>
      <c r="O353" s="3">
        <v>29.32</v>
      </c>
      <c r="P353" s="3">
        <v>36.65</v>
      </c>
      <c r="Q353" s="6">
        <v>0.1</v>
      </c>
      <c r="R353" s="3">
        <v>65.97</v>
      </c>
      <c r="S353" t="s">
        <v>869</v>
      </c>
    </row>
    <row r="354" spans="1:19" x14ac:dyDescent="0.35">
      <c r="A354" t="s">
        <v>1651</v>
      </c>
      <c r="B354" t="s">
        <v>545</v>
      </c>
      <c r="C354" s="5">
        <v>45635</v>
      </c>
      <c r="D354" s="5">
        <v>45645</v>
      </c>
      <c r="E354" t="s">
        <v>546</v>
      </c>
      <c r="F354" t="s">
        <v>633</v>
      </c>
      <c r="G354" t="s">
        <v>235</v>
      </c>
      <c r="H354" t="s">
        <v>14</v>
      </c>
      <c r="I354" t="s">
        <v>20</v>
      </c>
      <c r="J354" t="s">
        <v>51</v>
      </c>
      <c r="K354" t="s">
        <v>786</v>
      </c>
      <c r="L354" t="s">
        <v>799</v>
      </c>
      <c r="M354" t="s">
        <v>818</v>
      </c>
      <c r="N354">
        <v>2</v>
      </c>
      <c r="O354" s="3">
        <v>11.28</v>
      </c>
      <c r="P354" s="3">
        <v>15.23</v>
      </c>
      <c r="Q354" s="6">
        <v>0.05</v>
      </c>
      <c r="R354" s="3">
        <v>28.937000000000001</v>
      </c>
      <c r="S354" t="s">
        <v>859</v>
      </c>
    </row>
    <row r="355" spans="1:19" x14ac:dyDescent="0.35">
      <c r="A355" t="s">
        <v>1652</v>
      </c>
      <c r="B355" t="s">
        <v>362</v>
      </c>
      <c r="C355" s="5">
        <v>45427</v>
      </c>
      <c r="E355" t="s">
        <v>363</v>
      </c>
      <c r="F355" t="s">
        <v>637</v>
      </c>
      <c r="G355" t="s">
        <v>235</v>
      </c>
      <c r="H355" t="s">
        <v>797</v>
      </c>
      <c r="I355" t="s">
        <v>20</v>
      </c>
      <c r="J355" t="s">
        <v>159</v>
      </c>
      <c r="K355" t="s">
        <v>798</v>
      </c>
      <c r="L355" t="s">
        <v>817</v>
      </c>
      <c r="M355" t="s">
        <v>842</v>
      </c>
      <c r="N355">
        <v>3</v>
      </c>
      <c r="O355" s="3">
        <v>8.2200000000000006</v>
      </c>
      <c r="P355" s="3">
        <v>11.1</v>
      </c>
      <c r="Q355" s="6">
        <v>0</v>
      </c>
      <c r="R355" s="3">
        <v>33.299999999999997</v>
      </c>
      <c r="S355" t="s">
        <v>814</v>
      </c>
    </row>
    <row r="356" spans="1:19" x14ac:dyDescent="0.35">
      <c r="A356" t="s">
        <v>1654</v>
      </c>
      <c r="B356" t="s">
        <v>359</v>
      </c>
      <c r="C356" s="5">
        <v>45583</v>
      </c>
      <c r="E356" t="s">
        <v>360</v>
      </c>
      <c r="F356" t="s">
        <v>627</v>
      </c>
      <c r="G356" t="s">
        <v>235</v>
      </c>
      <c r="H356" t="s">
        <v>48</v>
      </c>
      <c r="I356" t="s">
        <v>8</v>
      </c>
      <c r="J356" t="s">
        <v>204</v>
      </c>
      <c r="K356" t="s">
        <v>798</v>
      </c>
      <c r="L356" t="s">
        <v>793</v>
      </c>
      <c r="M356" t="s">
        <v>788</v>
      </c>
      <c r="N356">
        <v>10</v>
      </c>
      <c r="O356" s="3">
        <v>28.27</v>
      </c>
      <c r="P356" s="3">
        <v>40.99</v>
      </c>
      <c r="Q356" s="6">
        <v>0.15</v>
      </c>
      <c r="R356" s="3">
        <v>348.41500000000002</v>
      </c>
      <c r="S356" t="s">
        <v>1001</v>
      </c>
    </row>
    <row r="357" spans="1:19" x14ac:dyDescent="0.35">
      <c r="A357" t="s">
        <v>1655</v>
      </c>
      <c r="B357" t="s">
        <v>358</v>
      </c>
      <c r="C357" s="5">
        <v>45974</v>
      </c>
      <c r="D357" s="5">
        <v>45977</v>
      </c>
      <c r="E357" t="s">
        <v>287</v>
      </c>
      <c r="F357" t="s">
        <v>674</v>
      </c>
      <c r="G357" t="s">
        <v>243</v>
      </c>
      <c r="H357" t="s">
        <v>797</v>
      </c>
      <c r="I357" t="s">
        <v>29</v>
      </c>
      <c r="J357" t="s">
        <v>158</v>
      </c>
      <c r="K357" t="s">
        <v>786</v>
      </c>
      <c r="L357" t="s">
        <v>799</v>
      </c>
      <c r="M357" t="s">
        <v>818</v>
      </c>
      <c r="N357">
        <v>10</v>
      </c>
      <c r="O357" s="3">
        <v>25.8</v>
      </c>
      <c r="P357" s="3">
        <v>36.119999999999997</v>
      </c>
      <c r="Q357" s="6">
        <v>0</v>
      </c>
      <c r="R357" s="3">
        <v>361.2</v>
      </c>
      <c r="S357" t="s">
        <v>814</v>
      </c>
    </row>
    <row r="358" spans="1:19" x14ac:dyDescent="0.35">
      <c r="A358" t="s">
        <v>1658</v>
      </c>
      <c r="B358" t="s">
        <v>590</v>
      </c>
      <c r="C358" s="5">
        <v>45502</v>
      </c>
      <c r="E358" t="s">
        <v>591</v>
      </c>
      <c r="F358" t="s">
        <v>254</v>
      </c>
      <c r="G358" t="s">
        <v>235</v>
      </c>
      <c r="H358" t="s">
        <v>14</v>
      </c>
      <c r="I358" t="s">
        <v>29</v>
      </c>
      <c r="J358" t="s">
        <v>27</v>
      </c>
      <c r="K358" t="s">
        <v>786</v>
      </c>
      <c r="L358" t="s">
        <v>787</v>
      </c>
      <c r="M358" t="s">
        <v>818</v>
      </c>
      <c r="N358">
        <v>3</v>
      </c>
      <c r="O358" s="3">
        <v>33.06</v>
      </c>
      <c r="P358" s="3">
        <v>47.94</v>
      </c>
      <c r="Q358" s="6">
        <v>0.1</v>
      </c>
      <c r="R358" s="3">
        <v>129.43799999999999</v>
      </c>
      <c r="S358" t="s">
        <v>810</v>
      </c>
    </row>
    <row r="359" spans="1:19" x14ac:dyDescent="0.35">
      <c r="A359" t="s">
        <v>1660</v>
      </c>
      <c r="B359" t="s">
        <v>337</v>
      </c>
      <c r="C359" s="5">
        <v>45838</v>
      </c>
      <c r="E359" t="s">
        <v>338</v>
      </c>
      <c r="F359" t="s">
        <v>254</v>
      </c>
      <c r="G359" t="s">
        <v>243</v>
      </c>
      <c r="H359" t="s">
        <v>797</v>
      </c>
      <c r="I359" t="s">
        <v>8</v>
      </c>
      <c r="J359" t="s">
        <v>73</v>
      </c>
      <c r="K359" t="s">
        <v>798</v>
      </c>
      <c r="L359" t="s">
        <v>787</v>
      </c>
      <c r="M359" t="s">
        <v>818</v>
      </c>
      <c r="N359">
        <v>1</v>
      </c>
      <c r="O359" s="3">
        <v>67.95</v>
      </c>
      <c r="P359" s="3">
        <v>88.34</v>
      </c>
      <c r="Q359" s="6">
        <v>0</v>
      </c>
      <c r="R359" s="3">
        <v>88.34</v>
      </c>
      <c r="S359" t="s">
        <v>888</v>
      </c>
    </row>
    <row r="360" spans="1:19" x14ac:dyDescent="0.35">
      <c r="A360" t="s">
        <v>1661</v>
      </c>
      <c r="B360" t="s">
        <v>513</v>
      </c>
      <c r="C360" s="5">
        <v>45296</v>
      </c>
      <c r="D360" s="5">
        <v>45302</v>
      </c>
      <c r="E360" t="s">
        <v>514</v>
      </c>
      <c r="F360" t="s">
        <v>633</v>
      </c>
      <c r="G360" t="s">
        <v>264</v>
      </c>
      <c r="H360" t="s">
        <v>14</v>
      </c>
      <c r="I360" t="s">
        <v>8</v>
      </c>
      <c r="J360" t="s">
        <v>181</v>
      </c>
      <c r="K360" t="s">
        <v>798</v>
      </c>
      <c r="L360" t="s">
        <v>822</v>
      </c>
      <c r="M360" t="s">
        <v>788</v>
      </c>
      <c r="N360">
        <v>12</v>
      </c>
      <c r="O360" s="3">
        <v>20.49</v>
      </c>
      <c r="P360" s="3">
        <v>29.71</v>
      </c>
      <c r="Q360" s="6">
        <v>0.1</v>
      </c>
      <c r="R360" s="3">
        <v>320.86799999999999</v>
      </c>
      <c r="S360" t="s">
        <v>845</v>
      </c>
    </row>
    <row r="361" spans="1:19" x14ac:dyDescent="0.35">
      <c r="A361" t="s">
        <v>1663</v>
      </c>
      <c r="B361" t="s">
        <v>599</v>
      </c>
      <c r="C361" s="5">
        <v>45997</v>
      </c>
      <c r="D361" s="5">
        <v>46007</v>
      </c>
      <c r="E361" t="s">
        <v>600</v>
      </c>
      <c r="F361" t="s">
        <v>696</v>
      </c>
      <c r="G361" t="s">
        <v>243</v>
      </c>
      <c r="H361" t="s">
        <v>48</v>
      </c>
      <c r="I361" t="s">
        <v>79</v>
      </c>
      <c r="J361" t="s">
        <v>88</v>
      </c>
      <c r="K361" t="s">
        <v>813</v>
      </c>
      <c r="L361" t="s">
        <v>799</v>
      </c>
      <c r="M361" t="s">
        <v>800</v>
      </c>
      <c r="N361">
        <v>2</v>
      </c>
      <c r="O361" s="3">
        <v>11.82</v>
      </c>
      <c r="P361" s="3">
        <v>17.14</v>
      </c>
      <c r="Q361" s="6">
        <v>0</v>
      </c>
      <c r="R361" s="3">
        <v>34.28</v>
      </c>
      <c r="S361" t="s">
        <v>935</v>
      </c>
    </row>
    <row r="362" spans="1:19" x14ac:dyDescent="0.35">
      <c r="A362" t="s">
        <v>1664</v>
      </c>
      <c r="B362" t="s">
        <v>449</v>
      </c>
      <c r="C362" s="5">
        <v>45517</v>
      </c>
      <c r="E362" t="s">
        <v>450</v>
      </c>
      <c r="F362" t="s">
        <v>254</v>
      </c>
      <c r="G362" t="s">
        <v>235</v>
      </c>
      <c r="H362" t="s">
        <v>797</v>
      </c>
      <c r="I362" t="s">
        <v>38</v>
      </c>
      <c r="J362" t="s">
        <v>126</v>
      </c>
      <c r="K362" t="s">
        <v>798</v>
      </c>
      <c r="L362" t="s">
        <v>793</v>
      </c>
      <c r="M362" t="s">
        <v>788</v>
      </c>
      <c r="N362">
        <v>1</v>
      </c>
      <c r="O362" s="3">
        <v>41.95</v>
      </c>
      <c r="P362" s="3">
        <v>58.73</v>
      </c>
      <c r="Q362" s="6">
        <v>0</v>
      </c>
      <c r="R362" s="3">
        <v>58.73</v>
      </c>
      <c r="S362" t="s">
        <v>963</v>
      </c>
    </row>
    <row r="363" spans="1:19" x14ac:dyDescent="0.35">
      <c r="A363" t="s">
        <v>1666</v>
      </c>
      <c r="B363" t="s">
        <v>527</v>
      </c>
      <c r="C363" s="5">
        <v>45315</v>
      </c>
      <c r="E363" t="s">
        <v>282</v>
      </c>
      <c r="F363" t="s">
        <v>637</v>
      </c>
      <c r="G363" t="s">
        <v>235</v>
      </c>
      <c r="H363" t="s">
        <v>797</v>
      </c>
      <c r="I363" t="s">
        <v>20</v>
      </c>
      <c r="J363" t="s">
        <v>134</v>
      </c>
      <c r="K363" t="s">
        <v>798</v>
      </c>
      <c r="L363" t="s">
        <v>787</v>
      </c>
      <c r="M363" t="s">
        <v>818</v>
      </c>
      <c r="N363">
        <v>20</v>
      </c>
      <c r="O363" s="3">
        <v>38.36</v>
      </c>
      <c r="P363" s="3">
        <v>53.7</v>
      </c>
      <c r="Q363" s="6">
        <v>0</v>
      </c>
      <c r="R363" s="3">
        <v>1074</v>
      </c>
      <c r="S363" t="s">
        <v>819</v>
      </c>
    </row>
    <row r="364" spans="1:19" x14ac:dyDescent="0.35">
      <c r="A364" t="s">
        <v>1668</v>
      </c>
      <c r="B364" t="s">
        <v>554</v>
      </c>
      <c r="C364" s="5">
        <v>45617</v>
      </c>
      <c r="E364" t="s">
        <v>445</v>
      </c>
      <c r="F364" t="s">
        <v>627</v>
      </c>
      <c r="G364" t="s">
        <v>235</v>
      </c>
      <c r="H364" t="s">
        <v>48</v>
      </c>
      <c r="I364" t="s">
        <v>20</v>
      </c>
      <c r="J364" t="s">
        <v>159</v>
      </c>
      <c r="K364" t="s">
        <v>786</v>
      </c>
      <c r="L364" t="s">
        <v>793</v>
      </c>
      <c r="M364" t="s">
        <v>788</v>
      </c>
      <c r="N364">
        <v>20</v>
      </c>
      <c r="O364" s="3">
        <v>8.2200000000000006</v>
      </c>
      <c r="P364" s="3">
        <v>11.1</v>
      </c>
      <c r="Q364" s="6">
        <v>0.15</v>
      </c>
      <c r="R364" s="3">
        <v>188.7</v>
      </c>
      <c r="S364" t="s">
        <v>876</v>
      </c>
    </row>
    <row r="365" spans="1:19" x14ac:dyDescent="0.35">
      <c r="A365" t="s">
        <v>1671</v>
      </c>
      <c r="B365" t="s">
        <v>455</v>
      </c>
      <c r="C365" s="5">
        <v>45670</v>
      </c>
      <c r="E365" t="s">
        <v>456</v>
      </c>
      <c r="F365" t="s">
        <v>254</v>
      </c>
      <c r="G365" t="s">
        <v>264</v>
      </c>
      <c r="H365" t="s">
        <v>797</v>
      </c>
      <c r="I365" t="s">
        <v>43</v>
      </c>
      <c r="J365" t="s">
        <v>44</v>
      </c>
      <c r="K365" t="s">
        <v>798</v>
      </c>
      <c r="L365" t="s">
        <v>817</v>
      </c>
      <c r="M365" t="s">
        <v>842</v>
      </c>
      <c r="N365">
        <v>12</v>
      </c>
      <c r="O365" s="3">
        <v>14.05</v>
      </c>
      <c r="P365" s="3">
        <v>19.670000000000002</v>
      </c>
      <c r="Q365" s="6">
        <v>0</v>
      </c>
      <c r="R365" s="3">
        <v>236.04000000000002</v>
      </c>
      <c r="S365" t="s">
        <v>845</v>
      </c>
    </row>
    <row r="366" spans="1:19" x14ac:dyDescent="0.35">
      <c r="A366" t="s">
        <v>1673</v>
      </c>
      <c r="B366" t="s">
        <v>487</v>
      </c>
      <c r="C366" s="5">
        <v>46051</v>
      </c>
      <c r="D366" s="5">
        <v>46061</v>
      </c>
      <c r="E366" t="s">
        <v>488</v>
      </c>
      <c r="F366" t="s">
        <v>633</v>
      </c>
      <c r="G366" t="s">
        <v>243</v>
      </c>
      <c r="H366" t="s">
        <v>797</v>
      </c>
      <c r="I366" t="s">
        <v>20</v>
      </c>
      <c r="J366" t="s">
        <v>119</v>
      </c>
      <c r="K366" t="s">
        <v>798</v>
      </c>
      <c r="L366" t="s">
        <v>822</v>
      </c>
      <c r="M366" t="s">
        <v>818</v>
      </c>
      <c r="N366">
        <v>20</v>
      </c>
      <c r="O366" s="3">
        <v>40.94</v>
      </c>
      <c r="P366" s="3">
        <v>53.22</v>
      </c>
      <c r="Q366" s="6">
        <v>0</v>
      </c>
      <c r="R366" s="3">
        <v>1064.4000000000001</v>
      </c>
      <c r="S366" t="s">
        <v>803</v>
      </c>
    </row>
    <row r="367" spans="1:19" x14ac:dyDescent="0.35">
      <c r="A367" t="s">
        <v>1674</v>
      </c>
      <c r="B367" t="s">
        <v>379</v>
      </c>
      <c r="C367" s="5">
        <v>45380</v>
      </c>
      <c r="E367" t="s">
        <v>380</v>
      </c>
      <c r="F367" t="s">
        <v>633</v>
      </c>
      <c r="G367" t="s">
        <v>264</v>
      </c>
      <c r="H367" t="s">
        <v>14</v>
      </c>
      <c r="I367" t="s">
        <v>20</v>
      </c>
      <c r="J367" t="s">
        <v>34</v>
      </c>
      <c r="K367" t="s">
        <v>786</v>
      </c>
      <c r="L367" t="s">
        <v>817</v>
      </c>
      <c r="M367" t="s">
        <v>842</v>
      </c>
      <c r="N367">
        <v>5</v>
      </c>
      <c r="O367" s="3">
        <v>28.02</v>
      </c>
      <c r="P367" s="3">
        <v>36.43</v>
      </c>
      <c r="Q367" s="6">
        <v>0.1</v>
      </c>
      <c r="R367" s="3">
        <v>163.935</v>
      </c>
      <c r="S367" t="s">
        <v>935</v>
      </c>
    </row>
    <row r="368" spans="1:19" x14ac:dyDescent="0.35">
      <c r="A368" t="s">
        <v>1675</v>
      </c>
      <c r="B368" t="s">
        <v>471</v>
      </c>
      <c r="C368" s="5">
        <v>45382</v>
      </c>
      <c r="D368" s="5">
        <v>45389</v>
      </c>
      <c r="E368" t="s">
        <v>472</v>
      </c>
      <c r="F368" t="s">
        <v>681</v>
      </c>
      <c r="G368" t="s">
        <v>235</v>
      </c>
      <c r="H368" t="s">
        <v>48</v>
      </c>
      <c r="I368" t="s">
        <v>29</v>
      </c>
      <c r="J368" t="s">
        <v>49</v>
      </c>
      <c r="K368" t="s">
        <v>798</v>
      </c>
      <c r="L368" t="s">
        <v>799</v>
      </c>
      <c r="M368" t="s">
        <v>788</v>
      </c>
      <c r="N368">
        <v>5</v>
      </c>
      <c r="O368" s="3">
        <v>14.89</v>
      </c>
      <c r="P368" s="3">
        <v>20.85</v>
      </c>
      <c r="Q368" s="6">
        <v>0</v>
      </c>
      <c r="R368" s="3">
        <v>104.25</v>
      </c>
      <c r="S368" t="s">
        <v>810</v>
      </c>
    </row>
    <row r="369" spans="1:19" x14ac:dyDescent="0.35">
      <c r="A369" t="s">
        <v>1676</v>
      </c>
      <c r="B369" t="s">
        <v>506</v>
      </c>
      <c r="C369" s="5">
        <v>45588</v>
      </c>
      <c r="D369" s="5">
        <v>45592</v>
      </c>
      <c r="E369" t="s">
        <v>287</v>
      </c>
      <c r="F369" t="s">
        <v>254</v>
      </c>
      <c r="G369" t="s">
        <v>243</v>
      </c>
      <c r="H369" t="s">
        <v>20</v>
      </c>
      <c r="I369" t="s">
        <v>29</v>
      </c>
      <c r="J369" t="s">
        <v>32</v>
      </c>
      <c r="K369" t="s">
        <v>798</v>
      </c>
      <c r="L369" t="s">
        <v>799</v>
      </c>
      <c r="M369" t="s">
        <v>818</v>
      </c>
      <c r="N369">
        <v>20</v>
      </c>
      <c r="O369" s="3">
        <v>18.989999999999998</v>
      </c>
      <c r="P369" s="3">
        <v>25.64</v>
      </c>
      <c r="Q369" s="6">
        <v>0.1</v>
      </c>
      <c r="R369" s="3">
        <v>461.52</v>
      </c>
      <c r="S369" t="s">
        <v>845</v>
      </c>
    </row>
    <row r="370" spans="1:19" x14ac:dyDescent="0.35">
      <c r="A370" t="s">
        <v>1678</v>
      </c>
      <c r="B370" t="s">
        <v>354</v>
      </c>
      <c r="C370" s="5">
        <v>45319</v>
      </c>
      <c r="D370" s="5">
        <v>45324</v>
      </c>
      <c r="E370" t="s">
        <v>321</v>
      </c>
      <c r="F370" t="s">
        <v>633</v>
      </c>
      <c r="G370" t="s">
        <v>243</v>
      </c>
      <c r="H370" t="s">
        <v>797</v>
      </c>
      <c r="I370" t="s">
        <v>48</v>
      </c>
      <c r="J370" t="s">
        <v>177</v>
      </c>
      <c r="K370" t="s">
        <v>798</v>
      </c>
      <c r="L370" t="s">
        <v>799</v>
      </c>
      <c r="M370" t="s">
        <v>842</v>
      </c>
      <c r="N370">
        <v>3</v>
      </c>
      <c r="O370" s="3">
        <v>41.79</v>
      </c>
      <c r="P370" s="3">
        <v>60.6</v>
      </c>
      <c r="Q370" s="6">
        <v>0.15</v>
      </c>
      <c r="R370" s="3">
        <v>154.53</v>
      </c>
      <c r="S370" t="s">
        <v>825</v>
      </c>
    </row>
    <row r="371" spans="1:19" x14ac:dyDescent="0.35">
      <c r="A371" t="s">
        <v>1680</v>
      </c>
      <c r="B371" t="s">
        <v>506</v>
      </c>
      <c r="C371" s="5">
        <v>45719</v>
      </c>
      <c r="D371" s="5">
        <v>45725</v>
      </c>
      <c r="E371" t="s">
        <v>287</v>
      </c>
      <c r="F371" t="s">
        <v>681</v>
      </c>
      <c r="G371" t="s">
        <v>243</v>
      </c>
      <c r="H371" t="s">
        <v>14</v>
      </c>
      <c r="I371" t="s">
        <v>14</v>
      </c>
      <c r="J371" t="s">
        <v>152</v>
      </c>
      <c r="K371" t="s">
        <v>813</v>
      </c>
      <c r="L371" t="s">
        <v>799</v>
      </c>
      <c r="M371" t="s">
        <v>818</v>
      </c>
      <c r="N371">
        <v>10</v>
      </c>
      <c r="O371" s="3">
        <v>38.549999999999997</v>
      </c>
      <c r="P371" s="3">
        <v>53.97</v>
      </c>
      <c r="Q371" s="6">
        <v>0</v>
      </c>
      <c r="R371" s="3">
        <v>539.70000000000005</v>
      </c>
      <c r="S371" t="s">
        <v>946</v>
      </c>
    </row>
    <row r="372" spans="1:19" x14ac:dyDescent="0.35">
      <c r="A372" t="s">
        <v>1681</v>
      </c>
      <c r="B372" t="s">
        <v>538</v>
      </c>
      <c r="C372" s="5">
        <v>45887</v>
      </c>
      <c r="D372" s="5">
        <v>45897</v>
      </c>
      <c r="E372" t="s">
        <v>539</v>
      </c>
      <c r="F372" t="s">
        <v>696</v>
      </c>
      <c r="G372" t="s">
        <v>264</v>
      </c>
      <c r="H372" t="s">
        <v>20</v>
      </c>
      <c r="I372" t="s">
        <v>38</v>
      </c>
      <c r="J372" t="s">
        <v>80</v>
      </c>
      <c r="K372" t="s">
        <v>798</v>
      </c>
      <c r="L372" t="s">
        <v>799</v>
      </c>
      <c r="M372" t="s">
        <v>842</v>
      </c>
      <c r="N372">
        <v>3</v>
      </c>
      <c r="O372" s="3">
        <v>38.57</v>
      </c>
      <c r="P372" s="3">
        <v>48.21</v>
      </c>
      <c r="Q372" s="6">
        <v>0</v>
      </c>
      <c r="R372" s="3">
        <v>144.63</v>
      </c>
      <c r="S372" t="s">
        <v>892</v>
      </c>
    </row>
    <row r="373" spans="1:19" x14ac:dyDescent="0.35">
      <c r="A373" t="s">
        <v>1684</v>
      </c>
      <c r="B373" t="s">
        <v>358</v>
      </c>
      <c r="C373" s="5">
        <v>45309</v>
      </c>
      <c r="D373" s="5">
        <v>45310</v>
      </c>
      <c r="E373" t="s">
        <v>287</v>
      </c>
      <c r="F373" t="s">
        <v>627</v>
      </c>
      <c r="G373" t="s">
        <v>243</v>
      </c>
      <c r="H373" t="s">
        <v>797</v>
      </c>
      <c r="I373" t="s">
        <v>8</v>
      </c>
      <c r="J373" t="s">
        <v>101</v>
      </c>
      <c r="K373" t="s">
        <v>798</v>
      </c>
      <c r="L373" t="s">
        <v>799</v>
      </c>
      <c r="M373" t="s">
        <v>788</v>
      </c>
      <c r="N373">
        <v>10</v>
      </c>
      <c r="O373" s="3">
        <v>16.510000000000002</v>
      </c>
      <c r="P373" s="3">
        <v>23.94</v>
      </c>
      <c r="Q373" s="6">
        <v>0</v>
      </c>
      <c r="R373" s="3">
        <v>239.4</v>
      </c>
      <c r="S373" t="s">
        <v>810</v>
      </c>
    </row>
    <row r="374" spans="1:19" x14ac:dyDescent="0.35">
      <c r="A374" t="s">
        <v>1686</v>
      </c>
      <c r="B374" t="s">
        <v>475</v>
      </c>
      <c r="C374" s="5">
        <v>45571</v>
      </c>
      <c r="E374" t="s">
        <v>476</v>
      </c>
      <c r="F374" t="s">
        <v>681</v>
      </c>
      <c r="G374" t="s">
        <v>243</v>
      </c>
      <c r="H374" t="s">
        <v>48</v>
      </c>
      <c r="I374" t="s">
        <v>14</v>
      </c>
      <c r="J374" t="s">
        <v>67</v>
      </c>
      <c r="K374" t="s">
        <v>798</v>
      </c>
      <c r="L374" t="s">
        <v>793</v>
      </c>
      <c r="M374" t="s">
        <v>842</v>
      </c>
      <c r="N374">
        <v>12</v>
      </c>
      <c r="O374" s="3">
        <v>17.63</v>
      </c>
      <c r="P374" s="3">
        <v>22.92</v>
      </c>
      <c r="Q374" s="6">
        <v>0.1</v>
      </c>
      <c r="R374" s="3">
        <v>247.536</v>
      </c>
      <c r="S374" t="s">
        <v>963</v>
      </c>
    </row>
    <row r="375" spans="1:19" x14ac:dyDescent="0.35">
      <c r="A375" t="s">
        <v>1687</v>
      </c>
      <c r="B375" t="s">
        <v>611</v>
      </c>
      <c r="C375" s="5">
        <v>45935</v>
      </c>
      <c r="E375" t="s">
        <v>287</v>
      </c>
      <c r="F375" t="s">
        <v>254</v>
      </c>
      <c r="G375" t="s">
        <v>235</v>
      </c>
      <c r="H375" t="s">
        <v>14</v>
      </c>
      <c r="I375" t="s">
        <v>43</v>
      </c>
      <c r="J375" t="s">
        <v>44</v>
      </c>
      <c r="K375" t="s">
        <v>813</v>
      </c>
      <c r="L375" t="s">
        <v>793</v>
      </c>
      <c r="M375" t="s">
        <v>800</v>
      </c>
      <c r="N375">
        <v>10</v>
      </c>
      <c r="O375" s="3">
        <v>14.05</v>
      </c>
      <c r="P375" s="3">
        <v>19.670000000000002</v>
      </c>
      <c r="Q375" s="6">
        <v>0.15</v>
      </c>
      <c r="R375" s="3">
        <v>167.19500000000002</v>
      </c>
      <c r="S375" t="s">
        <v>859</v>
      </c>
    </row>
    <row r="376" spans="1:19" x14ac:dyDescent="0.35">
      <c r="A376" t="s">
        <v>1688</v>
      </c>
      <c r="B376" t="s">
        <v>320</v>
      </c>
      <c r="C376" s="5">
        <v>45569</v>
      </c>
      <c r="E376" t="s">
        <v>321</v>
      </c>
      <c r="F376" t="s">
        <v>627</v>
      </c>
      <c r="G376" t="s">
        <v>235</v>
      </c>
      <c r="H376" t="s">
        <v>14</v>
      </c>
      <c r="I376" t="s">
        <v>29</v>
      </c>
      <c r="J376" t="s">
        <v>106</v>
      </c>
      <c r="K376" t="s">
        <v>786</v>
      </c>
      <c r="L376" t="s">
        <v>787</v>
      </c>
      <c r="M376" t="s">
        <v>800</v>
      </c>
      <c r="N376">
        <v>5</v>
      </c>
      <c r="O376" s="3">
        <v>29.64</v>
      </c>
      <c r="P376" s="3">
        <v>41.5</v>
      </c>
      <c r="Q376" s="6">
        <v>0</v>
      </c>
      <c r="R376" s="3">
        <v>207.5</v>
      </c>
      <c r="S376" t="s">
        <v>819</v>
      </c>
    </row>
    <row r="377" spans="1:19" x14ac:dyDescent="0.35">
      <c r="A377" t="s">
        <v>1690</v>
      </c>
      <c r="B377" t="s">
        <v>358</v>
      </c>
      <c r="C377" s="5">
        <v>45713</v>
      </c>
      <c r="D377" s="5">
        <v>45715</v>
      </c>
      <c r="E377" t="s">
        <v>287</v>
      </c>
      <c r="F377" t="s">
        <v>254</v>
      </c>
      <c r="G377" t="s">
        <v>243</v>
      </c>
      <c r="H377" t="s">
        <v>797</v>
      </c>
      <c r="I377" t="s">
        <v>38</v>
      </c>
      <c r="J377" t="s">
        <v>156</v>
      </c>
      <c r="K377" t="s">
        <v>798</v>
      </c>
      <c r="L377" t="s">
        <v>799</v>
      </c>
      <c r="M377" t="s">
        <v>842</v>
      </c>
      <c r="N377">
        <v>12</v>
      </c>
      <c r="O377" s="3">
        <v>20.81</v>
      </c>
      <c r="P377" s="3">
        <v>29.13</v>
      </c>
      <c r="Q377" s="6">
        <v>0.05</v>
      </c>
      <c r="R377" s="3">
        <v>332.08199999999999</v>
      </c>
      <c r="S377" t="s">
        <v>845</v>
      </c>
    </row>
    <row r="378" spans="1:19" x14ac:dyDescent="0.35">
      <c r="A378" t="s">
        <v>1691</v>
      </c>
      <c r="B378" t="s">
        <v>252</v>
      </c>
      <c r="C378" s="5">
        <v>45411</v>
      </c>
      <c r="E378" t="s">
        <v>253</v>
      </c>
      <c r="F378" t="s">
        <v>696</v>
      </c>
      <c r="G378" t="s">
        <v>243</v>
      </c>
      <c r="H378" t="s">
        <v>797</v>
      </c>
      <c r="I378" t="s">
        <v>14</v>
      </c>
      <c r="J378" t="s">
        <v>63</v>
      </c>
      <c r="K378" t="s">
        <v>798</v>
      </c>
      <c r="L378" t="s">
        <v>787</v>
      </c>
      <c r="M378" t="s">
        <v>818</v>
      </c>
      <c r="N378">
        <v>5</v>
      </c>
      <c r="O378" s="3">
        <v>13.03</v>
      </c>
      <c r="P378" s="3">
        <v>16.29</v>
      </c>
      <c r="Q378" s="6">
        <v>0.1</v>
      </c>
      <c r="R378" s="3">
        <v>73.304999999999993</v>
      </c>
      <c r="S378" t="s">
        <v>892</v>
      </c>
    </row>
    <row r="379" spans="1:19" x14ac:dyDescent="0.35">
      <c r="A379" t="s">
        <v>1694</v>
      </c>
      <c r="B379" t="s">
        <v>590</v>
      </c>
      <c r="C379" s="5">
        <v>45642</v>
      </c>
      <c r="E379" t="s">
        <v>591</v>
      </c>
      <c r="F379" t="s">
        <v>633</v>
      </c>
      <c r="G379" t="s">
        <v>235</v>
      </c>
      <c r="H379" t="s">
        <v>797</v>
      </c>
      <c r="I379" t="s">
        <v>20</v>
      </c>
      <c r="J379" t="s">
        <v>197</v>
      </c>
      <c r="K379" t="s">
        <v>786</v>
      </c>
      <c r="L379" t="s">
        <v>793</v>
      </c>
      <c r="M379" t="s">
        <v>788</v>
      </c>
      <c r="N379">
        <v>1</v>
      </c>
      <c r="O379" s="3">
        <v>22.45</v>
      </c>
      <c r="P379" s="3">
        <v>29.18</v>
      </c>
      <c r="Q379" s="6">
        <v>0.15</v>
      </c>
      <c r="R379" s="3">
        <v>24.803000000000001</v>
      </c>
      <c r="S379" t="s">
        <v>794</v>
      </c>
    </row>
    <row r="380" spans="1:19" x14ac:dyDescent="0.35">
      <c r="A380" t="s">
        <v>1695</v>
      </c>
      <c r="B380" t="s">
        <v>379</v>
      </c>
      <c r="C380" s="5">
        <v>45606</v>
      </c>
      <c r="D380" s="5">
        <v>45614</v>
      </c>
      <c r="E380" t="s">
        <v>380</v>
      </c>
      <c r="F380" t="s">
        <v>674</v>
      </c>
      <c r="G380" t="s">
        <v>264</v>
      </c>
      <c r="H380" t="s">
        <v>48</v>
      </c>
      <c r="I380" t="s">
        <v>48</v>
      </c>
      <c r="J380" t="s">
        <v>148</v>
      </c>
      <c r="K380" t="s">
        <v>798</v>
      </c>
      <c r="L380" t="s">
        <v>799</v>
      </c>
      <c r="M380" t="s">
        <v>842</v>
      </c>
      <c r="N380">
        <v>10</v>
      </c>
      <c r="O380" s="3">
        <v>58.01</v>
      </c>
      <c r="P380" s="3">
        <v>72.510000000000005</v>
      </c>
      <c r="Q380" s="6">
        <v>0</v>
      </c>
      <c r="R380" s="3">
        <v>725.1</v>
      </c>
      <c r="S380" t="s">
        <v>839</v>
      </c>
    </row>
    <row r="381" spans="1:19" x14ac:dyDescent="0.35">
      <c r="A381" t="s">
        <v>1697</v>
      </c>
      <c r="B381" t="s">
        <v>374</v>
      </c>
      <c r="C381" s="5">
        <v>45733</v>
      </c>
      <c r="D381" s="5">
        <v>45734</v>
      </c>
      <c r="E381" t="s">
        <v>375</v>
      </c>
      <c r="F381" t="s">
        <v>254</v>
      </c>
      <c r="G381" t="s">
        <v>264</v>
      </c>
      <c r="H381" t="s">
        <v>797</v>
      </c>
      <c r="I381" t="s">
        <v>43</v>
      </c>
      <c r="J381" t="s">
        <v>146</v>
      </c>
      <c r="K381" t="s">
        <v>798</v>
      </c>
      <c r="L381" t="s">
        <v>799</v>
      </c>
      <c r="M381" t="s">
        <v>818</v>
      </c>
      <c r="N381">
        <v>3</v>
      </c>
      <c r="O381" s="3">
        <v>24.05</v>
      </c>
      <c r="P381" s="3">
        <v>31.27</v>
      </c>
      <c r="Q381" s="6">
        <v>0</v>
      </c>
      <c r="R381" s="3">
        <v>93.81</v>
      </c>
      <c r="S381" t="s">
        <v>1017</v>
      </c>
    </row>
    <row r="382" spans="1:19" x14ac:dyDescent="0.35">
      <c r="A382" t="s">
        <v>1698</v>
      </c>
      <c r="B382" t="s">
        <v>575</v>
      </c>
      <c r="C382" s="5">
        <v>45359</v>
      </c>
      <c r="D382" s="5">
        <v>45362</v>
      </c>
      <c r="E382" t="s">
        <v>439</v>
      </c>
      <c r="F382" t="s">
        <v>254</v>
      </c>
      <c r="G382" t="s">
        <v>264</v>
      </c>
      <c r="H382" t="s">
        <v>20</v>
      </c>
      <c r="I382" t="s">
        <v>38</v>
      </c>
      <c r="J382" t="s">
        <v>109</v>
      </c>
      <c r="K382" t="s">
        <v>786</v>
      </c>
      <c r="L382" t="s">
        <v>822</v>
      </c>
      <c r="M382" t="s">
        <v>788</v>
      </c>
      <c r="N382">
        <v>2</v>
      </c>
      <c r="O382" s="3">
        <v>29.32</v>
      </c>
      <c r="P382" s="3">
        <v>36.65</v>
      </c>
      <c r="Q382" s="6">
        <v>0.1</v>
      </c>
      <c r="R382" s="3">
        <v>65.97</v>
      </c>
      <c r="S382" t="s">
        <v>963</v>
      </c>
    </row>
    <row r="383" spans="1:19" x14ac:dyDescent="0.35">
      <c r="A383" t="s">
        <v>1701</v>
      </c>
      <c r="B383" t="s">
        <v>266</v>
      </c>
      <c r="C383" s="5">
        <v>45978</v>
      </c>
      <c r="E383" t="s">
        <v>267</v>
      </c>
      <c r="F383" t="s">
        <v>254</v>
      </c>
      <c r="G383" t="s">
        <v>243</v>
      </c>
      <c r="H383" t="s">
        <v>797</v>
      </c>
      <c r="I383" t="s">
        <v>43</v>
      </c>
      <c r="J383" t="s">
        <v>171</v>
      </c>
      <c r="K383" t="s">
        <v>798</v>
      </c>
      <c r="L383" t="s">
        <v>793</v>
      </c>
      <c r="M383" t="s">
        <v>800</v>
      </c>
      <c r="N383">
        <v>3</v>
      </c>
      <c r="O383" s="3">
        <v>29.39</v>
      </c>
      <c r="P383" s="3">
        <v>39.68</v>
      </c>
      <c r="Q383" s="6">
        <v>0</v>
      </c>
      <c r="R383" s="3">
        <v>119.03999999999999</v>
      </c>
      <c r="S383" t="s">
        <v>810</v>
      </c>
    </row>
    <row r="384" spans="1:19" x14ac:dyDescent="0.35">
      <c r="A384" t="s">
        <v>1702</v>
      </c>
      <c r="B384" t="s">
        <v>397</v>
      </c>
      <c r="C384" s="5">
        <v>45804</v>
      </c>
      <c r="D384" s="5">
        <v>45808</v>
      </c>
      <c r="E384" t="s">
        <v>360</v>
      </c>
      <c r="F384" t="s">
        <v>627</v>
      </c>
      <c r="H384" t="s">
        <v>14</v>
      </c>
      <c r="I384" t="s">
        <v>14</v>
      </c>
      <c r="J384" t="s">
        <v>152</v>
      </c>
      <c r="K384" t="s">
        <v>813</v>
      </c>
      <c r="L384" t="s">
        <v>799</v>
      </c>
      <c r="M384" t="s">
        <v>842</v>
      </c>
      <c r="N384">
        <v>2</v>
      </c>
      <c r="O384" s="3">
        <v>38.549999999999997</v>
      </c>
      <c r="P384" s="3">
        <v>53.97</v>
      </c>
      <c r="Q384" s="6">
        <v>0.1</v>
      </c>
      <c r="R384" s="3">
        <v>97.146000000000001</v>
      </c>
      <c r="S384" t="s">
        <v>963</v>
      </c>
    </row>
    <row r="385" spans="1:19" x14ac:dyDescent="0.35">
      <c r="A385" t="s">
        <v>1703</v>
      </c>
      <c r="B385" t="s">
        <v>607</v>
      </c>
      <c r="C385" s="5">
        <v>45580</v>
      </c>
      <c r="D385" s="5">
        <v>45590</v>
      </c>
      <c r="E385" t="s">
        <v>608</v>
      </c>
      <c r="F385" t="s">
        <v>627</v>
      </c>
      <c r="G385" t="s">
        <v>264</v>
      </c>
      <c r="H385" t="s">
        <v>797</v>
      </c>
      <c r="I385" t="s">
        <v>48</v>
      </c>
      <c r="J385" t="s">
        <v>143</v>
      </c>
      <c r="K385" t="s">
        <v>798</v>
      </c>
      <c r="L385" t="s">
        <v>822</v>
      </c>
      <c r="M385" t="s">
        <v>818</v>
      </c>
      <c r="N385">
        <v>20</v>
      </c>
      <c r="O385" s="3">
        <v>29.93</v>
      </c>
      <c r="P385" s="3">
        <v>38.909999999999997</v>
      </c>
      <c r="Q385" s="6">
        <v>0</v>
      </c>
      <c r="R385" s="3">
        <v>778.19999999999993</v>
      </c>
      <c r="S385" t="s">
        <v>1001</v>
      </c>
    </row>
    <row r="386" spans="1:19" x14ac:dyDescent="0.35">
      <c r="A386" t="s">
        <v>1705</v>
      </c>
      <c r="B386" t="s">
        <v>578</v>
      </c>
      <c r="C386" s="5">
        <v>45481</v>
      </c>
      <c r="E386" t="s">
        <v>368</v>
      </c>
      <c r="F386" t="s">
        <v>254</v>
      </c>
      <c r="G386" t="s">
        <v>235</v>
      </c>
      <c r="H386" t="s">
        <v>797</v>
      </c>
      <c r="I386" t="s">
        <v>79</v>
      </c>
      <c r="J386" t="s">
        <v>166</v>
      </c>
      <c r="K386" t="s">
        <v>798</v>
      </c>
      <c r="L386" t="s">
        <v>793</v>
      </c>
      <c r="M386" t="s">
        <v>788</v>
      </c>
      <c r="N386">
        <v>2</v>
      </c>
      <c r="O386" s="3">
        <v>15.73</v>
      </c>
      <c r="P386" s="3">
        <v>19.66</v>
      </c>
      <c r="Q386" s="6">
        <v>0.1</v>
      </c>
      <c r="R386" s="3">
        <v>35.387999999999998</v>
      </c>
      <c r="S386" t="s">
        <v>794</v>
      </c>
    </row>
    <row r="387" spans="1:19" x14ac:dyDescent="0.35">
      <c r="A387" t="s">
        <v>1706</v>
      </c>
      <c r="B387" t="s">
        <v>609</v>
      </c>
      <c r="C387" s="5">
        <v>45709</v>
      </c>
      <c r="E387" t="s">
        <v>610</v>
      </c>
      <c r="F387" t="s">
        <v>633</v>
      </c>
      <c r="H387" t="s">
        <v>797</v>
      </c>
      <c r="I387" t="s">
        <v>29</v>
      </c>
      <c r="J387" t="s">
        <v>115</v>
      </c>
      <c r="K387" t="s">
        <v>813</v>
      </c>
      <c r="L387" t="s">
        <v>787</v>
      </c>
      <c r="M387" t="s">
        <v>800</v>
      </c>
      <c r="N387">
        <v>10</v>
      </c>
      <c r="O387" s="3">
        <v>34.340000000000003</v>
      </c>
      <c r="P387" s="3">
        <v>44.64</v>
      </c>
      <c r="Q387" s="6">
        <v>0.15</v>
      </c>
      <c r="R387" s="3">
        <v>379.44</v>
      </c>
      <c r="S387" t="s">
        <v>859</v>
      </c>
    </row>
    <row r="388" spans="1:19" x14ac:dyDescent="0.35">
      <c r="A388" t="s">
        <v>1708</v>
      </c>
      <c r="B388" t="s">
        <v>312</v>
      </c>
      <c r="C388" s="5">
        <v>45862</v>
      </c>
      <c r="D388" s="5">
        <v>45866</v>
      </c>
      <c r="E388" t="s">
        <v>313</v>
      </c>
      <c r="F388" t="s">
        <v>633</v>
      </c>
      <c r="G388" t="s">
        <v>235</v>
      </c>
      <c r="H388" t="s">
        <v>14</v>
      </c>
      <c r="I388" t="s">
        <v>14</v>
      </c>
      <c r="J388" t="s">
        <v>90</v>
      </c>
      <c r="K388" t="s">
        <v>798</v>
      </c>
      <c r="L388" t="s">
        <v>799</v>
      </c>
      <c r="M388" t="s">
        <v>800</v>
      </c>
      <c r="N388">
        <v>10</v>
      </c>
      <c r="O388" s="3">
        <v>27.34</v>
      </c>
      <c r="P388" s="3">
        <v>39.64</v>
      </c>
      <c r="Q388" s="6">
        <v>0.15</v>
      </c>
      <c r="R388" s="3">
        <v>336.94</v>
      </c>
      <c r="S388" t="s">
        <v>845</v>
      </c>
    </row>
    <row r="389" spans="1:19" x14ac:dyDescent="0.35">
      <c r="A389" t="s">
        <v>1709</v>
      </c>
      <c r="B389" t="s">
        <v>419</v>
      </c>
      <c r="C389" s="5">
        <v>45859</v>
      </c>
      <c r="D389" s="5">
        <v>45862</v>
      </c>
      <c r="E389" t="s">
        <v>420</v>
      </c>
      <c r="F389" t="s">
        <v>637</v>
      </c>
      <c r="G389" t="s">
        <v>243</v>
      </c>
      <c r="H389" t="s">
        <v>797</v>
      </c>
      <c r="I389" t="s">
        <v>14</v>
      </c>
      <c r="J389" t="s">
        <v>12</v>
      </c>
      <c r="K389" t="s">
        <v>786</v>
      </c>
      <c r="L389" t="s">
        <v>822</v>
      </c>
      <c r="M389" t="s">
        <v>818</v>
      </c>
      <c r="N389">
        <v>2</v>
      </c>
      <c r="O389" s="3">
        <v>35.03</v>
      </c>
      <c r="P389" s="3">
        <v>50.79</v>
      </c>
      <c r="Q389" s="6">
        <v>0.15</v>
      </c>
      <c r="R389" s="3">
        <v>86.343000000000004</v>
      </c>
      <c r="S389" t="s">
        <v>814</v>
      </c>
    </row>
    <row r="390" spans="1:19" x14ac:dyDescent="0.35">
      <c r="A390" t="s">
        <v>1710</v>
      </c>
      <c r="B390" t="s">
        <v>578</v>
      </c>
      <c r="C390" s="5">
        <v>45305</v>
      </c>
      <c r="D390" s="5">
        <v>45312</v>
      </c>
      <c r="E390" t="s">
        <v>368</v>
      </c>
      <c r="F390" t="s">
        <v>254</v>
      </c>
      <c r="G390" t="s">
        <v>235</v>
      </c>
      <c r="H390" t="s">
        <v>797</v>
      </c>
      <c r="I390" t="s">
        <v>43</v>
      </c>
      <c r="J390" t="s">
        <v>200</v>
      </c>
      <c r="K390" t="s">
        <v>798</v>
      </c>
      <c r="L390" t="s">
        <v>799</v>
      </c>
      <c r="M390" t="s">
        <v>842</v>
      </c>
      <c r="N390">
        <v>20</v>
      </c>
      <c r="O390" s="3">
        <v>69.23</v>
      </c>
      <c r="P390" s="3">
        <v>86.54</v>
      </c>
      <c r="Q390" s="6">
        <v>0</v>
      </c>
      <c r="R390" s="3">
        <v>1730.8000000000002</v>
      </c>
      <c r="S390" t="s">
        <v>935</v>
      </c>
    </row>
    <row r="391" spans="1:19" x14ac:dyDescent="0.35">
      <c r="A391" t="s">
        <v>1711</v>
      </c>
      <c r="B391" t="s">
        <v>324</v>
      </c>
      <c r="C391" s="5">
        <v>46003</v>
      </c>
      <c r="E391" t="s">
        <v>296</v>
      </c>
      <c r="F391" t="s">
        <v>681</v>
      </c>
      <c r="G391" t="s">
        <v>264</v>
      </c>
      <c r="H391" t="s">
        <v>48</v>
      </c>
      <c r="I391" t="s">
        <v>14</v>
      </c>
      <c r="J391" t="s">
        <v>30</v>
      </c>
      <c r="K391" t="s">
        <v>786</v>
      </c>
      <c r="L391" t="s">
        <v>787</v>
      </c>
      <c r="M391" t="s">
        <v>788</v>
      </c>
      <c r="N391">
        <v>5</v>
      </c>
      <c r="O391" s="3">
        <v>19.010000000000002</v>
      </c>
      <c r="P391" s="3">
        <v>27.56</v>
      </c>
      <c r="Q391" s="6">
        <v>0</v>
      </c>
      <c r="R391" s="3">
        <v>137.79999999999998</v>
      </c>
      <c r="S391" t="s">
        <v>963</v>
      </c>
    </row>
    <row r="392" spans="1:19" x14ac:dyDescent="0.35">
      <c r="A392" t="s">
        <v>1713</v>
      </c>
      <c r="B392" t="s">
        <v>337</v>
      </c>
      <c r="C392" s="5">
        <v>45901</v>
      </c>
      <c r="E392" t="s">
        <v>338</v>
      </c>
      <c r="F392" t="s">
        <v>674</v>
      </c>
      <c r="G392" t="s">
        <v>243</v>
      </c>
      <c r="H392" t="s">
        <v>20</v>
      </c>
      <c r="I392" t="s">
        <v>48</v>
      </c>
      <c r="J392" t="s">
        <v>219</v>
      </c>
      <c r="K392" t="s">
        <v>798</v>
      </c>
      <c r="L392" t="s">
        <v>793</v>
      </c>
      <c r="M392" t="s">
        <v>800</v>
      </c>
      <c r="N392">
        <v>2</v>
      </c>
      <c r="O392" s="3">
        <v>12.9</v>
      </c>
      <c r="P392" s="3">
        <v>18.7</v>
      </c>
      <c r="Q392" s="6">
        <v>0.15</v>
      </c>
      <c r="R392" s="3">
        <v>31.79</v>
      </c>
      <c r="S392" t="s">
        <v>935</v>
      </c>
    </row>
    <row r="393" spans="1:19" x14ac:dyDescent="0.35">
      <c r="A393" t="s">
        <v>1714</v>
      </c>
      <c r="B393" t="s">
        <v>575</v>
      </c>
      <c r="C393" s="5">
        <v>45656</v>
      </c>
      <c r="D393" s="5">
        <v>45658</v>
      </c>
      <c r="E393" t="s">
        <v>439</v>
      </c>
      <c r="F393" t="s">
        <v>627</v>
      </c>
      <c r="G393" t="s">
        <v>264</v>
      </c>
      <c r="H393" t="s">
        <v>48</v>
      </c>
      <c r="I393" t="s">
        <v>14</v>
      </c>
      <c r="J393" t="s">
        <v>63</v>
      </c>
      <c r="K393" t="s">
        <v>786</v>
      </c>
      <c r="L393" t="s">
        <v>799</v>
      </c>
      <c r="M393" t="s">
        <v>788</v>
      </c>
      <c r="N393">
        <v>2</v>
      </c>
      <c r="O393" s="3">
        <v>13.03</v>
      </c>
      <c r="P393" s="3">
        <v>16.29</v>
      </c>
      <c r="Q393" s="6">
        <v>0.05</v>
      </c>
      <c r="R393" s="3">
        <v>30.950999999999997</v>
      </c>
      <c r="S393" t="s">
        <v>919</v>
      </c>
    </row>
    <row r="394" spans="1:19" x14ac:dyDescent="0.35">
      <c r="A394" t="s">
        <v>1715</v>
      </c>
      <c r="B394" t="s">
        <v>509</v>
      </c>
      <c r="C394" s="5">
        <v>45548</v>
      </c>
      <c r="E394" t="s">
        <v>510</v>
      </c>
      <c r="F394" t="s">
        <v>674</v>
      </c>
      <c r="G394" t="s">
        <v>235</v>
      </c>
      <c r="H394" t="s">
        <v>14</v>
      </c>
      <c r="I394" t="s">
        <v>48</v>
      </c>
      <c r="J394" t="s">
        <v>143</v>
      </c>
      <c r="K394" t="s">
        <v>813</v>
      </c>
      <c r="L394" t="s">
        <v>787</v>
      </c>
      <c r="M394" t="s">
        <v>842</v>
      </c>
      <c r="N394">
        <v>5</v>
      </c>
      <c r="O394" s="3">
        <v>29.93</v>
      </c>
      <c r="P394" s="3">
        <v>38.909999999999997</v>
      </c>
      <c r="Q394" s="6">
        <v>0</v>
      </c>
      <c r="R394" s="3">
        <v>194.54999999999998</v>
      </c>
      <c r="S394" t="s">
        <v>819</v>
      </c>
    </row>
    <row r="395" spans="1:19" x14ac:dyDescent="0.35">
      <c r="A395" t="s">
        <v>1716</v>
      </c>
      <c r="B395" t="s">
        <v>366</v>
      </c>
      <c r="C395" s="5">
        <v>45986</v>
      </c>
      <c r="E395" t="s">
        <v>245</v>
      </c>
      <c r="F395" t="s">
        <v>696</v>
      </c>
      <c r="G395" t="s">
        <v>243</v>
      </c>
      <c r="H395" t="s">
        <v>14</v>
      </c>
      <c r="I395" t="s">
        <v>29</v>
      </c>
      <c r="J395" t="s">
        <v>32</v>
      </c>
      <c r="K395" t="s">
        <v>798</v>
      </c>
      <c r="L395" t="s">
        <v>793</v>
      </c>
      <c r="M395" t="s">
        <v>842</v>
      </c>
      <c r="N395">
        <v>10</v>
      </c>
      <c r="O395" s="3">
        <v>18.989999999999998</v>
      </c>
      <c r="P395" s="3">
        <v>25.64</v>
      </c>
      <c r="Q395" s="6">
        <v>0</v>
      </c>
      <c r="R395" s="3">
        <v>256.39999999999998</v>
      </c>
      <c r="S395" t="s">
        <v>825</v>
      </c>
    </row>
    <row r="396" spans="1:19" x14ac:dyDescent="0.35">
      <c r="A396" t="s">
        <v>1717</v>
      </c>
      <c r="B396" t="s">
        <v>497</v>
      </c>
      <c r="C396" s="5">
        <v>45824</v>
      </c>
      <c r="D396" s="5">
        <v>45825</v>
      </c>
      <c r="E396" t="s">
        <v>296</v>
      </c>
      <c r="F396" t="s">
        <v>674</v>
      </c>
      <c r="G396" t="s">
        <v>235</v>
      </c>
      <c r="H396" t="s">
        <v>797</v>
      </c>
      <c r="I396" t="s">
        <v>20</v>
      </c>
      <c r="J396" t="s">
        <v>102</v>
      </c>
      <c r="K396" t="s">
        <v>798</v>
      </c>
      <c r="L396" t="s">
        <v>799</v>
      </c>
      <c r="M396" t="s">
        <v>800</v>
      </c>
      <c r="N396">
        <v>1</v>
      </c>
      <c r="O396" s="3">
        <v>19.04</v>
      </c>
      <c r="P396" s="3">
        <v>25.7</v>
      </c>
      <c r="Q396" s="6">
        <v>0.1</v>
      </c>
      <c r="R396" s="3">
        <v>23.13</v>
      </c>
      <c r="S396" t="s">
        <v>790</v>
      </c>
    </row>
    <row r="397" spans="1:19" x14ac:dyDescent="0.35">
      <c r="A397" t="s">
        <v>1719</v>
      </c>
      <c r="B397" t="s">
        <v>334</v>
      </c>
      <c r="C397" s="5">
        <v>45324</v>
      </c>
      <c r="D397" s="5">
        <v>45333</v>
      </c>
      <c r="E397" t="s">
        <v>335</v>
      </c>
      <c r="F397" t="s">
        <v>696</v>
      </c>
      <c r="G397" t="s">
        <v>243</v>
      </c>
      <c r="H397" t="s">
        <v>14</v>
      </c>
      <c r="I397" t="s">
        <v>29</v>
      </c>
      <c r="J397" t="s">
        <v>49</v>
      </c>
      <c r="K397" t="s">
        <v>786</v>
      </c>
      <c r="L397" t="s">
        <v>799</v>
      </c>
      <c r="M397" t="s">
        <v>842</v>
      </c>
      <c r="N397">
        <v>1</v>
      </c>
      <c r="O397" s="3">
        <v>14.89</v>
      </c>
      <c r="P397" s="3">
        <v>20.85</v>
      </c>
      <c r="Q397" s="6">
        <v>0</v>
      </c>
      <c r="R397" s="3">
        <v>20.85</v>
      </c>
      <c r="S397" t="s">
        <v>810</v>
      </c>
    </row>
    <row r="398" spans="1:19" x14ac:dyDescent="0.35">
      <c r="A398" t="s">
        <v>1720</v>
      </c>
      <c r="B398" t="s">
        <v>589</v>
      </c>
      <c r="C398" s="5">
        <v>45967</v>
      </c>
      <c r="D398" s="5">
        <v>45975</v>
      </c>
      <c r="E398" t="s">
        <v>484</v>
      </c>
      <c r="F398" t="s">
        <v>674</v>
      </c>
      <c r="G398" t="s">
        <v>264</v>
      </c>
      <c r="H398" t="s">
        <v>14</v>
      </c>
      <c r="I398" t="s">
        <v>38</v>
      </c>
      <c r="J398" t="s">
        <v>132</v>
      </c>
      <c r="K398" t="s">
        <v>813</v>
      </c>
      <c r="L398" t="s">
        <v>799</v>
      </c>
      <c r="M398" t="s">
        <v>818</v>
      </c>
      <c r="N398">
        <v>3</v>
      </c>
      <c r="O398" s="3">
        <v>12.71</v>
      </c>
      <c r="P398" s="3">
        <v>17.79</v>
      </c>
      <c r="Q398" s="6">
        <v>0</v>
      </c>
      <c r="R398" s="3">
        <v>53.37</v>
      </c>
      <c r="S398" t="s">
        <v>803</v>
      </c>
    </row>
    <row r="399" spans="1:19" x14ac:dyDescent="0.35">
      <c r="A399" t="s">
        <v>1721</v>
      </c>
      <c r="B399" t="s">
        <v>582</v>
      </c>
      <c r="C399" s="5">
        <v>45967</v>
      </c>
      <c r="D399" s="5">
        <v>45975</v>
      </c>
      <c r="E399" t="s">
        <v>583</v>
      </c>
      <c r="F399" t="s">
        <v>627</v>
      </c>
      <c r="G399" t="s">
        <v>264</v>
      </c>
      <c r="H399" t="s">
        <v>14</v>
      </c>
      <c r="I399" t="s">
        <v>14</v>
      </c>
      <c r="J399" t="s">
        <v>111</v>
      </c>
      <c r="K399" t="s">
        <v>798</v>
      </c>
      <c r="L399" t="s">
        <v>799</v>
      </c>
      <c r="M399" t="s">
        <v>842</v>
      </c>
      <c r="N399">
        <v>1</v>
      </c>
      <c r="O399" s="3">
        <v>19.850000000000001</v>
      </c>
      <c r="P399" s="3">
        <v>28.78</v>
      </c>
      <c r="Q399" s="6">
        <v>0.05</v>
      </c>
      <c r="R399" s="3">
        <v>27.341000000000001</v>
      </c>
      <c r="S399" t="s">
        <v>1017</v>
      </c>
    </row>
    <row r="400" spans="1:19" x14ac:dyDescent="0.35">
      <c r="A400" t="s">
        <v>1722</v>
      </c>
      <c r="B400" t="s">
        <v>557</v>
      </c>
      <c r="C400" s="5">
        <v>45897</v>
      </c>
      <c r="E400" t="s">
        <v>558</v>
      </c>
      <c r="F400" t="s">
        <v>681</v>
      </c>
      <c r="G400" t="s">
        <v>235</v>
      </c>
      <c r="H400" t="s">
        <v>797</v>
      </c>
      <c r="I400" t="s">
        <v>20</v>
      </c>
      <c r="J400" t="s">
        <v>134</v>
      </c>
      <c r="K400" t="s">
        <v>786</v>
      </c>
      <c r="L400" t="s">
        <v>793</v>
      </c>
      <c r="M400" t="s">
        <v>842</v>
      </c>
      <c r="N400">
        <v>1</v>
      </c>
      <c r="O400" s="3">
        <v>38.36</v>
      </c>
      <c r="P400" s="3">
        <v>53.7</v>
      </c>
      <c r="Q400" s="6">
        <v>0.1</v>
      </c>
      <c r="R400" s="3">
        <v>48.33</v>
      </c>
      <c r="S400" t="s">
        <v>829</v>
      </c>
    </row>
    <row r="401" spans="1:19" x14ac:dyDescent="0.35">
      <c r="A401" t="s">
        <v>1723</v>
      </c>
      <c r="B401" t="s">
        <v>446</v>
      </c>
      <c r="C401" s="5">
        <v>45423</v>
      </c>
      <c r="D401" s="5">
        <v>45430</v>
      </c>
      <c r="E401" t="s">
        <v>447</v>
      </c>
      <c r="F401" t="s">
        <v>637</v>
      </c>
      <c r="G401" t="s">
        <v>243</v>
      </c>
      <c r="H401" t="s">
        <v>20</v>
      </c>
      <c r="I401" t="s">
        <v>48</v>
      </c>
      <c r="J401" t="s">
        <v>219</v>
      </c>
      <c r="K401" t="s">
        <v>813</v>
      </c>
      <c r="L401" t="s">
        <v>822</v>
      </c>
      <c r="M401" t="s">
        <v>800</v>
      </c>
      <c r="N401">
        <v>1</v>
      </c>
      <c r="O401" s="3">
        <v>12.9</v>
      </c>
      <c r="P401" s="3">
        <v>18.7</v>
      </c>
      <c r="Q401" s="6">
        <v>0.05</v>
      </c>
      <c r="R401" s="3">
        <v>17.765000000000001</v>
      </c>
      <c r="S401" t="s">
        <v>919</v>
      </c>
    </row>
    <row r="402" spans="1:19" x14ac:dyDescent="0.35">
      <c r="A402" t="s">
        <v>1724</v>
      </c>
      <c r="B402" t="s">
        <v>473</v>
      </c>
      <c r="C402" s="5">
        <v>45645</v>
      </c>
      <c r="E402" t="s">
        <v>368</v>
      </c>
      <c r="F402" t="s">
        <v>633</v>
      </c>
      <c r="G402" t="s">
        <v>235</v>
      </c>
      <c r="H402" t="s">
        <v>797</v>
      </c>
      <c r="I402" t="s">
        <v>29</v>
      </c>
      <c r="J402" t="s">
        <v>86</v>
      </c>
      <c r="K402" t="s">
        <v>798</v>
      </c>
      <c r="L402" t="s">
        <v>793</v>
      </c>
      <c r="M402" t="s">
        <v>800</v>
      </c>
      <c r="N402">
        <v>20</v>
      </c>
      <c r="O402" s="3">
        <v>8.35</v>
      </c>
      <c r="P402" s="3">
        <v>12.11</v>
      </c>
      <c r="Q402" s="6">
        <v>0.1</v>
      </c>
      <c r="R402" s="3">
        <v>217.98</v>
      </c>
      <c r="S402" t="s">
        <v>834</v>
      </c>
    </row>
    <row r="403" spans="1:19" x14ac:dyDescent="0.35">
      <c r="A403" t="s">
        <v>1725</v>
      </c>
      <c r="B403" t="s">
        <v>426</v>
      </c>
      <c r="C403" s="5">
        <v>45996</v>
      </c>
      <c r="E403" t="s">
        <v>427</v>
      </c>
      <c r="F403" t="s">
        <v>254</v>
      </c>
      <c r="G403" t="s">
        <v>264</v>
      </c>
      <c r="H403" t="s">
        <v>797</v>
      </c>
      <c r="I403" t="s">
        <v>38</v>
      </c>
      <c r="J403" t="s">
        <v>156</v>
      </c>
      <c r="K403" t="s">
        <v>813</v>
      </c>
      <c r="L403" t="s">
        <v>793</v>
      </c>
      <c r="M403" t="s">
        <v>818</v>
      </c>
      <c r="N403">
        <v>10</v>
      </c>
      <c r="O403" s="3">
        <v>20.81</v>
      </c>
      <c r="P403" s="3">
        <v>29.13</v>
      </c>
      <c r="Q403" s="6">
        <v>0.15</v>
      </c>
      <c r="R403" s="3">
        <v>247.60500000000002</v>
      </c>
      <c r="S403" t="s">
        <v>876</v>
      </c>
    </row>
    <row r="404" spans="1:19" x14ac:dyDescent="0.35">
      <c r="A404" t="s">
        <v>1726</v>
      </c>
      <c r="B404" t="s">
        <v>475</v>
      </c>
      <c r="C404" s="5">
        <v>45873</v>
      </c>
      <c r="E404" t="s">
        <v>476</v>
      </c>
      <c r="F404" t="s">
        <v>633</v>
      </c>
      <c r="G404" t="s">
        <v>243</v>
      </c>
      <c r="H404" t="s">
        <v>797</v>
      </c>
      <c r="I404" t="s">
        <v>8</v>
      </c>
      <c r="J404" t="s">
        <v>101</v>
      </c>
      <c r="K404" t="s">
        <v>798</v>
      </c>
      <c r="L404" t="s">
        <v>787</v>
      </c>
      <c r="M404" t="s">
        <v>800</v>
      </c>
      <c r="N404">
        <v>1</v>
      </c>
      <c r="O404" s="3">
        <v>16.510000000000002</v>
      </c>
      <c r="P404" s="3">
        <v>23.94</v>
      </c>
      <c r="Q404" s="6">
        <v>0.05</v>
      </c>
      <c r="R404" s="3">
        <v>22.743000000000002</v>
      </c>
      <c r="S404" t="s">
        <v>803</v>
      </c>
    </row>
    <row r="405" spans="1:19" x14ac:dyDescent="0.35">
      <c r="A405" t="s">
        <v>1727</v>
      </c>
      <c r="B405" t="s">
        <v>541</v>
      </c>
      <c r="C405" s="5">
        <v>45691</v>
      </c>
      <c r="D405" s="5">
        <v>45697</v>
      </c>
      <c r="E405" t="s">
        <v>542</v>
      </c>
      <c r="F405" t="s">
        <v>254</v>
      </c>
      <c r="G405" t="s">
        <v>235</v>
      </c>
      <c r="H405" t="s">
        <v>20</v>
      </c>
      <c r="I405" t="s">
        <v>8</v>
      </c>
      <c r="J405" t="s">
        <v>73</v>
      </c>
      <c r="K405" t="s">
        <v>813</v>
      </c>
      <c r="L405" t="s">
        <v>799</v>
      </c>
      <c r="M405" t="s">
        <v>800</v>
      </c>
      <c r="N405">
        <v>3</v>
      </c>
      <c r="O405" s="3">
        <v>67.95</v>
      </c>
      <c r="P405" s="3">
        <v>88.34</v>
      </c>
      <c r="Q405" s="6">
        <v>0.05</v>
      </c>
      <c r="R405" s="3">
        <v>251.76899999999998</v>
      </c>
      <c r="S405" t="s">
        <v>892</v>
      </c>
    </row>
    <row r="406" spans="1:19" x14ac:dyDescent="0.35">
      <c r="A406" t="s">
        <v>1730</v>
      </c>
      <c r="B406" t="s">
        <v>423</v>
      </c>
      <c r="C406" s="5">
        <v>45462</v>
      </c>
      <c r="D406" s="5">
        <v>45467</v>
      </c>
      <c r="E406" t="s">
        <v>424</v>
      </c>
      <c r="F406" t="s">
        <v>633</v>
      </c>
      <c r="G406" t="s">
        <v>235</v>
      </c>
      <c r="H406" t="s">
        <v>48</v>
      </c>
      <c r="I406" t="s">
        <v>48</v>
      </c>
      <c r="J406" t="s">
        <v>84</v>
      </c>
      <c r="K406" t="s">
        <v>798</v>
      </c>
      <c r="L406" t="s">
        <v>799</v>
      </c>
      <c r="M406" t="s">
        <v>842</v>
      </c>
      <c r="N406">
        <v>1</v>
      </c>
      <c r="O406" s="3">
        <v>27.52</v>
      </c>
      <c r="P406" s="3">
        <v>34.4</v>
      </c>
      <c r="Q406" s="6">
        <v>0.1</v>
      </c>
      <c r="R406" s="3">
        <v>30.959999999999997</v>
      </c>
      <c r="S406" t="s">
        <v>963</v>
      </c>
    </row>
    <row r="407" spans="1:19" x14ac:dyDescent="0.35">
      <c r="A407" t="s">
        <v>1731</v>
      </c>
      <c r="B407" t="s">
        <v>423</v>
      </c>
      <c r="C407" s="5">
        <v>45563</v>
      </c>
      <c r="D407" s="5">
        <v>45565</v>
      </c>
      <c r="E407" t="s">
        <v>424</v>
      </c>
      <c r="F407" t="s">
        <v>627</v>
      </c>
      <c r="G407" t="s">
        <v>235</v>
      </c>
      <c r="H407" t="s">
        <v>797</v>
      </c>
      <c r="I407" t="s">
        <v>79</v>
      </c>
      <c r="J407" t="s">
        <v>77</v>
      </c>
      <c r="K407" t="s">
        <v>798</v>
      </c>
      <c r="L407" t="s">
        <v>799</v>
      </c>
      <c r="M407" t="s">
        <v>842</v>
      </c>
      <c r="N407">
        <v>10</v>
      </c>
      <c r="O407" s="3">
        <v>13.71</v>
      </c>
      <c r="P407" s="3">
        <v>17.82</v>
      </c>
      <c r="Q407" s="6">
        <v>0.15</v>
      </c>
      <c r="R407" s="3">
        <v>151.47</v>
      </c>
      <c r="S407" t="s">
        <v>803</v>
      </c>
    </row>
    <row r="408" spans="1:19" x14ac:dyDescent="0.35">
      <c r="A408" t="s">
        <v>1733</v>
      </c>
      <c r="B408" t="s">
        <v>409</v>
      </c>
      <c r="C408" s="5">
        <v>45898</v>
      </c>
      <c r="E408" t="s">
        <v>410</v>
      </c>
      <c r="F408" t="s">
        <v>254</v>
      </c>
      <c r="G408" t="s">
        <v>235</v>
      </c>
      <c r="H408" t="s">
        <v>14</v>
      </c>
      <c r="I408" t="s">
        <v>43</v>
      </c>
      <c r="J408" t="s">
        <v>222</v>
      </c>
      <c r="K408" t="s">
        <v>798</v>
      </c>
      <c r="L408" t="s">
        <v>793</v>
      </c>
      <c r="M408" t="s">
        <v>800</v>
      </c>
      <c r="N408">
        <v>3</v>
      </c>
      <c r="O408" s="3">
        <v>37.1</v>
      </c>
      <c r="P408" s="3">
        <v>48.23</v>
      </c>
      <c r="Q408" s="6">
        <v>0</v>
      </c>
      <c r="R408" s="3">
        <v>144.69</v>
      </c>
      <c r="S408" t="s">
        <v>869</v>
      </c>
    </row>
    <row r="409" spans="1:19" x14ac:dyDescent="0.35">
      <c r="A409" t="s">
        <v>1734</v>
      </c>
      <c r="B409" t="s">
        <v>423</v>
      </c>
      <c r="C409" s="5">
        <v>45601</v>
      </c>
      <c r="E409" t="s">
        <v>424</v>
      </c>
      <c r="F409" t="s">
        <v>696</v>
      </c>
      <c r="G409" t="s">
        <v>235</v>
      </c>
      <c r="H409" t="s">
        <v>14</v>
      </c>
      <c r="I409" t="s">
        <v>8</v>
      </c>
      <c r="J409" t="s">
        <v>204</v>
      </c>
      <c r="K409" t="s">
        <v>798</v>
      </c>
      <c r="L409" t="s">
        <v>793</v>
      </c>
      <c r="M409" t="s">
        <v>800</v>
      </c>
      <c r="N409">
        <v>12</v>
      </c>
      <c r="O409" s="3">
        <v>28.27</v>
      </c>
      <c r="P409" s="3">
        <v>40.99</v>
      </c>
      <c r="Q409" s="6">
        <v>0.1</v>
      </c>
      <c r="R409" s="3">
        <v>442.69200000000001</v>
      </c>
      <c r="S409" t="s">
        <v>892</v>
      </c>
    </row>
    <row r="410" spans="1:19" x14ac:dyDescent="0.35">
      <c r="A410" t="s">
        <v>1735</v>
      </c>
      <c r="B410" t="s">
        <v>367</v>
      </c>
      <c r="C410" s="5">
        <v>45756</v>
      </c>
      <c r="E410" t="s">
        <v>368</v>
      </c>
      <c r="F410" t="s">
        <v>254</v>
      </c>
      <c r="G410" t="s">
        <v>264</v>
      </c>
      <c r="H410" t="s">
        <v>14</v>
      </c>
      <c r="I410" t="s">
        <v>43</v>
      </c>
      <c r="J410" t="s">
        <v>58</v>
      </c>
      <c r="K410" t="s">
        <v>798</v>
      </c>
      <c r="L410" t="s">
        <v>793</v>
      </c>
      <c r="M410" t="s">
        <v>818</v>
      </c>
      <c r="N410">
        <v>20</v>
      </c>
      <c r="O410" s="3">
        <v>11.21</v>
      </c>
      <c r="P410" s="3">
        <v>15.13</v>
      </c>
      <c r="Q410" s="6">
        <v>0</v>
      </c>
      <c r="R410" s="3">
        <v>302.60000000000002</v>
      </c>
      <c r="S410" t="s">
        <v>825</v>
      </c>
    </row>
    <row r="411" spans="1:19" x14ac:dyDescent="0.35">
      <c r="A411" t="s">
        <v>1736</v>
      </c>
      <c r="B411" t="s">
        <v>407</v>
      </c>
      <c r="C411" s="5">
        <v>46052</v>
      </c>
      <c r="D411" s="5">
        <v>46053</v>
      </c>
      <c r="E411" t="s">
        <v>408</v>
      </c>
      <c r="F411" t="s">
        <v>681</v>
      </c>
      <c r="G411" t="s">
        <v>235</v>
      </c>
      <c r="H411" t="s">
        <v>14</v>
      </c>
      <c r="I411" t="s">
        <v>14</v>
      </c>
      <c r="J411" t="s">
        <v>111</v>
      </c>
      <c r="K411" t="s">
        <v>798</v>
      </c>
      <c r="L411" t="s">
        <v>799</v>
      </c>
      <c r="M411" t="s">
        <v>818</v>
      </c>
      <c r="N411">
        <v>10</v>
      </c>
      <c r="O411" s="3">
        <v>19.850000000000001</v>
      </c>
      <c r="P411" s="3">
        <v>28.78</v>
      </c>
      <c r="Q411" s="6">
        <v>0.1</v>
      </c>
      <c r="R411" s="3">
        <v>259.02</v>
      </c>
      <c r="S411" t="s">
        <v>869</v>
      </c>
    </row>
    <row r="412" spans="1:19" x14ac:dyDescent="0.35">
      <c r="A412" t="s">
        <v>1737</v>
      </c>
      <c r="B412" t="s">
        <v>452</v>
      </c>
      <c r="C412" s="5">
        <v>45826</v>
      </c>
      <c r="D412" s="5">
        <v>45832</v>
      </c>
      <c r="E412" t="s">
        <v>420</v>
      </c>
      <c r="F412" t="s">
        <v>696</v>
      </c>
      <c r="G412" t="s">
        <v>264</v>
      </c>
      <c r="H412" t="s">
        <v>797</v>
      </c>
      <c r="I412" t="s">
        <v>14</v>
      </c>
      <c r="J412" t="s">
        <v>152</v>
      </c>
      <c r="K412" t="s">
        <v>813</v>
      </c>
      <c r="L412" t="s">
        <v>799</v>
      </c>
      <c r="M412" t="s">
        <v>800</v>
      </c>
      <c r="N412">
        <v>2</v>
      </c>
      <c r="O412" s="3">
        <v>38.549999999999997</v>
      </c>
      <c r="P412" s="3">
        <v>53.97</v>
      </c>
      <c r="Q412" s="6">
        <v>0.05</v>
      </c>
      <c r="R412" s="3">
        <v>102.54299999999999</v>
      </c>
      <c r="S412" t="s">
        <v>876</v>
      </c>
    </row>
    <row r="413" spans="1:19" x14ac:dyDescent="0.35">
      <c r="A413" t="s">
        <v>1738</v>
      </c>
      <c r="B413" t="s">
        <v>377</v>
      </c>
      <c r="C413" s="5">
        <v>45357</v>
      </c>
      <c r="D413" s="5">
        <v>45361</v>
      </c>
      <c r="E413" t="s">
        <v>378</v>
      </c>
      <c r="F413" t="s">
        <v>637</v>
      </c>
      <c r="G413" t="s">
        <v>243</v>
      </c>
      <c r="H413" t="s">
        <v>797</v>
      </c>
      <c r="I413" t="s">
        <v>79</v>
      </c>
      <c r="J413" t="s">
        <v>108</v>
      </c>
      <c r="K413" t="s">
        <v>786</v>
      </c>
      <c r="L413" t="s">
        <v>799</v>
      </c>
      <c r="M413" t="s">
        <v>800</v>
      </c>
      <c r="N413">
        <v>2</v>
      </c>
      <c r="O413" s="3">
        <v>9.3000000000000007</v>
      </c>
      <c r="P413" s="3">
        <v>12.56</v>
      </c>
      <c r="Q413" s="6">
        <v>0.15</v>
      </c>
      <c r="R413" s="3">
        <v>21.352</v>
      </c>
      <c r="S413" t="s">
        <v>946</v>
      </c>
    </row>
    <row r="414" spans="1:19" x14ac:dyDescent="0.35">
      <c r="A414" t="s">
        <v>1740</v>
      </c>
      <c r="B414" t="s">
        <v>331</v>
      </c>
      <c r="C414" s="5">
        <v>45707</v>
      </c>
      <c r="D414" s="5">
        <v>45714</v>
      </c>
      <c r="E414" t="s">
        <v>332</v>
      </c>
      <c r="F414" t="s">
        <v>674</v>
      </c>
      <c r="G414" t="s">
        <v>264</v>
      </c>
      <c r="H414" t="s">
        <v>797</v>
      </c>
      <c r="I414" t="s">
        <v>8</v>
      </c>
      <c r="J414" t="s">
        <v>73</v>
      </c>
      <c r="K414" t="s">
        <v>798</v>
      </c>
      <c r="L414" t="s">
        <v>799</v>
      </c>
      <c r="M414" t="s">
        <v>818</v>
      </c>
      <c r="N414">
        <v>20</v>
      </c>
      <c r="O414" s="3">
        <v>67.95</v>
      </c>
      <c r="P414" s="3">
        <v>88.34</v>
      </c>
      <c r="Q414" s="6">
        <v>0.05</v>
      </c>
      <c r="R414" s="3">
        <v>1678.4600000000003</v>
      </c>
      <c r="S414" t="s">
        <v>790</v>
      </c>
    </row>
    <row r="415" spans="1:19" x14ac:dyDescent="0.35">
      <c r="A415" t="s">
        <v>1742</v>
      </c>
      <c r="B415" t="s">
        <v>272</v>
      </c>
      <c r="C415" s="5">
        <v>45724</v>
      </c>
      <c r="E415" t="s">
        <v>273</v>
      </c>
      <c r="F415" t="s">
        <v>674</v>
      </c>
      <c r="G415" t="s">
        <v>243</v>
      </c>
      <c r="H415" t="s">
        <v>797</v>
      </c>
      <c r="I415" t="s">
        <v>29</v>
      </c>
      <c r="J415" t="s">
        <v>86</v>
      </c>
      <c r="K415" t="s">
        <v>813</v>
      </c>
      <c r="L415" t="s">
        <v>793</v>
      </c>
      <c r="M415" t="s">
        <v>800</v>
      </c>
      <c r="N415">
        <v>5</v>
      </c>
      <c r="O415" s="3">
        <v>8.35</v>
      </c>
      <c r="P415" s="3">
        <v>12.11</v>
      </c>
      <c r="Q415" s="6">
        <v>0.15</v>
      </c>
      <c r="R415" s="3">
        <v>51.467500000000001</v>
      </c>
      <c r="S415" t="s">
        <v>790</v>
      </c>
    </row>
    <row r="416" spans="1:19" x14ac:dyDescent="0.35">
      <c r="A416" t="s">
        <v>1743</v>
      </c>
      <c r="B416" t="s">
        <v>276</v>
      </c>
      <c r="C416" s="5">
        <v>45472</v>
      </c>
      <c r="D416" s="5">
        <v>45477</v>
      </c>
      <c r="E416" t="s">
        <v>277</v>
      </c>
      <c r="F416" t="s">
        <v>681</v>
      </c>
      <c r="G416" t="s">
        <v>243</v>
      </c>
      <c r="H416" t="s">
        <v>14</v>
      </c>
      <c r="I416" t="s">
        <v>20</v>
      </c>
      <c r="J416" t="s">
        <v>137</v>
      </c>
      <c r="K416" t="s">
        <v>813</v>
      </c>
      <c r="L416" t="s">
        <v>799</v>
      </c>
      <c r="M416" t="s">
        <v>842</v>
      </c>
      <c r="N416">
        <v>5</v>
      </c>
      <c r="O416" s="3">
        <v>23.58</v>
      </c>
      <c r="P416" s="3">
        <v>31.83</v>
      </c>
      <c r="Q416" s="6">
        <v>0</v>
      </c>
      <c r="R416" s="3">
        <v>159.14999999999998</v>
      </c>
      <c r="S416" t="s">
        <v>946</v>
      </c>
    </row>
    <row r="417" spans="1:19" x14ac:dyDescent="0.35">
      <c r="A417" t="s">
        <v>1747</v>
      </c>
      <c r="B417" t="s">
        <v>452</v>
      </c>
      <c r="C417" s="5">
        <v>45357</v>
      </c>
      <c r="D417" s="5">
        <v>45367</v>
      </c>
      <c r="E417" t="s">
        <v>420</v>
      </c>
      <c r="F417" t="s">
        <v>681</v>
      </c>
      <c r="G417" t="s">
        <v>264</v>
      </c>
      <c r="H417" t="s">
        <v>14</v>
      </c>
      <c r="I417" t="s">
        <v>29</v>
      </c>
      <c r="J417" t="s">
        <v>121</v>
      </c>
      <c r="K417" t="s">
        <v>813</v>
      </c>
      <c r="L417" t="s">
        <v>822</v>
      </c>
      <c r="M417" t="s">
        <v>788</v>
      </c>
      <c r="N417">
        <v>2</v>
      </c>
      <c r="O417" s="3">
        <v>15.46</v>
      </c>
      <c r="P417" s="3">
        <v>22.42</v>
      </c>
      <c r="Q417" s="6">
        <v>0</v>
      </c>
      <c r="R417" s="3">
        <v>44.84</v>
      </c>
      <c r="S417" t="s">
        <v>919</v>
      </c>
    </row>
    <row r="418" spans="1:19" x14ac:dyDescent="0.35">
      <c r="A418" t="s">
        <v>1749</v>
      </c>
      <c r="B418" t="s">
        <v>334</v>
      </c>
      <c r="C418" s="5">
        <v>46044</v>
      </c>
      <c r="D418" s="5">
        <v>46048</v>
      </c>
      <c r="E418" t="s">
        <v>335</v>
      </c>
      <c r="F418" t="s">
        <v>627</v>
      </c>
      <c r="G418" t="s">
        <v>243</v>
      </c>
      <c r="H418" t="s">
        <v>14</v>
      </c>
      <c r="I418" t="s">
        <v>48</v>
      </c>
      <c r="J418" t="s">
        <v>61</v>
      </c>
      <c r="K418" t="s">
        <v>798</v>
      </c>
      <c r="L418" t="s">
        <v>799</v>
      </c>
      <c r="M418" t="s">
        <v>800</v>
      </c>
      <c r="N418">
        <v>3</v>
      </c>
      <c r="O418" s="3">
        <v>26.08</v>
      </c>
      <c r="P418" s="3">
        <v>35.21</v>
      </c>
      <c r="Q418" s="6">
        <v>0.05</v>
      </c>
      <c r="R418" s="3">
        <v>100.3485</v>
      </c>
      <c r="S418" t="s">
        <v>834</v>
      </c>
    </row>
    <row r="419" spans="1:19" x14ac:dyDescent="0.35">
      <c r="A419" t="s">
        <v>1751</v>
      </c>
      <c r="B419" t="s">
        <v>613</v>
      </c>
      <c r="C419" s="5">
        <v>45906</v>
      </c>
      <c r="D419" s="5">
        <v>45909</v>
      </c>
      <c r="E419" t="s">
        <v>304</v>
      </c>
      <c r="F419" t="s">
        <v>637</v>
      </c>
      <c r="G419" t="s">
        <v>243</v>
      </c>
      <c r="H419" t="s">
        <v>797</v>
      </c>
      <c r="I419" t="s">
        <v>14</v>
      </c>
      <c r="J419" t="s">
        <v>24</v>
      </c>
      <c r="K419" t="s">
        <v>786</v>
      </c>
      <c r="L419" t="s">
        <v>799</v>
      </c>
      <c r="M419" t="s">
        <v>788</v>
      </c>
      <c r="N419">
        <v>12</v>
      </c>
      <c r="O419" s="3">
        <v>37.42</v>
      </c>
      <c r="P419" s="3">
        <v>50.52</v>
      </c>
      <c r="Q419" s="6">
        <v>0.05</v>
      </c>
      <c r="R419" s="3">
        <v>575.928</v>
      </c>
      <c r="S419" t="s">
        <v>963</v>
      </c>
    </row>
    <row r="420" spans="1:19" x14ac:dyDescent="0.35">
      <c r="A420" t="s">
        <v>1754</v>
      </c>
      <c r="B420" t="s">
        <v>382</v>
      </c>
      <c r="C420" s="5">
        <v>45401</v>
      </c>
      <c r="D420" s="5">
        <v>45403</v>
      </c>
      <c r="E420" t="s">
        <v>383</v>
      </c>
      <c r="F420" t="s">
        <v>633</v>
      </c>
      <c r="G420" t="s">
        <v>264</v>
      </c>
      <c r="H420" t="s">
        <v>797</v>
      </c>
      <c r="I420" t="s">
        <v>20</v>
      </c>
      <c r="J420" t="s">
        <v>196</v>
      </c>
      <c r="K420" t="s">
        <v>798</v>
      </c>
      <c r="L420" t="s">
        <v>799</v>
      </c>
      <c r="M420" t="s">
        <v>818</v>
      </c>
      <c r="N420">
        <v>2</v>
      </c>
      <c r="O420" s="3">
        <v>15.78</v>
      </c>
      <c r="P420" s="3">
        <v>19.72</v>
      </c>
      <c r="Q420" s="6">
        <v>0.1</v>
      </c>
      <c r="R420" s="3">
        <v>35.495999999999995</v>
      </c>
      <c r="S420" t="s">
        <v>814</v>
      </c>
    </row>
    <row r="421" spans="1:19" x14ac:dyDescent="0.35">
      <c r="A421" t="s">
        <v>1755</v>
      </c>
      <c r="B421" t="s">
        <v>477</v>
      </c>
      <c r="C421" s="5">
        <v>45616</v>
      </c>
      <c r="D421" s="5">
        <v>45622</v>
      </c>
      <c r="E421" t="s">
        <v>478</v>
      </c>
      <c r="F421" t="s">
        <v>696</v>
      </c>
      <c r="G421" t="s">
        <v>243</v>
      </c>
      <c r="H421" t="s">
        <v>14</v>
      </c>
      <c r="I421" t="s">
        <v>8</v>
      </c>
      <c r="J421" t="s">
        <v>192</v>
      </c>
      <c r="K421" t="s">
        <v>786</v>
      </c>
      <c r="L421" t="s">
        <v>799</v>
      </c>
      <c r="M421" t="s">
        <v>788</v>
      </c>
      <c r="N421">
        <v>5</v>
      </c>
      <c r="O421" s="3">
        <v>19.47</v>
      </c>
      <c r="P421" s="3">
        <v>28.23</v>
      </c>
      <c r="Q421" s="6">
        <v>0</v>
      </c>
      <c r="R421" s="3">
        <v>141.15</v>
      </c>
      <c r="S421" t="s">
        <v>819</v>
      </c>
    </row>
    <row r="422" spans="1:19" x14ac:dyDescent="0.35">
      <c r="A422" t="s">
        <v>1756</v>
      </c>
      <c r="B422" t="s">
        <v>569</v>
      </c>
      <c r="C422" s="5">
        <v>45607</v>
      </c>
      <c r="D422" s="5">
        <v>45611</v>
      </c>
      <c r="E422" t="s">
        <v>535</v>
      </c>
      <c r="F422" t="s">
        <v>627</v>
      </c>
      <c r="H422" t="s">
        <v>797</v>
      </c>
      <c r="I422" t="s">
        <v>14</v>
      </c>
      <c r="J422" t="s">
        <v>16</v>
      </c>
      <c r="K422" t="s">
        <v>798</v>
      </c>
      <c r="L422" t="s">
        <v>799</v>
      </c>
      <c r="M422" t="s">
        <v>842</v>
      </c>
      <c r="N422">
        <v>3</v>
      </c>
      <c r="O422" s="3">
        <v>56.69</v>
      </c>
      <c r="P422" s="3">
        <v>79.37</v>
      </c>
      <c r="Q422" s="6">
        <v>0.15</v>
      </c>
      <c r="R422" s="3">
        <v>202.39350000000002</v>
      </c>
      <c r="S422" t="s">
        <v>825</v>
      </c>
    </row>
    <row r="423" spans="1:19" x14ac:dyDescent="0.35">
      <c r="A423" t="s">
        <v>1758</v>
      </c>
      <c r="B423" t="s">
        <v>462</v>
      </c>
      <c r="C423" s="5">
        <v>45551</v>
      </c>
      <c r="D423" s="5">
        <v>45559</v>
      </c>
      <c r="E423" t="s">
        <v>396</v>
      </c>
      <c r="F423" t="s">
        <v>633</v>
      </c>
      <c r="G423" t="s">
        <v>264</v>
      </c>
      <c r="H423" t="s">
        <v>14</v>
      </c>
      <c r="I423" t="s">
        <v>14</v>
      </c>
      <c r="J423" t="s">
        <v>30</v>
      </c>
      <c r="K423" t="s">
        <v>798</v>
      </c>
      <c r="L423" t="s">
        <v>822</v>
      </c>
      <c r="M423" t="s">
        <v>842</v>
      </c>
      <c r="N423">
        <v>5</v>
      </c>
      <c r="O423" s="3">
        <v>19.010000000000002</v>
      </c>
      <c r="P423" s="3">
        <v>27.56</v>
      </c>
      <c r="Q423" s="6">
        <v>0.1</v>
      </c>
      <c r="R423" s="3">
        <v>124.01999999999998</v>
      </c>
      <c r="S423" t="s">
        <v>794</v>
      </c>
    </row>
    <row r="424" spans="1:19" x14ac:dyDescent="0.35">
      <c r="A424" t="s">
        <v>1759</v>
      </c>
      <c r="B424" t="s">
        <v>465</v>
      </c>
      <c r="C424" s="5">
        <v>45689</v>
      </c>
      <c r="D424" s="5">
        <v>45697</v>
      </c>
      <c r="E424" t="s">
        <v>348</v>
      </c>
      <c r="F424" t="s">
        <v>633</v>
      </c>
      <c r="G424" t="s">
        <v>264</v>
      </c>
      <c r="H424" t="s">
        <v>797</v>
      </c>
      <c r="I424" t="s">
        <v>48</v>
      </c>
      <c r="J424" t="s">
        <v>219</v>
      </c>
      <c r="K424" t="s">
        <v>786</v>
      </c>
      <c r="L424" t="s">
        <v>799</v>
      </c>
      <c r="M424" t="s">
        <v>800</v>
      </c>
      <c r="N424">
        <v>10</v>
      </c>
      <c r="O424" s="3">
        <v>12.9</v>
      </c>
      <c r="P424" s="3">
        <v>18.7</v>
      </c>
      <c r="Q424" s="6">
        <v>0</v>
      </c>
      <c r="R424" s="3">
        <v>187</v>
      </c>
      <c r="S424" t="s">
        <v>810</v>
      </c>
    </row>
    <row r="425" spans="1:19" x14ac:dyDescent="0.35">
      <c r="A425" t="s">
        <v>1760</v>
      </c>
      <c r="B425" t="s">
        <v>612</v>
      </c>
      <c r="C425" s="5">
        <v>45938</v>
      </c>
      <c r="D425" s="5">
        <v>45944</v>
      </c>
      <c r="E425" t="s">
        <v>447</v>
      </c>
      <c r="F425" t="s">
        <v>681</v>
      </c>
      <c r="G425" t="s">
        <v>235</v>
      </c>
      <c r="H425" t="s">
        <v>797</v>
      </c>
      <c r="I425" t="s">
        <v>14</v>
      </c>
      <c r="J425" t="s">
        <v>167</v>
      </c>
      <c r="K425" t="s">
        <v>813</v>
      </c>
      <c r="L425" t="s">
        <v>799</v>
      </c>
      <c r="M425" t="s">
        <v>818</v>
      </c>
      <c r="N425">
        <v>10</v>
      </c>
      <c r="O425" s="3">
        <v>18.62</v>
      </c>
      <c r="P425" s="3">
        <v>26.07</v>
      </c>
      <c r="Q425" s="6">
        <v>0.05</v>
      </c>
      <c r="R425" s="3">
        <v>247.66499999999999</v>
      </c>
      <c r="S425" t="s">
        <v>876</v>
      </c>
    </row>
    <row r="426" spans="1:19" x14ac:dyDescent="0.35">
      <c r="A426" t="s">
        <v>1762</v>
      </c>
      <c r="B426" t="s">
        <v>322</v>
      </c>
      <c r="C426" s="5">
        <v>46026</v>
      </c>
      <c r="E426" t="s">
        <v>245</v>
      </c>
      <c r="F426" t="s">
        <v>637</v>
      </c>
      <c r="G426" t="s">
        <v>243</v>
      </c>
      <c r="H426" t="s">
        <v>797</v>
      </c>
      <c r="I426" t="s">
        <v>29</v>
      </c>
      <c r="J426" t="s">
        <v>49</v>
      </c>
      <c r="K426" t="s">
        <v>798</v>
      </c>
      <c r="L426" t="s">
        <v>787</v>
      </c>
      <c r="M426" t="s">
        <v>818</v>
      </c>
      <c r="N426">
        <v>3</v>
      </c>
      <c r="O426" s="3">
        <v>14.89</v>
      </c>
      <c r="P426" s="3">
        <v>20.85</v>
      </c>
      <c r="Q426" s="6">
        <v>0.1</v>
      </c>
      <c r="R426" s="3">
        <v>56.295000000000002</v>
      </c>
      <c r="S426" t="s">
        <v>790</v>
      </c>
    </row>
    <row r="427" spans="1:19" x14ac:dyDescent="0.35">
      <c r="A427" t="s">
        <v>1763</v>
      </c>
      <c r="B427" t="s">
        <v>493</v>
      </c>
      <c r="C427" s="5">
        <v>46047</v>
      </c>
      <c r="D427" s="5">
        <v>46048</v>
      </c>
      <c r="E427" t="s">
        <v>311</v>
      </c>
      <c r="F427" t="s">
        <v>681</v>
      </c>
      <c r="G427" t="s">
        <v>243</v>
      </c>
      <c r="H427" t="s">
        <v>797</v>
      </c>
      <c r="I427" t="s">
        <v>14</v>
      </c>
      <c r="J427" t="s">
        <v>111</v>
      </c>
      <c r="K427" t="s">
        <v>813</v>
      </c>
      <c r="L427" t="s">
        <v>799</v>
      </c>
      <c r="M427" t="s">
        <v>818</v>
      </c>
      <c r="N427">
        <v>2</v>
      </c>
      <c r="O427" s="3">
        <v>19.850000000000001</v>
      </c>
      <c r="P427" s="3">
        <v>28.78</v>
      </c>
      <c r="Q427" s="6">
        <v>0.15</v>
      </c>
      <c r="R427" s="3">
        <v>48.926000000000002</v>
      </c>
      <c r="S427" t="s">
        <v>888</v>
      </c>
    </row>
    <row r="428" spans="1:19" x14ac:dyDescent="0.35">
      <c r="A428" t="s">
        <v>1764</v>
      </c>
      <c r="B428" t="s">
        <v>561</v>
      </c>
      <c r="C428" s="5">
        <v>45702</v>
      </c>
      <c r="E428" t="s">
        <v>562</v>
      </c>
      <c r="F428" t="s">
        <v>633</v>
      </c>
      <c r="G428" t="s">
        <v>243</v>
      </c>
      <c r="H428" t="s">
        <v>797</v>
      </c>
      <c r="I428" t="s">
        <v>79</v>
      </c>
      <c r="J428" t="s">
        <v>184</v>
      </c>
      <c r="K428" t="s">
        <v>813</v>
      </c>
      <c r="L428" t="s">
        <v>787</v>
      </c>
      <c r="M428" t="s">
        <v>788</v>
      </c>
      <c r="N428">
        <v>12</v>
      </c>
      <c r="O428" s="3">
        <v>28.87</v>
      </c>
      <c r="P428" s="3">
        <v>40.42</v>
      </c>
      <c r="Q428" s="6">
        <v>0.1</v>
      </c>
      <c r="R428" s="3">
        <v>436.536</v>
      </c>
      <c r="S428" t="s">
        <v>825</v>
      </c>
    </row>
    <row r="429" spans="1:19" x14ac:dyDescent="0.35">
      <c r="A429" t="s">
        <v>1765</v>
      </c>
      <c r="B429" t="s">
        <v>491</v>
      </c>
      <c r="C429" s="5">
        <v>45712</v>
      </c>
      <c r="E429" t="s">
        <v>492</v>
      </c>
      <c r="F429" t="s">
        <v>696</v>
      </c>
      <c r="G429" t="s">
        <v>264</v>
      </c>
      <c r="H429" t="s">
        <v>20</v>
      </c>
      <c r="I429" t="s">
        <v>38</v>
      </c>
      <c r="J429" t="s">
        <v>130</v>
      </c>
      <c r="K429" t="s">
        <v>813</v>
      </c>
      <c r="L429" t="s">
        <v>787</v>
      </c>
      <c r="M429" t="s">
        <v>800</v>
      </c>
      <c r="N429">
        <v>1</v>
      </c>
      <c r="O429" s="3">
        <v>13.35</v>
      </c>
      <c r="P429" s="3">
        <v>17.36</v>
      </c>
      <c r="Q429" s="6">
        <v>0</v>
      </c>
      <c r="R429" s="3">
        <v>17.36</v>
      </c>
      <c r="S429" t="s">
        <v>963</v>
      </c>
    </row>
    <row r="430" spans="1:19" x14ac:dyDescent="0.35">
      <c r="A430" t="s">
        <v>1766</v>
      </c>
      <c r="B430" t="s">
        <v>453</v>
      </c>
      <c r="C430" s="5">
        <v>45378</v>
      </c>
      <c r="D430" s="5">
        <v>45387</v>
      </c>
      <c r="E430" t="s">
        <v>454</v>
      </c>
      <c r="F430" t="s">
        <v>674</v>
      </c>
      <c r="G430" t="s">
        <v>235</v>
      </c>
      <c r="H430" t="s">
        <v>797</v>
      </c>
      <c r="I430" t="s">
        <v>38</v>
      </c>
      <c r="J430" t="s">
        <v>172</v>
      </c>
      <c r="K430" t="s">
        <v>798</v>
      </c>
      <c r="L430" t="s">
        <v>799</v>
      </c>
      <c r="M430" t="s">
        <v>788</v>
      </c>
      <c r="N430">
        <v>1</v>
      </c>
      <c r="O430" s="3">
        <v>18.329999999999998</v>
      </c>
      <c r="P430" s="3">
        <v>22.91</v>
      </c>
      <c r="Q430" s="6">
        <v>0</v>
      </c>
      <c r="R430" s="3">
        <v>22.91</v>
      </c>
      <c r="S430" t="s">
        <v>839</v>
      </c>
    </row>
    <row r="431" spans="1:19" x14ac:dyDescent="0.35">
      <c r="A431" t="s">
        <v>1768</v>
      </c>
      <c r="B431" t="s">
        <v>561</v>
      </c>
      <c r="C431" s="5">
        <v>45954</v>
      </c>
      <c r="E431" t="s">
        <v>562</v>
      </c>
      <c r="F431" t="s">
        <v>674</v>
      </c>
      <c r="G431" t="s">
        <v>243</v>
      </c>
      <c r="H431" t="s">
        <v>48</v>
      </c>
      <c r="I431" t="s">
        <v>14</v>
      </c>
      <c r="J431" t="s">
        <v>152</v>
      </c>
      <c r="K431" t="s">
        <v>786</v>
      </c>
      <c r="L431" t="s">
        <v>793</v>
      </c>
      <c r="M431" t="s">
        <v>788</v>
      </c>
      <c r="N431">
        <v>1</v>
      </c>
      <c r="O431" s="3">
        <v>38.549999999999997</v>
      </c>
      <c r="P431" s="3">
        <v>53.97</v>
      </c>
      <c r="Q431" s="6">
        <v>0</v>
      </c>
      <c r="R431" s="3">
        <v>53.97</v>
      </c>
      <c r="S431" t="s">
        <v>935</v>
      </c>
    </row>
    <row r="432" spans="1:19" x14ac:dyDescent="0.35">
      <c r="A432" t="s">
        <v>1769</v>
      </c>
      <c r="B432" t="s">
        <v>552</v>
      </c>
      <c r="C432" s="5">
        <v>45924</v>
      </c>
      <c r="E432" t="s">
        <v>553</v>
      </c>
      <c r="F432" t="s">
        <v>633</v>
      </c>
      <c r="G432" t="s">
        <v>235</v>
      </c>
      <c r="H432" t="s">
        <v>797</v>
      </c>
      <c r="I432" t="s">
        <v>20</v>
      </c>
      <c r="J432" t="s">
        <v>104</v>
      </c>
      <c r="K432" t="s">
        <v>786</v>
      </c>
      <c r="L432" t="s">
        <v>787</v>
      </c>
      <c r="M432" t="s">
        <v>842</v>
      </c>
      <c r="N432">
        <v>2</v>
      </c>
      <c r="O432" s="3">
        <v>43.88</v>
      </c>
      <c r="P432" s="3">
        <v>54.85</v>
      </c>
      <c r="Q432" s="6">
        <v>0</v>
      </c>
      <c r="R432" s="3">
        <v>109.7</v>
      </c>
      <c r="S432" t="s">
        <v>1001</v>
      </c>
    </row>
    <row r="433" spans="1:19" x14ac:dyDescent="0.35">
      <c r="A433" t="s">
        <v>1771</v>
      </c>
      <c r="B433" t="s">
        <v>613</v>
      </c>
      <c r="C433" s="5">
        <v>45830</v>
      </c>
      <c r="E433" t="s">
        <v>304</v>
      </c>
      <c r="F433" t="s">
        <v>696</v>
      </c>
      <c r="G433" t="s">
        <v>243</v>
      </c>
      <c r="H433" t="s">
        <v>20</v>
      </c>
      <c r="I433" t="s">
        <v>43</v>
      </c>
      <c r="J433" t="s">
        <v>146</v>
      </c>
      <c r="K433" t="s">
        <v>798</v>
      </c>
      <c r="L433" t="s">
        <v>793</v>
      </c>
      <c r="M433" t="s">
        <v>788</v>
      </c>
      <c r="N433">
        <v>1</v>
      </c>
      <c r="O433" s="3">
        <v>24.05</v>
      </c>
      <c r="P433" s="3">
        <v>31.27</v>
      </c>
      <c r="Q433" s="6">
        <v>0</v>
      </c>
      <c r="R433" s="3">
        <v>31.27</v>
      </c>
      <c r="S433" t="s">
        <v>1017</v>
      </c>
    </row>
    <row r="434" spans="1:19" x14ac:dyDescent="0.35">
      <c r="A434" t="s">
        <v>1773</v>
      </c>
      <c r="B434" t="s">
        <v>459</v>
      </c>
      <c r="C434" s="5">
        <v>45586</v>
      </c>
      <c r="E434" t="s">
        <v>460</v>
      </c>
      <c r="F434" t="s">
        <v>674</v>
      </c>
      <c r="G434" t="s">
        <v>264</v>
      </c>
      <c r="H434" t="s">
        <v>797</v>
      </c>
      <c r="I434" t="s">
        <v>43</v>
      </c>
      <c r="J434" t="s">
        <v>171</v>
      </c>
      <c r="K434" t="s">
        <v>798</v>
      </c>
      <c r="L434" t="s">
        <v>793</v>
      </c>
      <c r="M434" t="s">
        <v>800</v>
      </c>
      <c r="N434">
        <v>3</v>
      </c>
      <c r="O434" s="3">
        <v>29.39</v>
      </c>
      <c r="P434" s="3">
        <v>39.68</v>
      </c>
      <c r="Q434" s="6">
        <v>0.15</v>
      </c>
      <c r="R434" s="3">
        <v>101.184</v>
      </c>
      <c r="S434" t="s">
        <v>825</v>
      </c>
    </row>
    <row r="435" spans="1:19" x14ac:dyDescent="0.35">
      <c r="A435" t="s">
        <v>1776</v>
      </c>
      <c r="B435" t="s">
        <v>367</v>
      </c>
      <c r="C435" s="5">
        <v>45485</v>
      </c>
      <c r="E435" t="s">
        <v>368</v>
      </c>
      <c r="F435" t="s">
        <v>696</v>
      </c>
      <c r="G435" t="s">
        <v>264</v>
      </c>
      <c r="H435" t="s">
        <v>20</v>
      </c>
      <c r="I435" t="s">
        <v>38</v>
      </c>
      <c r="J435" t="s">
        <v>117</v>
      </c>
      <c r="K435" t="s">
        <v>813</v>
      </c>
      <c r="L435" t="s">
        <v>817</v>
      </c>
      <c r="M435" t="s">
        <v>788</v>
      </c>
      <c r="N435">
        <v>1</v>
      </c>
      <c r="O435" s="3">
        <v>43.25</v>
      </c>
      <c r="P435" s="3">
        <v>60.55</v>
      </c>
      <c r="Q435" s="6">
        <v>0.1</v>
      </c>
      <c r="R435" s="3">
        <v>54.494999999999997</v>
      </c>
      <c r="S435" t="s">
        <v>845</v>
      </c>
    </row>
    <row r="436" spans="1:19" x14ac:dyDescent="0.35">
      <c r="A436" t="s">
        <v>1777</v>
      </c>
      <c r="B436" t="s">
        <v>547</v>
      </c>
      <c r="C436" s="5">
        <v>45546</v>
      </c>
      <c r="D436" s="5">
        <v>45550</v>
      </c>
      <c r="E436" t="s">
        <v>375</v>
      </c>
      <c r="F436" t="s">
        <v>681</v>
      </c>
      <c r="G436" t="s">
        <v>243</v>
      </c>
      <c r="H436" t="s">
        <v>14</v>
      </c>
      <c r="I436" t="s">
        <v>79</v>
      </c>
      <c r="J436" t="s">
        <v>220</v>
      </c>
      <c r="K436" t="s">
        <v>813</v>
      </c>
      <c r="L436" t="s">
        <v>799</v>
      </c>
      <c r="M436" t="s">
        <v>800</v>
      </c>
      <c r="N436">
        <v>3</v>
      </c>
      <c r="O436" s="3">
        <v>46</v>
      </c>
      <c r="P436" s="3">
        <v>62.1</v>
      </c>
      <c r="Q436" s="6">
        <v>0.15</v>
      </c>
      <c r="R436" s="3">
        <v>158.35500000000002</v>
      </c>
      <c r="S436" t="s">
        <v>935</v>
      </c>
    </row>
    <row r="437" spans="1:19" x14ac:dyDescent="0.35">
      <c r="A437" t="s">
        <v>1780</v>
      </c>
      <c r="B437" t="s">
        <v>590</v>
      </c>
      <c r="C437" s="5">
        <v>46022</v>
      </c>
      <c r="E437" t="s">
        <v>591</v>
      </c>
      <c r="F437" t="s">
        <v>696</v>
      </c>
      <c r="G437" t="s">
        <v>235</v>
      </c>
      <c r="H437" t="s">
        <v>20</v>
      </c>
      <c r="I437" t="s">
        <v>14</v>
      </c>
      <c r="J437" t="s">
        <v>111</v>
      </c>
      <c r="K437" t="s">
        <v>798</v>
      </c>
      <c r="L437" t="s">
        <v>787</v>
      </c>
      <c r="M437" t="s">
        <v>842</v>
      </c>
      <c r="N437">
        <v>2</v>
      </c>
      <c r="O437" s="3">
        <v>19.850000000000001</v>
      </c>
      <c r="P437" s="3">
        <v>28.78</v>
      </c>
      <c r="Q437" s="6">
        <v>0</v>
      </c>
      <c r="R437" s="3">
        <v>57.56</v>
      </c>
      <c r="S437" t="s">
        <v>1134</v>
      </c>
    </row>
    <row r="438" spans="1:19" x14ac:dyDescent="0.35">
      <c r="A438" t="s">
        <v>1781</v>
      </c>
      <c r="B438" t="s">
        <v>448</v>
      </c>
      <c r="C438" s="5">
        <v>45532</v>
      </c>
      <c r="D438" s="5">
        <v>45541</v>
      </c>
      <c r="E438" t="s">
        <v>427</v>
      </c>
      <c r="F438" t="s">
        <v>627</v>
      </c>
      <c r="G438" t="s">
        <v>243</v>
      </c>
      <c r="H438" t="s">
        <v>48</v>
      </c>
      <c r="I438" t="s">
        <v>38</v>
      </c>
      <c r="J438" t="s">
        <v>132</v>
      </c>
      <c r="K438" t="s">
        <v>786</v>
      </c>
      <c r="L438" t="s">
        <v>799</v>
      </c>
      <c r="M438" t="s">
        <v>842</v>
      </c>
      <c r="N438">
        <v>3</v>
      </c>
      <c r="O438" s="3">
        <v>12.71</v>
      </c>
      <c r="P438" s="3">
        <v>17.79</v>
      </c>
      <c r="Q438" s="6">
        <v>0</v>
      </c>
      <c r="R438" s="3">
        <v>53.37</v>
      </c>
      <c r="S438" t="s">
        <v>1017</v>
      </c>
    </row>
    <row r="439" spans="1:19" x14ac:dyDescent="0.35">
      <c r="A439" t="s">
        <v>1784</v>
      </c>
      <c r="B439" t="s">
        <v>425</v>
      </c>
      <c r="C439" s="5">
        <v>45926</v>
      </c>
      <c r="D439" s="5">
        <v>45931</v>
      </c>
      <c r="E439" t="s">
        <v>404</v>
      </c>
      <c r="F439" t="s">
        <v>696</v>
      </c>
      <c r="G439" t="s">
        <v>264</v>
      </c>
      <c r="H439" t="s">
        <v>14</v>
      </c>
      <c r="I439" t="s">
        <v>48</v>
      </c>
      <c r="J439" t="s">
        <v>177</v>
      </c>
      <c r="K439" t="s">
        <v>813</v>
      </c>
      <c r="L439" t="s">
        <v>822</v>
      </c>
      <c r="M439" t="s">
        <v>842</v>
      </c>
      <c r="N439">
        <v>2</v>
      </c>
      <c r="O439" s="3">
        <v>41.79</v>
      </c>
      <c r="P439" s="3">
        <v>60.6</v>
      </c>
      <c r="Q439" s="6">
        <v>0.1</v>
      </c>
      <c r="R439" s="3">
        <v>109.08</v>
      </c>
      <c r="S439" t="s">
        <v>810</v>
      </c>
    </row>
    <row r="440" spans="1:19" x14ac:dyDescent="0.35">
      <c r="A440" t="s">
        <v>1786</v>
      </c>
      <c r="B440" t="s">
        <v>507</v>
      </c>
      <c r="C440" s="5">
        <v>45465</v>
      </c>
      <c r="E440" t="s">
        <v>508</v>
      </c>
      <c r="F440" t="s">
        <v>633</v>
      </c>
      <c r="G440" t="s">
        <v>243</v>
      </c>
      <c r="H440" t="s">
        <v>20</v>
      </c>
      <c r="I440" t="s">
        <v>48</v>
      </c>
      <c r="J440" t="s">
        <v>135</v>
      </c>
      <c r="K440" t="s">
        <v>813</v>
      </c>
      <c r="L440" t="s">
        <v>793</v>
      </c>
      <c r="M440" t="s">
        <v>818</v>
      </c>
      <c r="N440">
        <v>10</v>
      </c>
      <c r="O440" s="3">
        <v>51.72</v>
      </c>
      <c r="P440" s="3">
        <v>67.239999999999995</v>
      </c>
      <c r="Q440" s="6">
        <v>0</v>
      </c>
      <c r="R440" s="3">
        <v>672.4</v>
      </c>
      <c r="S440" t="s">
        <v>1017</v>
      </c>
    </row>
    <row r="441" spans="1:19" x14ac:dyDescent="0.35">
      <c r="A441" t="s">
        <v>1787</v>
      </c>
      <c r="B441" t="s">
        <v>278</v>
      </c>
      <c r="C441" s="5">
        <v>45411</v>
      </c>
      <c r="E441" t="s">
        <v>279</v>
      </c>
      <c r="F441" t="s">
        <v>674</v>
      </c>
      <c r="G441" t="s">
        <v>235</v>
      </c>
      <c r="H441" t="s">
        <v>14</v>
      </c>
      <c r="I441" t="s">
        <v>29</v>
      </c>
      <c r="J441" t="s">
        <v>182</v>
      </c>
      <c r="K441" t="s">
        <v>786</v>
      </c>
      <c r="L441" t="s">
        <v>793</v>
      </c>
      <c r="M441" t="s">
        <v>800</v>
      </c>
      <c r="N441">
        <v>1</v>
      </c>
      <c r="O441" s="3">
        <v>19.77</v>
      </c>
      <c r="P441" s="3">
        <v>27.68</v>
      </c>
      <c r="Q441" s="6">
        <v>0.05</v>
      </c>
      <c r="R441" s="3">
        <v>26.295999999999999</v>
      </c>
      <c r="S441" t="s">
        <v>859</v>
      </c>
    </row>
    <row r="442" spans="1:19" x14ac:dyDescent="0.35">
      <c r="A442" t="s">
        <v>1789</v>
      </c>
      <c r="B442" t="s">
        <v>609</v>
      </c>
      <c r="C442" s="5">
        <v>45561</v>
      </c>
      <c r="E442" t="s">
        <v>610</v>
      </c>
      <c r="F442" t="s">
        <v>633</v>
      </c>
      <c r="H442" t="s">
        <v>14</v>
      </c>
      <c r="I442" t="s">
        <v>20</v>
      </c>
      <c r="J442" t="s">
        <v>134</v>
      </c>
      <c r="K442" t="s">
        <v>798</v>
      </c>
      <c r="L442" t="s">
        <v>787</v>
      </c>
      <c r="M442" t="s">
        <v>818</v>
      </c>
      <c r="N442">
        <v>10</v>
      </c>
      <c r="O442" s="3">
        <v>38.36</v>
      </c>
      <c r="P442" s="3">
        <v>53.7</v>
      </c>
      <c r="Q442" s="6">
        <v>0</v>
      </c>
      <c r="R442" s="3">
        <v>537</v>
      </c>
      <c r="S442" t="s">
        <v>790</v>
      </c>
    </row>
    <row r="443" spans="1:19" x14ac:dyDescent="0.35">
      <c r="A443" t="s">
        <v>1791</v>
      </c>
      <c r="B443" t="s">
        <v>485</v>
      </c>
      <c r="C443" s="5">
        <v>45965</v>
      </c>
      <c r="E443" t="s">
        <v>486</v>
      </c>
      <c r="F443" t="s">
        <v>254</v>
      </c>
      <c r="G443" t="s">
        <v>243</v>
      </c>
      <c r="H443" t="s">
        <v>797</v>
      </c>
      <c r="I443" t="s">
        <v>14</v>
      </c>
      <c r="J443" t="s">
        <v>56</v>
      </c>
      <c r="K443" t="s">
        <v>813</v>
      </c>
      <c r="L443" t="s">
        <v>793</v>
      </c>
      <c r="M443" t="s">
        <v>818</v>
      </c>
      <c r="N443">
        <v>3</v>
      </c>
      <c r="O443" s="3">
        <v>25.46</v>
      </c>
      <c r="P443" s="3">
        <v>31.83</v>
      </c>
      <c r="Q443" s="6">
        <v>0</v>
      </c>
      <c r="R443" s="3">
        <v>95.49</v>
      </c>
      <c r="S443" t="s">
        <v>810</v>
      </c>
    </row>
    <row r="444" spans="1:19" x14ac:dyDescent="0.35">
      <c r="A444" t="s">
        <v>1793</v>
      </c>
      <c r="B444" t="s">
        <v>483</v>
      </c>
      <c r="C444" s="5">
        <v>46014</v>
      </c>
      <c r="E444" t="s">
        <v>484</v>
      </c>
      <c r="F444" t="s">
        <v>254</v>
      </c>
      <c r="G444" t="s">
        <v>264</v>
      </c>
      <c r="H444" t="s">
        <v>48</v>
      </c>
      <c r="I444" t="s">
        <v>48</v>
      </c>
      <c r="J444" t="s">
        <v>61</v>
      </c>
      <c r="K444" t="s">
        <v>786</v>
      </c>
      <c r="L444" t="s">
        <v>787</v>
      </c>
      <c r="M444" t="s">
        <v>800</v>
      </c>
      <c r="N444">
        <v>1</v>
      </c>
      <c r="O444" s="3">
        <v>26.08</v>
      </c>
      <c r="P444" s="3">
        <v>35.21</v>
      </c>
      <c r="Q444" s="6">
        <v>0.15</v>
      </c>
      <c r="R444" s="3">
        <v>29.9285</v>
      </c>
      <c r="S444" t="s">
        <v>790</v>
      </c>
    </row>
    <row r="445" spans="1:19" x14ac:dyDescent="0.35">
      <c r="A445" t="s">
        <v>1794</v>
      </c>
      <c r="B445" t="s">
        <v>507</v>
      </c>
      <c r="C445" s="5">
        <v>45788</v>
      </c>
      <c r="E445" t="s">
        <v>508</v>
      </c>
      <c r="F445" t="s">
        <v>254</v>
      </c>
      <c r="G445" t="s">
        <v>243</v>
      </c>
      <c r="H445" t="s">
        <v>20</v>
      </c>
      <c r="I445" t="s">
        <v>8</v>
      </c>
      <c r="J445" t="s">
        <v>21</v>
      </c>
      <c r="K445" t="s">
        <v>786</v>
      </c>
      <c r="L445" t="s">
        <v>787</v>
      </c>
      <c r="M445" t="s">
        <v>842</v>
      </c>
      <c r="N445">
        <v>10</v>
      </c>
      <c r="O445" s="3">
        <v>21.57</v>
      </c>
      <c r="P445" s="3">
        <v>26.96</v>
      </c>
      <c r="Q445" s="6">
        <v>0</v>
      </c>
      <c r="R445" s="3">
        <v>269.60000000000002</v>
      </c>
      <c r="S445" t="s">
        <v>859</v>
      </c>
    </row>
    <row r="446" spans="1:19" x14ac:dyDescent="0.35">
      <c r="A446" t="s">
        <v>1796</v>
      </c>
      <c r="B446" t="s">
        <v>605</v>
      </c>
      <c r="C446" s="5">
        <v>45476</v>
      </c>
      <c r="D446" s="5">
        <v>45485</v>
      </c>
      <c r="E446" t="s">
        <v>389</v>
      </c>
      <c r="F446" t="s">
        <v>627</v>
      </c>
      <c r="G446" t="s">
        <v>264</v>
      </c>
      <c r="H446" t="s">
        <v>20</v>
      </c>
      <c r="I446" t="s">
        <v>48</v>
      </c>
      <c r="J446" t="s">
        <v>148</v>
      </c>
      <c r="K446" t="s">
        <v>798</v>
      </c>
      <c r="L446" t="s">
        <v>799</v>
      </c>
      <c r="M446" t="s">
        <v>788</v>
      </c>
      <c r="N446">
        <v>20</v>
      </c>
      <c r="O446" s="3">
        <v>58.01</v>
      </c>
      <c r="P446" s="3">
        <v>72.510000000000005</v>
      </c>
      <c r="Q446" s="6">
        <v>0.1</v>
      </c>
      <c r="R446" s="3">
        <v>1305.18</v>
      </c>
      <c r="S446" t="s">
        <v>839</v>
      </c>
    </row>
    <row r="447" spans="1:19" x14ac:dyDescent="0.35">
      <c r="A447" t="s">
        <v>1798</v>
      </c>
      <c r="B447" t="s">
        <v>474</v>
      </c>
      <c r="C447" s="5">
        <v>45876</v>
      </c>
      <c r="E447" t="s">
        <v>330</v>
      </c>
      <c r="F447" t="s">
        <v>254</v>
      </c>
      <c r="G447" t="s">
        <v>235</v>
      </c>
      <c r="H447" t="s">
        <v>797</v>
      </c>
      <c r="I447" t="s">
        <v>29</v>
      </c>
      <c r="J447" t="s">
        <v>123</v>
      </c>
      <c r="K447" t="s">
        <v>798</v>
      </c>
      <c r="L447" t="s">
        <v>787</v>
      </c>
      <c r="M447" t="s">
        <v>800</v>
      </c>
      <c r="N447">
        <v>10</v>
      </c>
      <c r="O447" s="3">
        <v>20.7</v>
      </c>
      <c r="P447" s="3">
        <v>30.01</v>
      </c>
      <c r="Q447" s="6">
        <v>0</v>
      </c>
      <c r="R447" s="3">
        <v>300.10000000000002</v>
      </c>
      <c r="S447" t="s">
        <v>859</v>
      </c>
    </row>
    <row r="448" spans="1:19" x14ac:dyDescent="0.35">
      <c r="A448" t="s">
        <v>1799</v>
      </c>
      <c r="B448" t="s">
        <v>465</v>
      </c>
      <c r="C448" s="5">
        <v>45989</v>
      </c>
      <c r="D448" s="5">
        <v>45997</v>
      </c>
      <c r="E448" t="s">
        <v>348</v>
      </c>
      <c r="F448" t="s">
        <v>633</v>
      </c>
      <c r="G448" t="s">
        <v>264</v>
      </c>
      <c r="H448" t="s">
        <v>14</v>
      </c>
      <c r="I448" t="s">
        <v>48</v>
      </c>
      <c r="J448" t="s">
        <v>219</v>
      </c>
      <c r="K448" t="s">
        <v>786</v>
      </c>
      <c r="L448" t="s">
        <v>799</v>
      </c>
      <c r="M448" t="s">
        <v>788</v>
      </c>
      <c r="N448">
        <v>10</v>
      </c>
      <c r="O448" s="3">
        <v>12.9</v>
      </c>
      <c r="P448" s="3">
        <v>18.7</v>
      </c>
      <c r="Q448" s="6">
        <v>0</v>
      </c>
      <c r="R448" s="3">
        <v>187</v>
      </c>
      <c r="S448" t="s">
        <v>834</v>
      </c>
    </row>
    <row r="449" spans="1:19" x14ac:dyDescent="0.35">
      <c r="A449" t="s">
        <v>1801</v>
      </c>
      <c r="B449" t="s">
        <v>493</v>
      </c>
      <c r="C449" s="5">
        <v>46016</v>
      </c>
      <c r="E449" t="s">
        <v>311</v>
      </c>
      <c r="F449" t="s">
        <v>681</v>
      </c>
      <c r="G449" t="s">
        <v>243</v>
      </c>
      <c r="H449" t="s">
        <v>48</v>
      </c>
      <c r="I449" t="s">
        <v>14</v>
      </c>
      <c r="J449" t="s">
        <v>194</v>
      </c>
      <c r="K449" t="s">
        <v>798</v>
      </c>
      <c r="L449" t="s">
        <v>787</v>
      </c>
      <c r="M449" t="s">
        <v>842</v>
      </c>
      <c r="N449">
        <v>3</v>
      </c>
      <c r="O449" s="3">
        <v>20.32</v>
      </c>
      <c r="P449" s="3">
        <v>25.4</v>
      </c>
      <c r="Q449" s="6">
        <v>0.15</v>
      </c>
      <c r="R449" s="3">
        <v>64.77</v>
      </c>
      <c r="S449" t="s">
        <v>946</v>
      </c>
    </row>
    <row r="450" spans="1:19" x14ac:dyDescent="0.35">
      <c r="A450" t="s">
        <v>1802</v>
      </c>
      <c r="B450" t="s">
        <v>599</v>
      </c>
      <c r="C450" s="5">
        <v>45755</v>
      </c>
      <c r="E450" t="s">
        <v>600</v>
      </c>
      <c r="F450" t="s">
        <v>681</v>
      </c>
      <c r="G450" t="s">
        <v>243</v>
      </c>
      <c r="H450" t="s">
        <v>48</v>
      </c>
      <c r="I450" t="s">
        <v>43</v>
      </c>
      <c r="J450" t="s">
        <v>53</v>
      </c>
      <c r="K450" t="s">
        <v>786</v>
      </c>
      <c r="L450" t="s">
        <v>787</v>
      </c>
      <c r="M450" t="s">
        <v>842</v>
      </c>
      <c r="N450">
        <v>10</v>
      </c>
      <c r="O450" s="3">
        <v>54.93</v>
      </c>
      <c r="P450" s="3">
        <v>79.650000000000006</v>
      </c>
      <c r="Q450" s="6">
        <v>0.15</v>
      </c>
      <c r="R450" s="3">
        <v>677.02499999999998</v>
      </c>
      <c r="S450" t="s">
        <v>859</v>
      </c>
    </row>
    <row r="451" spans="1:19" x14ac:dyDescent="0.35">
      <c r="A451" t="s">
        <v>1803</v>
      </c>
      <c r="B451" t="s">
        <v>604</v>
      </c>
      <c r="C451" s="5">
        <v>45622</v>
      </c>
      <c r="E451" t="s">
        <v>431</v>
      </c>
      <c r="F451" t="s">
        <v>254</v>
      </c>
      <c r="G451" t="s">
        <v>243</v>
      </c>
      <c r="H451" t="s">
        <v>14</v>
      </c>
      <c r="I451" t="s">
        <v>20</v>
      </c>
      <c r="J451" t="s">
        <v>51</v>
      </c>
      <c r="K451" t="s">
        <v>798</v>
      </c>
      <c r="L451" t="s">
        <v>787</v>
      </c>
      <c r="M451" t="s">
        <v>800</v>
      </c>
      <c r="N451">
        <v>3</v>
      </c>
      <c r="O451" s="3">
        <v>11.28</v>
      </c>
      <c r="P451" s="3">
        <v>15.23</v>
      </c>
      <c r="Q451" s="6">
        <v>0</v>
      </c>
      <c r="R451" s="3">
        <v>45.69</v>
      </c>
      <c r="S451" t="s">
        <v>794</v>
      </c>
    </row>
    <row r="452" spans="1:19" x14ac:dyDescent="0.35">
      <c r="A452" t="s">
        <v>1804</v>
      </c>
      <c r="B452" t="s">
        <v>257</v>
      </c>
      <c r="C452" s="5">
        <v>45700</v>
      </c>
      <c r="E452" t="s">
        <v>258</v>
      </c>
      <c r="F452" t="s">
        <v>637</v>
      </c>
      <c r="G452" t="s">
        <v>235</v>
      </c>
      <c r="H452" t="s">
        <v>797</v>
      </c>
      <c r="I452" t="s">
        <v>14</v>
      </c>
      <c r="J452" t="s">
        <v>67</v>
      </c>
      <c r="K452" t="s">
        <v>798</v>
      </c>
      <c r="L452" t="s">
        <v>793</v>
      </c>
      <c r="M452" t="s">
        <v>788</v>
      </c>
      <c r="N452">
        <v>20</v>
      </c>
      <c r="O452" s="3">
        <v>17.63</v>
      </c>
      <c r="P452" s="3">
        <v>22.92</v>
      </c>
      <c r="Q452" s="6">
        <v>0</v>
      </c>
      <c r="R452" s="3">
        <v>458.40000000000003</v>
      </c>
      <c r="S452" t="s">
        <v>859</v>
      </c>
    </row>
    <row r="453" spans="1:19" x14ac:dyDescent="0.35">
      <c r="A453" t="s">
        <v>1806</v>
      </c>
      <c r="B453" t="s">
        <v>601</v>
      </c>
      <c r="C453" s="5">
        <v>45794</v>
      </c>
      <c r="D453" s="5">
        <v>45800</v>
      </c>
      <c r="E453" t="s">
        <v>602</v>
      </c>
      <c r="F453" t="s">
        <v>637</v>
      </c>
      <c r="G453" t="s">
        <v>235</v>
      </c>
      <c r="H453" t="s">
        <v>48</v>
      </c>
      <c r="I453" t="s">
        <v>20</v>
      </c>
      <c r="J453" t="s">
        <v>102</v>
      </c>
      <c r="K453" t="s">
        <v>786</v>
      </c>
      <c r="L453" t="s">
        <v>799</v>
      </c>
      <c r="M453" t="s">
        <v>800</v>
      </c>
      <c r="N453">
        <v>10</v>
      </c>
      <c r="O453" s="3">
        <v>19.04</v>
      </c>
      <c r="P453" s="3">
        <v>25.7</v>
      </c>
      <c r="Q453" s="6">
        <v>0.15</v>
      </c>
      <c r="R453" s="3">
        <v>218.45</v>
      </c>
      <c r="S453" t="s">
        <v>919</v>
      </c>
    </row>
    <row r="454" spans="1:19" x14ac:dyDescent="0.35">
      <c r="A454" t="s">
        <v>1807</v>
      </c>
      <c r="B454" t="s">
        <v>506</v>
      </c>
      <c r="C454" s="5">
        <v>45816</v>
      </c>
      <c r="D454" s="5">
        <v>45822</v>
      </c>
      <c r="E454" t="s">
        <v>287</v>
      </c>
      <c r="F454" t="s">
        <v>696</v>
      </c>
      <c r="G454" t="s">
        <v>243</v>
      </c>
      <c r="H454" t="s">
        <v>20</v>
      </c>
      <c r="I454" t="s">
        <v>8</v>
      </c>
      <c r="J454" t="s">
        <v>174</v>
      </c>
      <c r="K454" t="s">
        <v>798</v>
      </c>
      <c r="L454" t="s">
        <v>799</v>
      </c>
      <c r="M454" t="s">
        <v>818</v>
      </c>
      <c r="N454">
        <v>3</v>
      </c>
      <c r="O454" s="3">
        <v>32.53</v>
      </c>
      <c r="P454" s="3">
        <v>43.92</v>
      </c>
      <c r="Q454" s="6">
        <v>0</v>
      </c>
      <c r="R454" s="3">
        <v>131.76</v>
      </c>
      <c r="S454" t="s">
        <v>876</v>
      </c>
    </row>
    <row r="455" spans="1:19" x14ac:dyDescent="0.35">
      <c r="A455" t="s">
        <v>1810</v>
      </c>
      <c r="B455" t="s">
        <v>483</v>
      </c>
      <c r="C455" s="5">
        <v>45920</v>
      </c>
      <c r="E455" t="s">
        <v>484</v>
      </c>
      <c r="F455" t="s">
        <v>681</v>
      </c>
      <c r="G455" t="s">
        <v>264</v>
      </c>
      <c r="H455" t="s">
        <v>797</v>
      </c>
      <c r="I455" t="s">
        <v>29</v>
      </c>
      <c r="J455" t="s">
        <v>145</v>
      </c>
      <c r="K455" t="s">
        <v>813</v>
      </c>
      <c r="L455" t="s">
        <v>793</v>
      </c>
      <c r="M455" t="s">
        <v>818</v>
      </c>
      <c r="N455">
        <v>1</v>
      </c>
      <c r="O455" s="3">
        <v>57.16</v>
      </c>
      <c r="P455" s="3">
        <v>82.88</v>
      </c>
      <c r="Q455" s="6">
        <v>0.15</v>
      </c>
      <c r="R455" s="3">
        <v>70.447999999999993</v>
      </c>
      <c r="S455" t="s">
        <v>794</v>
      </c>
    </row>
    <row r="456" spans="1:19" x14ac:dyDescent="0.35">
      <c r="A456" t="s">
        <v>1811</v>
      </c>
      <c r="B456" t="s">
        <v>507</v>
      </c>
      <c r="C456" s="5">
        <v>45955</v>
      </c>
      <c r="E456" t="s">
        <v>508</v>
      </c>
      <c r="F456" t="s">
        <v>627</v>
      </c>
      <c r="G456" t="s">
        <v>243</v>
      </c>
      <c r="H456" t="s">
        <v>14</v>
      </c>
      <c r="I456" t="s">
        <v>8</v>
      </c>
      <c r="J456" t="s">
        <v>101</v>
      </c>
      <c r="K456" t="s">
        <v>798</v>
      </c>
      <c r="L456" t="s">
        <v>793</v>
      </c>
      <c r="M456" t="s">
        <v>818</v>
      </c>
      <c r="N456">
        <v>2</v>
      </c>
      <c r="O456" s="3">
        <v>16.510000000000002</v>
      </c>
      <c r="P456" s="3">
        <v>23.94</v>
      </c>
      <c r="Q456" s="6">
        <v>0</v>
      </c>
      <c r="R456" s="3">
        <v>47.88</v>
      </c>
      <c r="S456" t="s">
        <v>819</v>
      </c>
    </row>
    <row r="457" spans="1:19" x14ac:dyDescent="0.35">
      <c r="A457" t="s">
        <v>1813</v>
      </c>
      <c r="B457" t="s">
        <v>339</v>
      </c>
      <c r="C457" s="5">
        <v>45599</v>
      </c>
      <c r="D457" s="5">
        <v>45608</v>
      </c>
      <c r="E457" t="s">
        <v>340</v>
      </c>
      <c r="F457" t="s">
        <v>681</v>
      </c>
      <c r="G457" t="s">
        <v>264</v>
      </c>
      <c r="H457" t="s">
        <v>48</v>
      </c>
      <c r="I457" t="s">
        <v>29</v>
      </c>
      <c r="J457" t="s">
        <v>183</v>
      </c>
      <c r="K457" t="s">
        <v>786</v>
      </c>
      <c r="L457" t="s">
        <v>799</v>
      </c>
      <c r="M457" t="s">
        <v>800</v>
      </c>
      <c r="N457">
        <v>2</v>
      </c>
      <c r="O457" s="3">
        <v>10.97</v>
      </c>
      <c r="P457" s="3">
        <v>15.91</v>
      </c>
      <c r="Q457" s="6">
        <v>0.1</v>
      </c>
      <c r="R457" s="3">
        <v>28.637999999999998</v>
      </c>
      <c r="S457" t="s">
        <v>829</v>
      </c>
    </row>
    <row r="458" spans="1:19" x14ac:dyDescent="0.35">
      <c r="A458" t="s">
        <v>1814</v>
      </c>
      <c r="B458" t="s">
        <v>516</v>
      </c>
      <c r="C458" s="5">
        <v>45370</v>
      </c>
      <c r="D458" s="5">
        <v>45380</v>
      </c>
      <c r="E458" t="s">
        <v>517</v>
      </c>
      <c r="F458" t="s">
        <v>254</v>
      </c>
      <c r="G458" t="s">
        <v>243</v>
      </c>
      <c r="H458" t="s">
        <v>14</v>
      </c>
      <c r="I458" t="s">
        <v>79</v>
      </c>
      <c r="J458" t="s">
        <v>220</v>
      </c>
      <c r="K458" t="s">
        <v>798</v>
      </c>
      <c r="L458" t="s">
        <v>799</v>
      </c>
      <c r="M458" t="s">
        <v>800</v>
      </c>
      <c r="N458">
        <v>3</v>
      </c>
      <c r="O458" s="3">
        <v>46</v>
      </c>
      <c r="P458" s="3">
        <v>62.1</v>
      </c>
      <c r="Q458" s="6">
        <v>0</v>
      </c>
      <c r="R458" s="3">
        <v>186.3</v>
      </c>
      <c r="S458" t="s">
        <v>1017</v>
      </c>
    </row>
    <row r="459" spans="1:19" x14ac:dyDescent="0.35">
      <c r="A459" t="s">
        <v>1816</v>
      </c>
      <c r="B459" t="s">
        <v>252</v>
      </c>
      <c r="C459" s="5">
        <v>45375</v>
      </c>
      <c r="D459" s="5">
        <v>45382</v>
      </c>
      <c r="E459" t="s">
        <v>253</v>
      </c>
      <c r="F459" t="s">
        <v>254</v>
      </c>
      <c r="G459" t="s">
        <v>243</v>
      </c>
      <c r="H459" t="s">
        <v>20</v>
      </c>
      <c r="I459" t="s">
        <v>48</v>
      </c>
      <c r="J459" t="s">
        <v>202</v>
      </c>
      <c r="K459" t="s">
        <v>798</v>
      </c>
      <c r="L459" t="s">
        <v>799</v>
      </c>
      <c r="M459" t="s">
        <v>818</v>
      </c>
      <c r="N459">
        <v>20</v>
      </c>
      <c r="O459" s="3">
        <v>27</v>
      </c>
      <c r="P459" s="3">
        <v>39.15</v>
      </c>
      <c r="Q459" s="6">
        <v>0</v>
      </c>
      <c r="R459" s="3">
        <v>783</v>
      </c>
      <c r="S459" t="s">
        <v>834</v>
      </c>
    </row>
    <row r="460" spans="1:19" x14ac:dyDescent="0.35">
      <c r="A460" t="s">
        <v>1817</v>
      </c>
      <c r="B460" t="s">
        <v>430</v>
      </c>
      <c r="C460" s="5">
        <v>46013</v>
      </c>
      <c r="D460" s="5">
        <v>46017</v>
      </c>
      <c r="E460" t="s">
        <v>431</v>
      </c>
      <c r="F460" t="s">
        <v>627</v>
      </c>
      <c r="G460" t="s">
        <v>264</v>
      </c>
      <c r="H460" t="s">
        <v>20</v>
      </c>
      <c r="I460" t="s">
        <v>8</v>
      </c>
      <c r="J460" t="s">
        <v>91</v>
      </c>
      <c r="K460" t="s">
        <v>786</v>
      </c>
      <c r="L460" t="s">
        <v>799</v>
      </c>
      <c r="M460" t="s">
        <v>800</v>
      </c>
      <c r="N460">
        <v>3</v>
      </c>
      <c r="O460" s="3">
        <v>36.82</v>
      </c>
      <c r="P460" s="3">
        <v>47.87</v>
      </c>
      <c r="Q460" s="6">
        <v>0</v>
      </c>
      <c r="R460" s="3">
        <v>143.60999999999999</v>
      </c>
      <c r="S460" t="s">
        <v>810</v>
      </c>
    </row>
    <row r="461" spans="1:19" x14ac:dyDescent="0.35">
      <c r="A461" t="s">
        <v>1819</v>
      </c>
      <c r="B461" t="s">
        <v>605</v>
      </c>
      <c r="C461" s="5">
        <v>45481</v>
      </c>
      <c r="D461" s="5">
        <v>45483</v>
      </c>
      <c r="E461" t="s">
        <v>389</v>
      </c>
      <c r="F461" t="s">
        <v>627</v>
      </c>
      <c r="G461" t="s">
        <v>264</v>
      </c>
      <c r="H461" t="s">
        <v>797</v>
      </c>
      <c r="I461" t="s">
        <v>38</v>
      </c>
      <c r="J461" t="s">
        <v>36</v>
      </c>
      <c r="K461" t="s">
        <v>798</v>
      </c>
      <c r="L461" t="s">
        <v>799</v>
      </c>
      <c r="M461" t="s">
        <v>842</v>
      </c>
      <c r="N461">
        <v>12</v>
      </c>
      <c r="O461" s="3">
        <v>8.57</v>
      </c>
      <c r="P461" s="3">
        <v>11.14</v>
      </c>
      <c r="Q461" s="6">
        <v>0</v>
      </c>
      <c r="R461" s="3">
        <v>133.68</v>
      </c>
      <c r="S461" t="s">
        <v>935</v>
      </c>
    </row>
    <row r="462" spans="1:19" x14ac:dyDescent="0.35">
      <c r="A462" t="s">
        <v>1820</v>
      </c>
      <c r="B462" t="s">
        <v>572</v>
      </c>
      <c r="C462" s="5">
        <v>45305</v>
      </c>
      <c r="D462" s="5">
        <v>45315</v>
      </c>
      <c r="E462" t="s">
        <v>304</v>
      </c>
      <c r="F462" t="s">
        <v>696</v>
      </c>
      <c r="G462" t="s">
        <v>235</v>
      </c>
      <c r="H462" t="s">
        <v>14</v>
      </c>
      <c r="I462" t="s">
        <v>14</v>
      </c>
      <c r="J462" t="s">
        <v>63</v>
      </c>
      <c r="K462" t="s">
        <v>798</v>
      </c>
      <c r="L462" t="s">
        <v>799</v>
      </c>
      <c r="M462" t="s">
        <v>818</v>
      </c>
      <c r="N462">
        <v>1</v>
      </c>
      <c r="O462" s="3">
        <v>13.03</v>
      </c>
      <c r="P462" s="3">
        <v>16.29</v>
      </c>
      <c r="Q462" s="6">
        <v>0</v>
      </c>
      <c r="R462" s="3">
        <v>16.29</v>
      </c>
      <c r="S462" t="s">
        <v>946</v>
      </c>
    </row>
    <row r="463" spans="1:19" x14ac:dyDescent="0.35">
      <c r="A463" t="s">
        <v>1821</v>
      </c>
      <c r="B463" t="s">
        <v>425</v>
      </c>
      <c r="C463" s="5">
        <v>45661</v>
      </c>
      <c r="E463" t="s">
        <v>404</v>
      </c>
      <c r="F463" t="s">
        <v>254</v>
      </c>
      <c r="G463" t="s">
        <v>264</v>
      </c>
      <c r="H463" t="s">
        <v>797</v>
      </c>
      <c r="I463" t="s">
        <v>29</v>
      </c>
      <c r="J463" t="s">
        <v>183</v>
      </c>
      <c r="K463" t="s">
        <v>813</v>
      </c>
      <c r="L463" t="s">
        <v>787</v>
      </c>
      <c r="M463" t="s">
        <v>842</v>
      </c>
      <c r="N463">
        <v>1</v>
      </c>
      <c r="O463" s="3">
        <v>10.97</v>
      </c>
      <c r="P463" s="3">
        <v>15.91</v>
      </c>
      <c r="Q463" s="6">
        <v>0.15</v>
      </c>
      <c r="R463" s="3">
        <v>13.5235</v>
      </c>
      <c r="S463" t="s">
        <v>963</v>
      </c>
    </row>
    <row r="464" spans="1:19" x14ac:dyDescent="0.35">
      <c r="A464" t="s">
        <v>1823</v>
      </c>
      <c r="B464" t="s">
        <v>502</v>
      </c>
      <c r="C464" s="5">
        <v>45319</v>
      </c>
      <c r="D464" s="5">
        <v>45327</v>
      </c>
      <c r="E464" t="s">
        <v>503</v>
      </c>
      <c r="F464" t="s">
        <v>681</v>
      </c>
      <c r="G464" t="s">
        <v>235</v>
      </c>
      <c r="H464" t="s">
        <v>797</v>
      </c>
      <c r="I464" t="s">
        <v>8</v>
      </c>
      <c r="J464" t="s">
        <v>192</v>
      </c>
      <c r="K464" t="s">
        <v>798</v>
      </c>
      <c r="L464" t="s">
        <v>799</v>
      </c>
      <c r="M464" t="s">
        <v>788</v>
      </c>
      <c r="N464">
        <v>20</v>
      </c>
      <c r="O464" s="3">
        <v>19.47</v>
      </c>
      <c r="P464" s="3">
        <v>28.23</v>
      </c>
      <c r="Q464" s="6">
        <v>0</v>
      </c>
      <c r="R464" s="3">
        <v>564.6</v>
      </c>
      <c r="S464" t="s">
        <v>859</v>
      </c>
    </row>
    <row r="465" spans="1:19" x14ac:dyDescent="0.35">
      <c r="A465" t="s">
        <v>1824</v>
      </c>
      <c r="B465" t="s">
        <v>477</v>
      </c>
      <c r="C465" s="5">
        <v>45443</v>
      </c>
      <c r="D465" s="5">
        <v>45444</v>
      </c>
      <c r="E465" t="s">
        <v>478</v>
      </c>
      <c r="F465" t="s">
        <v>254</v>
      </c>
      <c r="G465" t="s">
        <v>243</v>
      </c>
      <c r="H465" t="s">
        <v>797</v>
      </c>
      <c r="I465" t="s">
        <v>29</v>
      </c>
      <c r="J465" t="s">
        <v>158</v>
      </c>
      <c r="K465" t="s">
        <v>786</v>
      </c>
      <c r="L465" t="s">
        <v>799</v>
      </c>
      <c r="M465" t="s">
        <v>818</v>
      </c>
      <c r="N465">
        <v>10</v>
      </c>
      <c r="O465" s="3">
        <v>25.8</v>
      </c>
      <c r="P465" s="3">
        <v>36.119999999999997</v>
      </c>
      <c r="Q465" s="6">
        <v>0.05</v>
      </c>
      <c r="R465" s="3">
        <v>343.14</v>
      </c>
      <c r="S465" t="s">
        <v>819</v>
      </c>
    </row>
    <row r="466" spans="1:19" x14ac:dyDescent="0.35">
      <c r="A466" t="s">
        <v>1825</v>
      </c>
      <c r="B466" t="s">
        <v>398</v>
      </c>
      <c r="C466" s="5">
        <v>45752</v>
      </c>
      <c r="E466" t="s">
        <v>399</v>
      </c>
      <c r="F466" t="s">
        <v>674</v>
      </c>
      <c r="G466" t="s">
        <v>264</v>
      </c>
      <c r="H466" t="s">
        <v>797</v>
      </c>
      <c r="I466" t="s">
        <v>14</v>
      </c>
      <c r="J466" t="s">
        <v>90</v>
      </c>
      <c r="K466" t="s">
        <v>786</v>
      </c>
      <c r="L466" t="s">
        <v>793</v>
      </c>
      <c r="M466" t="s">
        <v>800</v>
      </c>
      <c r="N466">
        <v>5</v>
      </c>
      <c r="O466" s="3">
        <v>27.34</v>
      </c>
      <c r="P466" s="3">
        <v>39.64</v>
      </c>
      <c r="Q466" s="6">
        <v>0</v>
      </c>
      <c r="R466" s="3">
        <v>198.2</v>
      </c>
      <c r="S466" t="s">
        <v>919</v>
      </c>
    </row>
    <row r="467" spans="1:19" x14ac:dyDescent="0.35">
      <c r="A467" t="s">
        <v>1826</v>
      </c>
      <c r="B467" t="s">
        <v>474</v>
      </c>
      <c r="C467" s="5">
        <v>45937</v>
      </c>
      <c r="D467" s="5">
        <v>45944</v>
      </c>
      <c r="E467" t="s">
        <v>330</v>
      </c>
      <c r="F467" t="s">
        <v>637</v>
      </c>
      <c r="G467" t="s">
        <v>235</v>
      </c>
      <c r="H467" t="s">
        <v>14</v>
      </c>
      <c r="I467" t="s">
        <v>20</v>
      </c>
      <c r="J467" t="s">
        <v>134</v>
      </c>
      <c r="K467" t="s">
        <v>798</v>
      </c>
      <c r="L467" t="s">
        <v>799</v>
      </c>
      <c r="M467" t="s">
        <v>800</v>
      </c>
      <c r="N467">
        <v>10</v>
      </c>
      <c r="O467" s="3">
        <v>38.36</v>
      </c>
      <c r="P467" s="3">
        <v>53.7</v>
      </c>
      <c r="Q467" s="6">
        <v>0</v>
      </c>
      <c r="R467" s="3">
        <v>537</v>
      </c>
      <c r="S467" t="s">
        <v>819</v>
      </c>
    </row>
    <row r="468" spans="1:19" x14ac:dyDescent="0.35">
      <c r="A468" t="s">
        <v>1827</v>
      </c>
      <c r="B468" t="s">
        <v>550</v>
      </c>
      <c r="C468" s="5">
        <v>45789</v>
      </c>
      <c r="D468" s="5">
        <v>45790</v>
      </c>
      <c r="E468" t="s">
        <v>408</v>
      </c>
      <c r="F468" t="s">
        <v>681</v>
      </c>
      <c r="G468" t="s">
        <v>243</v>
      </c>
      <c r="H468" t="s">
        <v>14</v>
      </c>
      <c r="I468" t="s">
        <v>48</v>
      </c>
      <c r="J468" t="s">
        <v>210</v>
      </c>
      <c r="K468" t="s">
        <v>798</v>
      </c>
      <c r="L468" t="s">
        <v>799</v>
      </c>
      <c r="M468" t="s">
        <v>818</v>
      </c>
      <c r="N468">
        <v>1</v>
      </c>
      <c r="O468" s="3">
        <v>25.36</v>
      </c>
      <c r="P468" s="3">
        <v>34.24</v>
      </c>
      <c r="Q468" s="6">
        <v>0</v>
      </c>
      <c r="R468" s="3">
        <v>34.24</v>
      </c>
      <c r="S468" t="s">
        <v>1001</v>
      </c>
    </row>
    <row r="469" spans="1:19" x14ac:dyDescent="0.35">
      <c r="A469" t="s">
        <v>1830</v>
      </c>
      <c r="B469" t="s">
        <v>477</v>
      </c>
      <c r="C469" s="5">
        <v>45832</v>
      </c>
      <c r="D469" s="5">
        <v>45840</v>
      </c>
      <c r="E469" t="s">
        <v>478</v>
      </c>
      <c r="F469" t="s">
        <v>627</v>
      </c>
      <c r="G469" t="s">
        <v>243</v>
      </c>
      <c r="H469" t="s">
        <v>797</v>
      </c>
      <c r="I469" t="s">
        <v>20</v>
      </c>
      <c r="J469" t="s">
        <v>18</v>
      </c>
      <c r="K469" t="s">
        <v>813</v>
      </c>
      <c r="L469" t="s">
        <v>822</v>
      </c>
      <c r="M469" t="s">
        <v>818</v>
      </c>
      <c r="N469">
        <v>2</v>
      </c>
      <c r="O469" s="3">
        <v>21.57</v>
      </c>
      <c r="P469" s="3">
        <v>26.96</v>
      </c>
      <c r="Q469" s="6">
        <v>0.05</v>
      </c>
      <c r="R469" s="3">
        <v>51.224000000000004</v>
      </c>
      <c r="S469" t="s">
        <v>919</v>
      </c>
    </row>
    <row r="470" spans="1:19" x14ac:dyDescent="0.35">
      <c r="A470" t="s">
        <v>1832</v>
      </c>
      <c r="B470" t="s">
        <v>444</v>
      </c>
      <c r="C470" s="5">
        <v>45929</v>
      </c>
      <c r="E470" t="s">
        <v>445</v>
      </c>
      <c r="F470" t="s">
        <v>696</v>
      </c>
      <c r="G470" t="s">
        <v>264</v>
      </c>
      <c r="H470" t="s">
        <v>14</v>
      </c>
      <c r="I470" t="s">
        <v>8</v>
      </c>
      <c r="J470" t="s">
        <v>65</v>
      </c>
      <c r="K470" t="s">
        <v>813</v>
      </c>
      <c r="L470" t="s">
        <v>793</v>
      </c>
      <c r="M470" t="s">
        <v>788</v>
      </c>
      <c r="N470">
        <v>1</v>
      </c>
      <c r="O470" s="3">
        <v>30.16</v>
      </c>
      <c r="P470" s="3">
        <v>40.72</v>
      </c>
      <c r="Q470" s="6">
        <v>0.05</v>
      </c>
      <c r="R470" s="3">
        <v>38.683999999999997</v>
      </c>
      <c r="S470" t="s">
        <v>814</v>
      </c>
    </row>
    <row r="471" spans="1:19" x14ac:dyDescent="0.35">
      <c r="A471" t="s">
        <v>1833</v>
      </c>
      <c r="B471" t="s">
        <v>513</v>
      </c>
      <c r="C471" s="5">
        <v>45740</v>
      </c>
      <c r="D471" s="5">
        <v>45747</v>
      </c>
      <c r="E471" t="s">
        <v>514</v>
      </c>
      <c r="F471" t="s">
        <v>674</v>
      </c>
      <c r="G471" t="s">
        <v>264</v>
      </c>
      <c r="H471" t="s">
        <v>14</v>
      </c>
      <c r="I471" t="s">
        <v>43</v>
      </c>
      <c r="J471" t="s">
        <v>44</v>
      </c>
      <c r="K471" t="s">
        <v>798</v>
      </c>
      <c r="L471" t="s">
        <v>822</v>
      </c>
      <c r="M471" t="s">
        <v>818</v>
      </c>
      <c r="N471">
        <v>2</v>
      </c>
      <c r="O471" s="3">
        <v>14.05</v>
      </c>
      <c r="P471" s="3">
        <v>19.670000000000002</v>
      </c>
      <c r="Q471" s="6">
        <v>0</v>
      </c>
      <c r="R471" s="3">
        <v>39.340000000000003</v>
      </c>
      <c r="S471" t="s">
        <v>859</v>
      </c>
    </row>
    <row r="472" spans="1:19" x14ac:dyDescent="0.35">
      <c r="A472" t="s">
        <v>1834</v>
      </c>
      <c r="B472" t="s">
        <v>601</v>
      </c>
      <c r="C472" s="5">
        <v>45718</v>
      </c>
      <c r="D472" s="5">
        <v>45720</v>
      </c>
      <c r="E472" t="s">
        <v>602</v>
      </c>
      <c r="F472" t="s">
        <v>633</v>
      </c>
      <c r="G472" t="s">
        <v>235</v>
      </c>
      <c r="H472" t="s">
        <v>20</v>
      </c>
      <c r="I472" t="s">
        <v>29</v>
      </c>
      <c r="J472" t="s">
        <v>183</v>
      </c>
      <c r="K472" t="s">
        <v>786</v>
      </c>
      <c r="L472" t="s">
        <v>799</v>
      </c>
      <c r="M472" t="s">
        <v>788</v>
      </c>
      <c r="N472">
        <v>10</v>
      </c>
      <c r="O472" s="3">
        <v>10.97</v>
      </c>
      <c r="P472" s="3">
        <v>15.91</v>
      </c>
      <c r="Q472" s="6">
        <v>0</v>
      </c>
      <c r="R472" s="3">
        <v>159.1</v>
      </c>
      <c r="S472" t="s">
        <v>1001</v>
      </c>
    </row>
    <row r="473" spans="1:19" x14ac:dyDescent="0.35">
      <c r="A473" t="s">
        <v>1835</v>
      </c>
      <c r="B473" t="s">
        <v>342</v>
      </c>
      <c r="C473" s="5">
        <v>45975</v>
      </c>
      <c r="E473" t="s">
        <v>245</v>
      </c>
      <c r="F473" t="s">
        <v>674</v>
      </c>
      <c r="G473" t="s">
        <v>235</v>
      </c>
      <c r="H473" t="s">
        <v>797</v>
      </c>
      <c r="I473" t="s">
        <v>20</v>
      </c>
      <c r="J473" t="s">
        <v>134</v>
      </c>
      <c r="K473" t="s">
        <v>798</v>
      </c>
      <c r="L473" t="s">
        <v>787</v>
      </c>
      <c r="M473" t="s">
        <v>818</v>
      </c>
      <c r="N473">
        <v>12</v>
      </c>
      <c r="O473" s="3">
        <v>38.36</v>
      </c>
      <c r="P473" s="3">
        <v>53.7</v>
      </c>
      <c r="Q473" s="6">
        <v>0.05</v>
      </c>
      <c r="R473" s="3">
        <v>612.18000000000006</v>
      </c>
      <c r="S473" t="s">
        <v>859</v>
      </c>
    </row>
    <row r="474" spans="1:19" x14ac:dyDescent="0.35">
      <c r="A474" t="s">
        <v>1836</v>
      </c>
      <c r="B474" t="s">
        <v>534</v>
      </c>
      <c r="C474" s="5">
        <v>45532</v>
      </c>
      <c r="E474" t="s">
        <v>535</v>
      </c>
      <c r="F474" t="s">
        <v>254</v>
      </c>
      <c r="H474" t="s">
        <v>48</v>
      </c>
      <c r="I474" t="s">
        <v>8</v>
      </c>
      <c r="J474" t="s">
        <v>23</v>
      </c>
      <c r="K474" t="s">
        <v>798</v>
      </c>
      <c r="L474" t="s">
        <v>793</v>
      </c>
      <c r="M474" t="s">
        <v>788</v>
      </c>
      <c r="N474">
        <v>5</v>
      </c>
      <c r="O474" s="3">
        <v>58.47</v>
      </c>
      <c r="P474" s="3">
        <v>84.78</v>
      </c>
      <c r="Q474" s="6">
        <v>0</v>
      </c>
      <c r="R474" s="3">
        <v>423.9</v>
      </c>
      <c r="S474" t="s">
        <v>892</v>
      </c>
    </row>
    <row r="475" spans="1:19" x14ac:dyDescent="0.35">
      <c r="A475" t="s">
        <v>1837</v>
      </c>
      <c r="B475" t="s">
        <v>440</v>
      </c>
      <c r="C475" s="5">
        <v>45324</v>
      </c>
      <c r="D475" s="5">
        <v>45330</v>
      </c>
      <c r="E475" t="s">
        <v>441</v>
      </c>
      <c r="F475" t="s">
        <v>696</v>
      </c>
      <c r="G475" t="s">
        <v>264</v>
      </c>
      <c r="H475" t="s">
        <v>797</v>
      </c>
      <c r="I475" t="s">
        <v>14</v>
      </c>
      <c r="J475" t="s">
        <v>128</v>
      </c>
      <c r="K475" t="s">
        <v>798</v>
      </c>
      <c r="L475" t="s">
        <v>799</v>
      </c>
      <c r="M475" t="s">
        <v>818</v>
      </c>
      <c r="N475">
        <v>3</v>
      </c>
      <c r="O475" s="3">
        <v>18.850000000000001</v>
      </c>
      <c r="P475" s="3">
        <v>27.33</v>
      </c>
      <c r="Q475" s="6">
        <v>0</v>
      </c>
      <c r="R475" s="3">
        <v>81.99</v>
      </c>
      <c r="S475" t="s">
        <v>1134</v>
      </c>
    </row>
    <row r="476" spans="1:19" x14ac:dyDescent="0.35">
      <c r="A476" t="s">
        <v>1838</v>
      </c>
      <c r="B476" t="s">
        <v>407</v>
      </c>
      <c r="C476" s="5">
        <v>45339</v>
      </c>
      <c r="D476" s="5">
        <v>45347</v>
      </c>
      <c r="E476" t="s">
        <v>408</v>
      </c>
      <c r="F476" t="s">
        <v>674</v>
      </c>
      <c r="G476" t="s">
        <v>235</v>
      </c>
      <c r="H476" t="s">
        <v>20</v>
      </c>
      <c r="I476" t="s">
        <v>14</v>
      </c>
      <c r="J476" t="s">
        <v>12</v>
      </c>
      <c r="K476" t="s">
        <v>786</v>
      </c>
      <c r="L476" t="s">
        <v>799</v>
      </c>
      <c r="M476" t="s">
        <v>842</v>
      </c>
      <c r="N476">
        <v>12</v>
      </c>
      <c r="O476" s="3">
        <v>35.03</v>
      </c>
      <c r="P476" s="3">
        <v>50.79</v>
      </c>
      <c r="Q476" s="6">
        <v>0.15</v>
      </c>
      <c r="R476" s="3">
        <v>518.05799999999999</v>
      </c>
      <c r="S476" t="s">
        <v>829</v>
      </c>
    </row>
    <row r="477" spans="1:19" x14ac:dyDescent="0.35">
      <c r="A477" t="s">
        <v>1841</v>
      </c>
      <c r="B477" t="s">
        <v>327</v>
      </c>
      <c r="C477" s="5">
        <v>45760</v>
      </c>
      <c r="D477" s="5">
        <v>45763</v>
      </c>
      <c r="E477" t="s">
        <v>328</v>
      </c>
      <c r="F477" t="s">
        <v>637</v>
      </c>
      <c r="G477" t="s">
        <v>264</v>
      </c>
      <c r="H477" t="s">
        <v>14</v>
      </c>
      <c r="I477" t="s">
        <v>8</v>
      </c>
      <c r="J477" t="s">
        <v>207</v>
      </c>
      <c r="K477" t="s">
        <v>786</v>
      </c>
      <c r="L477" t="s">
        <v>822</v>
      </c>
      <c r="M477" t="s">
        <v>842</v>
      </c>
      <c r="N477">
        <v>3</v>
      </c>
      <c r="O477" s="3">
        <v>8.5399999999999991</v>
      </c>
      <c r="P477" s="3">
        <v>10.67</v>
      </c>
      <c r="Q477" s="6">
        <v>0.1</v>
      </c>
      <c r="R477" s="3">
        <v>28.808999999999997</v>
      </c>
      <c r="S477" t="s">
        <v>919</v>
      </c>
    </row>
    <row r="478" spans="1:19" x14ac:dyDescent="0.35">
      <c r="A478" t="s">
        <v>1842</v>
      </c>
      <c r="B478" t="s">
        <v>377</v>
      </c>
      <c r="C478" s="5">
        <v>45937</v>
      </c>
      <c r="D478" s="5">
        <v>45940</v>
      </c>
      <c r="E478" t="s">
        <v>378</v>
      </c>
      <c r="F478" t="s">
        <v>633</v>
      </c>
      <c r="G478" t="s">
        <v>243</v>
      </c>
      <c r="H478" t="s">
        <v>797</v>
      </c>
      <c r="I478" t="s">
        <v>43</v>
      </c>
      <c r="J478" t="s">
        <v>44</v>
      </c>
      <c r="K478" t="s">
        <v>798</v>
      </c>
      <c r="L478" t="s">
        <v>799</v>
      </c>
      <c r="M478" t="s">
        <v>818</v>
      </c>
      <c r="N478">
        <v>10</v>
      </c>
      <c r="O478" s="3">
        <v>14.05</v>
      </c>
      <c r="P478" s="3">
        <v>19.670000000000002</v>
      </c>
      <c r="Q478" s="6">
        <v>0.15</v>
      </c>
      <c r="R478" s="3">
        <v>167.19500000000002</v>
      </c>
      <c r="S478" t="s">
        <v>919</v>
      </c>
    </row>
    <row r="479" spans="1:19" x14ac:dyDescent="0.35">
      <c r="A479" t="s">
        <v>1843</v>
      </c>
      <c r="B479" t="s">
        <v>438</v>
      </c>
      <c r="C479" s="5">
        <v>45954</v>
      </c>
      <c r="D479" s="5">
        <v>45962</v>
      </c>
      <c r="E479" t="s">
        <v>439</v>
      </c>
      <c r="F479" t="s">
        <v>637</v>
      </c>
      <c r="G479" t="s">
        <v>264</v>
      </c>
      <c r="H479" t="s">
        <v>797</v>
      </c>
      <c r="I479" t="s">
        <v>20</v>
      </c>
      <c r="J479" t="s">
        <v>97</v>
      </c>
      <c r="K479" t="s">
        <v>786</v>
      </c>
      <c r="L479" t="s">
        <v>799</v>
      </c>
      <c r="M479" t="s">
        <v>818</v>
      </c>
      <c r="N479">
        <v>5</v>
      </c>
      <c r="O479" s="3">
        <v>20.79</v>
      </c>
      <c r="P479" s="3">
        <v>28.07</v>
      </c>
      <c r="Q479" s="6">
        <v>0</v>
      </c>
      <c r="R479" s="3">
        <v>140.35</v>
      </c>
      <c r="S479" t="s">
        <v>794</v>
      </c>
    </row>
    <row r="480" spans="1:19" x14ac:dyDescent="0.35">
      <c r="A480" t="s">
        <v>1844</v>
      </c>
      <c r="B480" t="s">
        <v>513</v>
      </c>
      <c r="C480" s="5">
        <v>45641</v>
      </c>
      <c r="D480" s="5">
        <v>45645</v>
      </c>
      <c r="E480" t="s">
        <v>514</v>
      </c>
      <c r="F480" t="s">
        <v>674</v>
      </c>
      <c r="G480" t="s">
        <v>264</v>
      </c>
      <c r="H480" t="s">
        <v>797</v>
      </c>
      <c r="I480" t="s">
        <v>8</v>
      </c>
      <c r="J480" t="s">
        <v>91</v>
      </c>
      <c r="K480" t="s">
        <v>798</v>
      </c>
      <c r="L480" t="s">
        <v>799</v>
      </c>
      <c r="M480" t="s">
        <v>800</v>
      </c>
      <c r="N480">
        <v>5</v>
      </c>
      <c r="O480" s="3">
        <v>36.82</v>
      </c>
      <c r="P480" s="3">
        <v>47.87</v>
      </c>
      <c r="Q480" s="6">
        <v>0.15</v>
      </c>
      <c r="R480" s="3">
        <v>203.44749999999999</v>
      </c>
      <c r="S480" t="s">
        <v>825</v>
      </c>
    </row>
    <row r="481" spans="1:19" x14ac:dyDescent="0.35">
      <c r="A481" t="s">
        <v>1846</v>
      </c>
      <c r="B481" t="s">
        <v>475</v>
      </c>
      <c r="C481" s="5">
        <v>45447</v>
      </c>
      <c r="E481" t="s">
        <v>476</v>
      </c>
      <c r="F481" t="s">
        <v>637</v>
      </c>
      <c r="G481" t="s">
        <v>243</v>
      </c>
      <c r="H481" t="s">
        <v>797</v>
      </c>
      <c r="I481" t="s">
        <v>20</v>
      </c>
      <c r="J481" t="s">
        <v>163</v>
      </c>
      <c r="K481" t="s">
        <v>786</v>
      </c>
      <c r="L481" t="s">
        <v>793</v>
      </c>
      <c r="M481" t="s">
        <v>818</v>
      </c>
      <c r="N481">
        <v>20</v>
      </c>
      <c r="O481" s="3">
        <v>55.3</v>
      </c>
      <c r="P481" s="3">
        <v>74.66</v>
      </c>
      <c r="Q481" s="6">
        <v>0.05</v>
      </c>
      <c r="R481" s="3">
        <v>1418.5399999999997</v>
      </c>
      <c r="S481" t="s">
        <v>892</v>
      </c>
    </row>
    <row r="482" spans="1:19" x14ac:dyDescent="0.35">
      <c r="A482" t="s">
        <v>1847</v>
      </c>
      <c r="B482" t="s">
        <v>266</v>
      </c>
      <c r="C482" s="5">
        <v>45990</v>
      </c>
      <c r="D482" s="5">
        <v>45996</v>
      </c>
      <c r="E482" t="s">
        <v>267</v>
      </c>
      <c r="F482" t="s">
        <v>696</v>
      </c>
      <c r="G482" t="s">
        <v>243</v>
      </c>
      <c r="H482" t="s">
        <v>797</v>
      </c>
      <c r="I482" t="s">
        <v>8</v>
      </c>
      <c r="J482" t="s">
        <v>129</v>
      </c>
      <c r="K482" t="s">
        <v>813</v>
      </c>
      <c r="L482" t="s">
        <v>799</v>
      </c>
      <c r="M482" t="s">
        <v>842</v>
      </c>
      <c r="N482">
        <v>2</v>
      </c>
      <c r="O482" s="3">
        <v>22.15</v>
      </c>
      <c r="P482" s="3">
        <v>31.01</v>
      </c>
      <c r="Q482" s="6">
        <v>0</v>
      </c>
      <c r="R482" s="3">
        <v>62.02</v>
      </c>
      <c r="S482" t="s">
        <v>1134</v>
      </c>
    </row>
    <row r="483" spans="1:19" x14ac:dyDescent="0.35">
      <c r="A483" t="s">
        <v>1849</v>
      </c>
      <c r="B483" t="s">
        <v>483</v>
      </c>
      <c r="C483" s="5">
        <v>45703</v>
      </c>
      <c r="D483" s="5">
        <v>45712</v>
      </c>
      <c r="E483" t="s">
        <v>484</v>
      </c>
      <c r="F483" t="s">
        <v>254</v>
      </c>
      <c r="G483" t="s">
        <v>264</v>
      </c>
      <c r="H483" t="s">
        <v>797</v>
      </c>
      <c r="I483" t="s">
        <v>20</v>
      </c>
      <c r="J483" t="s">
        <v>104</v>
      </c>
      <c r="K483" t="s">
        <v>813</v>
      </c>
      <c r="L483" t="s">
        <v>822</v>
      </c>
      <c r="M483" t="s">
        <v>788</v>
      </c>
      <c r="N483">
        <v>20</v>
      </c>
      <c r="O483" s="3">
        <v>43.88</v>
      </c>
      <c r="P483" s="3">
        <v>54.85</v>
      </c>
      <c r="Q483" s="6">
        <v>0.1</v>
      </c>
      <c r="R483" s="3">
        <v>987.3</v>
      </c>
      <c r="S483" t="s">
        <v>829</v>
      </c>
    </row>
    <row r="484" spans="1:19" x14ac:dyDescent="0.35">
      <c r="A484" t="s">
        <v>1850</v>
      </c>
      <c r="B484" t="s">
        <v>467</v>
      </c>
      <c r="C484" s="5">
        <v>45594</v>
      </c>
      <c r="D484" s="5">
        <v>45599</v>
      </c>
      <c r="E484" t="s">
        <v>468</v>
      </c>
      <c r="F484" t="s">
        <v>681</v>
      </c>
      <c r="G484" t="s">
        <v>235</v>
      </c>
      <c r="H484" t="s">
        <v>20</v>
      </c>
      <c r="I484" t="s">
        <v>8</v>
      </c>
      <c r="J484" t="s">
        <v>198</v>
      </c>
      <c r="K484" t="s">
        <v>786</v>
      </c>
      <c r="L484" t="s">
        <v>799</v>
      </c>
      <c r="M484" t="s">
        <v>800</v>
      </c>
      <c r="N484">
        <v>10</v>
      </c>
      <c r="O484" s="3">
        <v>30.64</v>
      </c>
      <c r="P484" s="3">
        <v>42.9</v>
      </c>
      <c r="Q484" s="6">
        <v>0</v>
      </c>
      <c r="R484" s="3">
        <v>429</v>
      </c>
      <c r="S484" t="s">
        <v>839</v>
      </c>
    </row>
    <row r="485" spans="1:19" x14ac:dyDescent="0.35">
      <c r="A485" t="s">
        <v>1851</v>
      </c>
      <c r="B485" t="s">
        <v>351</v>
      </c>
      <c r="C485" s="5">
        <v>45832</v>
      </c>
      <c r="D485" s="5">
        <v>45839</v>
      </c>
      <c r="E485" t="s">
        <v>352</v>
      </c>
      <c r="F485" t="s">
        <v>681</v>
      </c>
      <c r="G485" t="s">
        <v>264</v>
      </c>
      <c r="H485" t="s">
        <v>797</v>
      </c>
      <c r="I485" t="s">
        <v>43</v>
      </c>
      <c r="J485" t="s">
        <v>75</v>
      </c>
      <c r="K485" t="s">
        <v>798</v>
      </c>
      <c r="L485" t="s">
        <v>822</v>
      </c>
      <c r="M485" t="s">
        <v>818</v>
      </c>
      <c r="N485">
        <v>10</v>
      </c>
      <c r="O485" s="3">
        <v>24.35</v>
      </c>
      <c r="P485" s="3">
        <v>34.090000000000003</v>
      </c>
      <c r="Q485" s="6">
        <v>0.15</v>
      </c>
      <c r="R485" s="3">
        <v>289.76500000000004</v>
      </c>
      <c r="S485" t="s">
        <v>814</v>
      </c>
    </row>
    <row r="486" spans="1:19" x14ac:dyDescent="0.35">
      <c r="A486" t="s">
        <v>1853</v>
      </c>
      <c r="B486" t="s">
        <v>312</v>
      </c>
      <c r="C486" s="5">
        <v>45494</v>
      </c>
      <c r="D486" s="5">
        <v>45499</v>
      </c>
      <c r="E486" t="s">
        <v>313</v>
      </c>
      <c r="F486" t="s">
        <v>254</v>
      </c>
      <c r="G486" t="s">
        <v>235</v>
      </c>
      <c r="H486" t="s">
        <v>14</v>
      </c>
      <c r="I486" t="s">
        <v>14</v>
      </c>
      <c r="J486" t="s">
        <v>93</v>
      </c>
      <c r="K486" t="s">
        <v>798</v>
      </c>
      <c r="L486" t="s">
        <v>799</v>
      </c>
      <c r="M486" t="s">
        <v>788</v>
      </c>
      <c r="N486">
        <v>2</v>
      </c>
      <c r="O486" s="3">
        <v>26.96</v>
      </c>
      <c r="P486" s="3">
        <v>37.74</v>
      </c>
      <c r="Q486" s="6">
        <v>0.1</v>
      </c>
      <c r="R486" s="3">
        <v>67.932000000000002</v>
      </c>
      <c r="S486" t="s">
        <v>790</v>
      </c>
    </row>
    <row r="487" spans="1:19" x14ac:dyDescent="0.35">
      <c r="A487" t="s">
        <v>1854</v>
      </c>
      <c r="B487" t="s">
        <v>515</v>
      </c>
      <c r="C487" s="5">
        <v>45510</v>
      </c>
      <c r="D487" s="5">
        <v>45520</v>
      </c>
      <c r="E487" t="s">
        <v>512</v>
      </c>
      <c r="F487" t="s">
        <v>627</v>
      </c>
      <c r="G487" t="s">
        <v>235</v>
      </c>
      <c r="H487" t="s">
        <v>797</v>
      </c>
      <c r="I487" t="s">
        <v>29</v>
      </c>
      <c r="J487" t="s">
        <v>191</v>
      </c>
      <c r="K487" t="s">
        <v>798</v>
      </c>
      <c r="L487" t="s">
        <v>799</v>
      </c>
      <c r="M487" t="s">
        <v>842</v>
      </c>
      <c r="N487">
        <v>3</v>
      </c>
      <c r="O487" s="3">
        <v>11.26</v>
      </c>
      <c r="P487" s="3">
        <v>15.2</v>
      </c>
      <c r="Q487" s="6">
        <v>0</v>
      </c>
      <c r="R487" s="3">
        <v>45.599999999999994</v>
      </c>
      <c r="S487" t="s">
        <v>790</v>
      </c>
    </row>
    <row r="488" spans="1:19" x14ac:dyDescent="0.35">
      <c r="A488" t="s">
        <v>1855</v>
      </c>
      <c r="B488" t="s">
        <v>614</v>
      </c>
      <c r="C488" s="5">
        <v>45556</v>
      </c>
      <c r="E488" t="s">
        <v>615</v>
      </c>
      <c r="F488" t="s">
        <v>633</v>
      </c>
      <c r="G488" t="s">
        <v>235</v>
      </c>
      <c r="H488" t="s">
        <v>20</v>
      </c>
      <c r="I488" t="s">
        <v>14</v>
      </c>
      <c r="J488" t="s">
        <v>209</v>
      </c>
      <c r="K488" t="s">
        <v>786</v>
      </c>
      <c r="L488" t="s">
        <v>787</v>
      </c>
      <c r="M488" t="s">
        <v>842</v>
      </c>
      <c r="N488">
        <v>5</v>
      </c>
      <c r="O488" s="3">
        <v>24.18</v>
      </c>
      <c r="P488" s="3">
        <v>33.85</v>
      </c>
      <c r="Q488" s="6">
        <v>0</v>
      </c>
      <c r="R488" s="3">
        <v>169.25</v>
      </c>
      <c r="S488" t="s">
        <v>1017</v>
      </c>
    </row>
    <row r="489" spans="1:19" x14ac:dyDescent="0.35">
      <c r="A489" t="s">
        <v>1856</v>
      </c>
      <c r="B489" t="s">
        <v>448</v>
      </c>
      <c r="C489" s="5">
        <v>45934</v>
      </c>
      <c r="E489" t="s">
        <v>427</v>
      </c>
      <c r="F489" t="s">
        <v>254</v>
      </c>
      <c r="G489" t="s">
        <v>243</v>
      </c>
      <c r="H489" t="s">
        <v>797</v>
      </c>
      <c r="I489" t="s">
        <v>43</v>
      </c>
      <c r="J489" t="s">
        <v>75</v>
      </c>
      <c r="K489" t="s">
        <v>798</v>
      </c>
      <c r="L489" t="s">
        <v>787</v>
      </c>
      <c r="M489" t="s">
        <v>800</v>
      </c>
      <c r="N489">
        <v>1</v>
      </c>
      <c r="O489" s="3">
        <v>24.35</v>
      </c>
      <c r="P489" s="3">
        <v>34.090000000000003</v>
      </c>
      <c r="Q489" s="6">
        <v>0.1</v>
      </c>
      <c r="R489" s="3">
        <v>30.681000000000004</v>
      </c>
      <c r="S489" t="s">
        <v>839</v>
      </c>
    </row>
    <row r="490" spans="1:19" x14ac:dyDescent="0.35">
      <c r="A490" t="s">
        <v>1857</v>
      </c>
      <c r="B490" t="s">
        <v>395</v>
      </c>
      <c r="C490" s="5">
        <v>45756</v>
      </c>
      <c r="D490" s="5">
        <v>45761</v>
      </c>
      <c r="E490" t="s">
        <v>396</v>
      </c>
      <c r="F490" t="s">
        <v>637</v>
      </c>
      <c r="G490" t="s">
        <v>264</v>
      </c>
      <c r="H490" t="s">
        <v>20</v>
      </c>
      <c r="I490" t="s">
        <v>20</v>
      </c>
      <c r="J490" t="s">
        <v>51</v>
      </c>
      <c r="K490" t="s">
        <v>798</v>
      </c>
      <c r="L490" t="s">
        <v>799</v>
      </c>
      <c r="M490" t="s">
        <v>788</v>
      </c>
      <c r="N490">
        <v>3</v>
      </c>
      <c r="O490" s="3">
        <v>11.28</v>
      </c>
      <c r="P490" s="3">
        <v>15.23</v>
      </c>
      <c r="Q490" s="6">
        <v>0</v>
      </c>
      <c r="R490" s="3">
        <v>45.69</v>
      </c>
      <c r="S490" t="s">
        <v>859</v>
      </c>
    </row>
    <row r="491" spans="1:19" x14ac:dyDescent="0.35">
      <c r="A491" t="s">
        <v>1858</v>
      </c>
      <c r="B491" t="s">
        <v>578</v>
      </c>
      <c r="C491" s="5">
        <v>45974</v>
      </c>
      <c r="E491" t="s">
        <v>368</v>
      </c>
      <c r="F491" t="s">
        <v>674</v>
      </c>
      <c r="G491" t="s">
        <v>235</v>
      </c>
      <c r="H491" t="s">
        <v>20</v>
      </c>
      <c r="I491" t="s">
        <v>14</v>
      </c>
      <c r="J491" t="s">
        <v>209</v>
      </c>
      <c r="K491" t="s">
        <v>798</v>
      </c>
      <c r="L491" t="s">
        <v>793</v>
      </c>
      <c r="M491" t="s">
        <v>800</v>
      </c>
      <c r="N491">
        <v>1</v>
      </c>
      <c r="O491" s="3">
        <v>24.18</v>
      </c>
      <c r="P491" s="3">
        <v>33.85</v>
      </c>
      <c r="Q491" s="6">
        <v>0.1</v>
      </c>
      <c r="R491" s="3">
        <v>30.465</v>
      </c>
      <c r="S491" t="s">
        <v>803</v>
      </c>
    </row>
    <row r="492" spans="1:19" x14ac:dyDescent="0.35">
      <c r="A492" t="s">
        <v>1859</v>
      </c>
      <c r="B492" t="s">
        <v>493</v>
      </c>
      <c r="C492" s="5">
        <v>45489</v>
      </c>
      <c r="E492" t="s">
        <v>311</v>
      </c>
      <c r="F492" t="s">
        <v>254</v>
      </c>
      <c r="G492" t="s">
        <v>243</v>
      </c>
      <c r="H492" t="s">
        <v>797</v>
      </c>
      <c r="I492" t="s">
        <v>38</v>
      </c>
      <c r="J492" t="s">
        <v>82</v>
      </c>
      <c r="K492" t="s">
        <v>798</v>
      </c>
      <c r="L492" t="s">
        <v>793</v>
      </c>
      <c r="M492" t="s">
        <v>842</v>
      </c>
      <c r="N492">
        <v>3</v>
      </c>
      <c r="O492" s="3">
        <v>12.54</v>
      </c>
      <c r="P492" s="3">
        <v>16.93</v>
      </c>
      <c r="Q492" s="6">
        <v>0</v>
      </c>
      <c r="R492" s="3">
        <v>50.79</v>
      </c>
      <c r="S492" t="s">
        <v>876</v>
      </c>
    </row>
    <row r="493" spans="1:19" x14ac:dyDescent="0.35">
      <c r="A493" t="s">
        <v>1860</v>
      </c>
      <c r="B493" t="s">
        <v>382</v>
      </c>
      <c r="C493" s="5">
        <v>45425</v>
      </c>
      <c r="E493" t="s">
        <v>383</v>
      </c>
      <c r="F493" t="s">
        <v>696</v>
      </c>
      <c r="G493" t="s">
        <v>264</v>
      </c>
      <c r="H493" t="s">
        <v>797</v>
      </c>
      <c r="I493" t="s">
        <v>20</v>
      </c>
      <c r="J493" t="s">
        <v>197</v>
      </c>
      <c r="K493" t="s">
        <v>798</v>
      </c>
      <c r="L493" t="s">
        <v>793</v>
      </c>
      <c r="M493" t="s">
        <v>818</v>
      </c>
      <c r="N493">
        <v>20</v>
      </c>
      <c r="O493" s="3">
        <v>22.45</v>
      </c>
      <c r="P493" s="3">
        <v>29.18</v>
      </c>
      <c r="Q493" s="6">
        <v>0</v>
      </c>
      <c r="R493" s="3">
        <v>583.6</v>
      </c>
      <c r="S493" t="s">
        <v>803</v>
      </c>
    </row>
    <row r="494" spans="1:19" x14ac:dyDescent="0.35">
      <c r="A494" t="s">
        <v>1861</v>
      </c>
      <c r="B494" t="s">
        <v>477</v>
      </c>
      <c r="C494" s="5">
        <v>45802</v>
      </c>
      <c r="D494" s="5">
        <v>45811</v>
      </c>
      <c r="E494" t="s">
        <v>478</v>
      </c>
      <c r="F494" t="s">
        <v>696</v>
      </c>
      <c r="G494" t="s">
        <v>243</v>
      </c>
      <c r="H494" t="s">
        <v>14</v>
      </c>
      <c r="I494" t="s">
        <v>20</v>
      </c>
      <c r="J494" t="s">
        <v>163</v>
      </c>
      <c r="K494" t="s">
        <v>786</v>
      </c>
      <c r="L494" t="s">
        <v>799</v>
      </c>
      <c r="M494" t="s">
        <v>818</v>
      </c>
      <c r="N494">
        <v>2</v>
      </c>
      <c r="O494" s="3">
        <v>55.3</v>
      </c>
      <c r="P494" s="3">
        <v>74.66</v>
      </c>
      <c r="Q494" s="6">
        <v>0</v>
      </c>
      <c r="R494" s="3">
        <v>149.32</v>
      </c>
      <c r="S494" t="s">
        <v>888</v>
      </c>
    </row>
    <row r="495" spans="1:19" x14ac:dyDescent="0.35">
      <c r="A495" t="s">
        <v>1862</v>
      </c>
      <c r="B495" t="s">
        <v>592</v>
      </c>
      <c r="C495" s="5">
        <v>45422</v>
      </c>
      <c r="D495" s="5">
        <v>45430</v>
      </c>
      <c r="E495" t="s">
        <v>478</v>
      </c>
      <c r="F495" t="s">
        <v>696</v>
      </c>
      <c r="G495" t="s">
        <v>243</v>
      </c>
      <c r="H495" t="s">
        <v>797</v>
      </c>
      <c r="I495" t="s">
        <v>48</v>
      </c>
      <c r="J495" t="s">
        <v>54</v>
      </c>
      <c r="K495" t="s">
        <v>798</v>
      </c>
      <c r="L495" t="s">
        <v>799</v>
      </c>
      <c r="M495" t="s">
        <v>842</v>
      </c>
      <c r="N495">
        <v>12</v>
      </c>
      <c r="O495" s="3">
        <v>21.67</v>
      </c>
      <c r="P495" s="3">
        <v>28.17</v>
      </c>
      <c r="Q495" s="6">
        <v>0.15</v>
      </c>
      <c r="R495" s="3">
        <v>287.334</v>
      </c>
      <c r="S495" t="s">
        <v>963</v>
      </c>
    </row>
    <row r="496" spans="1:19" x14ac:dyDescent="0.35">
      <c r="A496" t="s">
        <v>1863</v>
      </c>
      <c r="B496" t="s">
        <v>605</v>
      </c>
      <c r="C496" s="5">
        <v>45776</v>
      </c>
      <c r="D496" s="5">
        <v>45782</v>
      </c>
      <c r="E496" t="s">
        <v>389</v>
      </c>
      <c r="F496" t="s">
        <v>674</v>
      </c>
      <c r="G496" t="s">
        <v>264</v>
      </c>
      <c r="H496" t="s">
        <v>48</v>
      </c>
      <c r="I496" t="s">
        <v>29</v>
      </c>
      <c r="J496" t="s">
        <v>145</v>
      </c>
      <c r="K496" t="s">
        <v>798</v>
      </c>
      <c r="L496" t="s">
        <v>822</v>
      </c>
      <c r="M496" t="s">
        <v>818</v>
      </c>
      <c r="N496">
        <v>3</v>
      </c>
      <c r="O496" s="3">
        <v>57.16</v>
      </c>
      <c r="P496" s="3">
        <v>82.88</v>
      </c>
      <c r="Q496" s="6">
        <v>0</v>
      </c>
      <c r="R496" s="3">
        <v>248.64</v>
      </c>
      <c r="S496" t="s">
        <v>919</v>
      </c>
    </row>
    <row r="497" spans="1:19" x14ac:dyDescent="0.35">
      <c r="A497" t="s">
        <v>1865</v>
      </c>
      <c r="B497" t="s">
        <v>276</v>
      </c>
      <c r="C497" s="5">
        <v>45877</v>
      </c>
      <c r="E497" t="s">
        <v>277</v>
      </c>
      <c r="F497" t="s">
        <v>627</v>
      </c>
      <c r="G497" t="s">
        <v>243</v>
      </c>
      <c r="H497" t="s">
        <v>797</v>
      </c>
      <c r="I497" t="s">
        <v>43</v>
      </c>
      <c r="J497" t="s">
        <v>41</v>
      </c>
      <c r="K497" t="s">
        <v>798</v>
      </c>
      <c r="L497" t="s">
        <v>817</v>
      </c>
      <c r="M497" t="s">
        <v>800</v>
      </c>
      <c r="N497">
        <v>3</v>
      </c>
      <c r="O497" s="3">
        <v>18.010000000000002</v>
      </c>
      <c r="P497" s="3">
        <v>22.51</v>
      </c>
      <c r="Q497" s="6">
        <v>0</v>
      </c>
      <c r="R497" s="3">
        <v>67.53</v>
      </c>
      <c r="S497" t="s">
        <v>819</v>
      </c>
    </row>
    <row r="498" spans="1:19" x14ac:dyDescent="0.35">
      <c r="A498" t="s">
        <v>1866</v>
      </c>
      <c r="B498" t="s">
        <v>347</v>
      </c>
      <c r="C498" s="5">
        <v>45320</v>
      </c>
      <c r="D498" s="5">
        <v>45328</v>
      </c>
      <c r="E498" t="s">
        <v>348</v>
      </c>
      <c r="F498" t="s">
        <v>637</v>
      </c>
      <c r="G498" t="s">
        <v>243</v>
      </c>
      <c r="H498" t="s">
        <v>14</v>
      </c>
      <c r="I498" t="s">
        <v>43</v>
      </c>
      <c r="J498" t="s">
        <v>113</v>
      </c>
      <c r="K498" t="s">
        <v>813</v>
      </c>
      <c r="L498" t="s">
        <v>822</v>
      </c>
      <c r="M498" t="s">
        <v>800</v>
      </c>
      <c r="N498">
        <v>12</v>
      </c>
      <c r="O498" s="3">
        <v>16.91</v>
      </c>
      <c r="P498" s="3">
        <v>21.14</v>
      </c>
      <c r="Q498" s="6">
        <v>0</v>
      </c>
      <c r="R498" s="3">
        <v>253.68</v>
      </c>
      <c r="S498" t="s">
        <v>810</v>
      </c>
    </row>
    <row r="499" spans="1:19" x14ac:dyDescent="0.35">
      <c r="A499" t="s">
        <v>1868</v>
      </c>
      <c r="B499" t="s">
        <v>530</v>
      </c>
      <c r="C499" s="5">
        <v>45294</v>
      </c>
      <c r="D499" s="5">
        <v>45300</v>
      </c>
      <c r="E499" t="s">
        <v>531</v>
      </c>
      <c r="F499" t="s">
        <v>633</v>
      </c>
      <c r="G499" t="s">
        <v>235</v>
      </c>
      <c r="H499" t="s">
        <v>797</v>
      </c>
      <c r="I499" t="s">
        <v>14</v>
      </c>
      <c r="J499" t="s">
        <v>67</v>
      </c>
      <c r="K499" t="s">
        <v>813</v>
      </c>
      <c r="L499" t="s">
        <v>799</v>
      </c>
      <c r="M499" t="s">
        <v>800</v>
      </c>
      <c r="N499">
        <v>2</v>
      </c>
      <c r="O499" s="3">
        <v>17.63</v>
      </c>
      <c r="P499" s="3">
        <v>22.92</v>
      </c>
      <c r="Q499" s="6">
        <v>0.1</v>
      </c>
      <c r="R499" s="3">
        <v>41.256</v>
      </c>
      <c r="S499" t="s">
        <v>845</v>
      </c>
    </row>
    <row r="500" spans="1:19" x14ac:dyDescent="0.35">
      <c r="A500" t="s">
        <v>1872</v>
      </c>
      <c r="B500" t="s">
        <v>595</v>
      </c>
      <c r="C500" s="5">
        <v>45678</v>
      </c>
      <c r="D500" s="5">
        <v>45686</v>
      </c>
      <c r="E500" t="s">
        <v>253</v>
      </c>
      <c r="F500" t="s">
        <v>637</v>
      </c>
      <c r="G500" t="s">
        <v>235</v>
      </c>
      <c r="H500" t="s">
        <v>14</v>
      </c>
      <c r="I500" t="s">
        <v>14</v>
      </c>
      <c r="J500" t="s">
        <v>214</v>
      </c>
      <c r="K500" t="s">
        <v>786</v>
      </c>
      <c r="L500" t="s">
        <v>799</v>
      </c>
      <c r="M500" t="s">
        <v>818</v>
      </c>
      <c r="N500">
        <v>10</v>
      </c>
      <c r="O500" s="3">
        <v>22.07</v>
      </c>
      <c r="P500" s="3">
        <v>27.59</v>
      </c>
      <c r="Q500" s="6">
        <v>0.05</v>
      </c>
      <c r="R500" s="3">
        <v>262.10499999999996</v>
      </c>
      <c r="S500" t="s">
        <v>825</v>
      </c>
    </row>
    <row r="501" spans="1:19" x14ac:dyDescent="0.35">
      <c r="A501" t="s">
        <v>1874</v>
      </c>
      <c r="B501" t="s">
        <v>315</v>
      </c>
      <c r="C501" s="5">
        <v>45444</v>
      </c>
      <c r="E501" t="s">
        <v>316</v>
      </c>
      <c r="F501" t="s">
        <v>637</v>
      </c>
      <c r="G501" t="s">
        <v>235</v>
      </c>
      <c r="H501" t="s">
        <v>14</v>
      </c>
      <c r="I501" t="s">
        <v>48</v>
      </c>
      <c r="J501" t="s">
        <v>46</v>
      </c>
      <c r="K501" t="s">
        <v>798</v>
      </c>
      <c r="L501" t="s">
        <v>793</v>
      </c>
      <c r="M501" t="s">
        <v>818</v>
      </c>
      <c r="N501">
        <v>20</v>
      </c>
      <c r="O501" s="3">
        <v>29.16</v>
      </c>
      <c r="P501" s="3">
        <v>36.450000000000003</v>
      </c>
      <c r="Q501" s="6">
        <v>0</v>
      </c>
      <c r="R501" s="3">
        <v>729</v>
      </c>
      <c r="S501" t="s">
        <v>790</v>
      </c>
    </row>
    <row r="502" spans="1:19" x14ac:dyDescent="0.35">
      <c r="A502" t="s">
        <v>1875</v>
      </c>
      <c r="B502" t="s">
        <v>601</v>
      </c>
      <c r="C502" s="5">
        <v>45338</v>
      </c>
      <c r="D502" s="5">
        <v>45340</v>
      </c>
      <c r="E502" t="s">
        <v>602</v>
      </c>
      <c r="F502" t="s">
        <v>633</v>
      </c>
      <c r="G502" t="s">
        <v>235</v>
      </c>
      <c r="H502" t="s">
        <v>14</v>
      </c>
      <c r="I502" t="s">
        <v>38</v>
      </c>
      <c r="J502" t="s">
        <v>130</v>
      </c>
      <c r="K502" t="s">
        <v>786</v>
      </c>
      <c r="L502" t="s">
        <v>799</v>
      </c>
      <c r="M502" t="s">
        <v>800</v>
      </c>
      <c r="N502">
        <v>1</v>
      </c>
      <c r="O502" s="3">
        <v>13.35</v>
      </c>
      <c r="P502" s="3">
        <v>17.36</v>
      </c>
      <c r="Q502" s="6">
        <v>0.1</v>
      </c>
      <c r="R502" s="3">
        <v>15.623999999999999</v>
      </c>
      <c r="S502" t="s">
        <v>869</v>
      </c>
    </row>
    <row r="503" spans="1:19" x14ac:dyDescent="0.35">
      <c r="A503" t="s">
        <v>1876</v>
      </c>
      <c r="B503" t="s">
        <v>312</v>
      </c>
      <c r="C503" s="5">
        <v>45951</v>
      </c>
      <c r="D503" s="5">
        <v>45952</v>
      </c>
      <c r="E503" t="s">
        <v>313</v>
      </c>
      <c r="F503" t="s">
        <v>674</v>
      </c>
      <c r="G503" t="s">
        <v>235</v>
      </c>
      <c r="H503" t="s">
        <v>48</v>
      </c>
      <c r="I503" t="s">
        <v>14</v>
      </c>
      <c r="J503" t="s">
        <v>93</v>
      </c>
      <c r="K503" t="s">
        <v>798</v>
      </c>
      <c r="L503" t="s">
        <v>799</v>
      </c>
      <c r="M503" t="s">
        <v>788</v>
      </c>
      <c r="N503">
        <v>10</v>
      </c>
      <c r="O503" s="3">
        <v>26.96</v>
      </c>
      <c r="P503" s="3">
        <v>37.74</v>
      </c>
      <c r="Q503" s="6">
        <v>0.05</v>
      </c>
      <c r="R503" s="3">
        <v>358.53000000000003</v>
      </c>
      <c r="S503" t="s">
        <v>892</v>
      </c>
    </row>
    <row r="504" spans="1:19" x14ac:dyDescent="0.35">
      <c r="A504" t="s">
        <v>1877</v>
      </c>
      <c r="B504" t="s">
        <v>525</v>
      </c>
      <c r="C504" s="5">
        <v>45415</v>
      </c>
      <c r="E504" t="s">
        <v>526</v>
      </c>
      <c r="F504" t="s">
        <v>674</v>
      </c>
      <c r="G504" t="s">
        <v>243</v>
      </c>
      <c r="H504" t="s">
        <v>48</v>
      </c>
      <c r="I504" t="s">
        <v>29</v>
      </c>
      <c r="J504" t="s">
        <v>123</v>
      </c>
      <c r="K504" t="s">
        <v>798</v>
      </c>
      <c r="L504" t="s">
        <v>793</v>
      </c>
      <c r="M504" t="s">
        <v>818</v>
      </c>
      <c r="N504">
        <v>3</v>
      </c>
      <c r="O504" s="3">
        <v>20.7</v>
      </c>
      <c r="P504" s="3">
        <v>30.01</v>
      </c>
      <c r="Q504" s="6">
        <v>0</v>
      </c>
      <c r="R504" s="3">
        <v>90.03</v>
      </c>
      <c r="S504" t="s">
        <v>790</v>
      </c>
    </row>
    <row r="505" spans="1:19" x14ac:dyDescent="0.35">
      <c r="A505" t="s">
        <v>1879</v>
      </c>
      <c r="B505" t="s">
        <v>467</v>
      </c>
      <c r="C505" s="5">
        <v>45913</v>
      </c>
      <c r="E505" t="s">
        <v>468</v>
      </c>
      <c r="F505" t="s">
        <v>627</v>
      </c>
      <c r="G505" t="s">
        <v>235</v>
      </c>
      <c r="H505" t="s">
        <v>797</v>
      </c>
      <c r="I505" t="s">
        <v>43</v>
      </c>
      <c r="J505" t="s">
        <v>41</v>
      </c>
      <c r="K505" t="s">
        <v>786</v>
      </c>
      <c r="L505" t="s">
        <v>787</v>
      </c>
      <c r="M505" t="s">
        <v>818</v>
      </c>
      <c r="N505">
        <v>1</v>
      </c>
      <c r="O505" s="3">
        <v>18.010000000000002</v>
      </c>
      <c r="P505" s="3">
        <v>22.51</v>
      </c>
      <c r="Q505" s="6">
        <v>0</v>
      </c>
      <c r="R505" s="3">
        <v>22.51</v>
      </c>
      <c r="S505" t="s">
        <v>876</v>
      </c>
    </row>
    <row r="506" spans="1:19" x14ac:dyDescent="0.35">
      <c r="A506" t="s">
        <v>1880</v>
      </c>
      <c r="B506" t="s">
        <v>432</v>
      </c>
      <c r="C506" s="5">
        <v>45316</v>
      </c>
      <c r="E506" t="s">
        <v>433</v>
      </c>
      <c r="F506" t="s">
        <v>696</v>
      </c>
      <c r="G506" t="s">
        <v>243</v>
      </c>
      <c r="H506" t="s">
        <v>797</v>
      </c>
      <c r="I506" t="s">
        <v>14</v>
      </c>
      <c r="J506" t="s">
        <v>186</v>
      </c>
      <c r="K506" t="s">
        <v>813</v>
      </c>
      <c r="L506" t="s">
        <v>787</v>
      </c>
      <c r="M506" t="s">
        <v>788</v>
      </c>
      <c r="N506">
        <v>3</v>
      </c>
      <c r="O506" s="3">
        <v>28.32</v>
      </c>
      <c r="P506" s="3">
        <v>35.4</v>
      </c>
      <c r="Q506" s="6">
        <v>0</v>
      </c>
      <c r="R506" s="3">
        <v>106.19999999999999</v>
      </c>
      <c r="S506" t="s">
        <v>888</v>
      </c>
    </row>
    <row r="507" spans="1:19" x14ac:dyDescent="0.35">
      <c r="A507" t="s">
        <v>1881</v>
      </c>
      <c r="B507" t="s">
        <v>612</v>
      </c>
      <c r="C507" s="5">
        <v>45479</v>
      </c>
      <c r="D507" s="5">
        <v>45482</v>
      </c>
      <c r="E507" t="s">
        <v>447</v>
      </c>
      <c r="F507" t="s">
        <v>254</v>
      </c>
      <c r="G507" t="s">
        <v>235</v>
      </c>
      <c r="H507" t="s">
        <v>797</v>
      </c>
      <c r="I507" t="s">
        <v>14</v>
      </c>
      <c r="J507" t="s">
        <v>56</v>
      </c>
      <c r="K507" t="s">
        <v>786</v>
      </c>
      <c r="L507" t="s">
        <v>799</v>
      </c>
      <c r="M507" t="s">
        <v>842</v>
      </c>
      <c r="N507">
        <v>5</v>
      </c>
      <c r="O507" s="3">
        <v>25.46</v>
      </c>
      <c r="P507" s="3">
        <v>31.83</v>
      </c>
      <c r="Q507" s="6">
        <v>0.1</v>
      </c>
      <c r="R507" s="3">
        <v>143.23499999999999</v>
      </c>
      <c r="S507" t="s">
        <v>1134</v>
      </c>
    </row>
    <row r="508" spans="1:19" x14ac:dyDescent="0.35">
      <c r="A508" t="s">
        <v>1882</v>
      </c>
      <c r="B508" t="s">
        <v>423</v>
      </c>
      <c r="C508" s="5">
        <v>45319</v>
      </c>
      <c r="D508" s="5">
        <v>45320</v>
      </c>
      <c r="E508" t="s">
        <v>424</v>
      </c>
      <c r="F508" t="s">
        <v>696</v>
      </c>
      <c r="G508" t="s">
        <v>235</v>
      </c>
      <c r="H508" t="s">
        <v>797</v>
      </c>
      <c r="I508" t="s">
        <v>14</v>
      </c>
      <c r="J508" t="s">
        <v>152</v>
      </c>
      <c r="K508" t="s">
        <v>813</v>
      </c>
      <c r="L508" t="s">
        <v>822</v>
      </c>
      <c r="M508" t="s">
        <v>800</v>
      </c>
      <c r="N508">
        <v>10</v>
      </c>
      <c r="O508" s="3">
        <v>38.549999999999997</v>
      </c>
      <c r="P508" s="3">
        <v>53.97</v>
      </c>
      <c r="Q508" s="6">
        <v>0.05</v>
      </c>
      <c r="R508" s="3">
        <v>512.71500000000003</v>
      </c>
      <c r="S508" t="s">
        <v>919</v>
      </c>
    </row>
    <row r="509" spans="1:19" x14ac:dyDescent="0.35">
      <c r="A509" t="s">
        <v>1883</v>
      </c>
      <c r="B509" t="s">
        <v>606</v>
      </c>
      <c r="C509" s="5">
        <v>45499</v>
      </c>
      <c r="D509" s="5">
        <v>45500</v>
      </c>
      <c r="E509" t="s">
        <v>600</v>
      </c>
      <c r="F509" t="s">
        <v>627</v>
      </c>
      <c r="H509" t="s">
        <v>14</v>
      </c>
      <c r="I509" t="s">
        <v>43</v>
      </c>
      <c r="J509" t="s">
        <v>58</v>
      </c>
      <c r="K509" t="s">
        <v>798</v>
      </c>
      <c r="L509" t="s">
        <v>799</v>
      </c>
      <c r="M509" t="s">
        <v>818</v>
      </c>
      <c r="N509">
        <v>5</v>
      </c>
      <c r="O509" s="3">
        <v>11.21</v>
      </c>
      <c r="P509" s="3">
        <v>15.13</v>
      </c>
      <c r="Q509" s="6">
        <v>0</v>
      </c>
      <c r="R509" s="3">
        <v>75.650000000000006</v>
      </c>
      <c r="S509" t="s">
        <v>1017</v>
      </c>
    </row>
    <row r="510" spans="1:19" x14ac:dyDescent="0.35">
      <c r="A510" t="s">
        <v>1885</v>
      </c>
      <c r="B510" t="s">
        <v>532</v>
      </c>
      <c r="C510" s="5">
        <v>45617</v>
      </c>
      <c r="D510" s="5">
        <v>45627</v>
      </c>
      <c r="E510" t="s">
        <v>533</v>
      </c>
      <c r="F510" t="s">
        <v>696</v>
      </c>
      <c r="G510" t="s">
        <v>235</v>
      </c>
      <c r="H510" t="s">
        <v>797</v>
      </c>
      <c r="I510" t="s">
        <v>14</v>
      </c>
      <c r="J510" t="s">
        <v>209</v>
      </c>
      <c r="K510" t="s">
        <v>813</v>
      </c>
      <c r="L510" t="s">
        <v>799</v>
      </c>
      <c r="M510" t="s">
        <v>842</v>
      </c>
      <c r="N510">
        <v>2</v>
      </c>
      <c r="O510" s="3">
        <v>24.18</v>
      </c>
      <c r="P510" s="3">
        <v>33.85</v>
      </c>
      <c r="Q510" s="6">
        <v>0</v>
      </c>
      <c r="R510" s="3">
        <v>67.7</v>
      </c>
      <c r="S510" t="s">
        <v>790</v>
      </c>
    </row>
    <row r="511" spans="1:19" x14ac:dyDescent="0.35">
      <c r="A511" t="s">
        <v>1886</v>
      </c>
      <c r="B511" t="s">
        <v>400</v>
      </c>
      <c r="C511" s="5">
        <v>45983</v>
      </c>
      <c r="E511" t="s">
        <v>383</v>
      </c>
      <c r="F511" t="s">
        <v>637</v>
      </c>
      <c r="G511" t="s">
        <v>235</v>
      </c>
      <c r="H511" t="s">
        <v>14</v>
      </c>
      <c r="I511" t="s">
        <v>38</v>
      </c>
      <c r="J511" t="s">
        <v>82</v>
      </c>
      <c r="K511" t="s">
        <v>786</v>
      </c>
      <c r="L511" t="s">
        <v>793</v>
      </c>
      <c r="M511" t="s">
        <v>818</v>
      </c>
      <c r="N511">
        <v>5</v>
      </c>
      <c r="O511" s="3">
        <v>12.54</v>
      </c>
      <c r="P511" s="3">
        <v>16.93</v>
      </c>
      <c r="Q511" s="6">
        <v>0.05</v>
      </c>
      <c r="R511" s="3">
        <v>80.417500000000004</v>
      </c>
      <c r="S511" t="s">
        <v>834</v>
      </c>
    </row>
    <row r="512" spans="1:19" x14ac:dyDescent="0.35">
      <c r="A512" t="s">
        <v>1888</v>
      </c>
      <c r="B512" t="s">
        <v>377</v>
      </c>
      <c r="C512" s="5">
        <v>45943</v>
      </c>
      <c r="E512" t="s">
        <v>378</v>
      </c>
      <c r="F512" t="s">
        <v>637</v>
      </c>
      <c r="G512" t="s">
        <v>243</v>
      </c>
      <c r="H512" t="s">
        <v>48</v>
      </c>
      <c r="I512" t="s">
        <v>14</v>
      </c>
      <c r="J512" t="s">
        <v>60</v>
      </c>
      <c r="K512" t="s">
        <v>798</v>
      </c>
      <c r="L512" t="s">
        <v>817</v>
      </c>
      <c r="M512" t="s">
        <v>788</v>
      </c>
      <c r="N512">
        <v>1</v>
      </c>
      <c r="O512" s="3">
        <v>18.18</v>
      </c>
      <c r="P512" s="3">
        <v>24.54</v>
      </c>
      <c r="Q512" s="6">
        <v>0.1</v>
      </c>
      <c r="R512" s="3">
        <v>22.085999999999999</v>
      </c>
      <c r="S512" t="s">
        <v>876</v>
      </c>
    </row>
    <row r="513" spans="1:19" x14ac:dyDescent="0.35">
      <c r="A513" t="s">
        <v>1890</v>
      </c>
      <c r="B513" t="s">
        <v>276</v>
      </c>
      <c r="C513" s="5">
        <v>45860</v>
      </c>
      <c r="D513" s="5">
        <v>45868</v>
      </c>
      <c r="E513" t="s">
        <v>277</v>
      </c>
      <c r="F513" t="s">
        <v>254</v>
      </c>
      <c r="G513" t="s">
        <v>243</v>
      </c>
      <c r="H513" t="s">
        <v>20</v>
      </c>
      <c r="I513" t="s">
        <v>43</v>
      </c>
      <c r="J513" t="s">
        <v>44</v>
      </c>
      <c r="K513" t="s">
        <v>786</v>
      </c>
      <c r="L513" t="s">
        <v>799</v>
      </c>
      <c r="M513" t="s">
        <v>788</v>
      </c>
      <c r="N513">
        <v>3</v>
      </c>
      <c r="O513" s="3">
        <v>14.05</v>
      </c>
      <c r="P513" s="3">
        <v>19.670000000000002</v>
      </c>
      <c r="Q513" s="6">
        <v>0</v>
      </c>
      <c r="R513" s="3">
        <v>59.010000000000005</v>
      </c>
      <c r="S513" t="s">
        <v>829</v>
      </c>
    </row>
    <row r="514" spans="1:19" x14ac:dyDescent="0.35">
      <c r="A514" t="s">
        <v>1893</v>
      </c>
      <c r="B514" t="s">
        <v>401</v>
      </c>
      <c r="C514" s="5">
        <v>45571</v>
      </c>
      <c r="D514" s="5">
        <v>45576</v>
      </c>
      <c r="E514" t="s">
        <v>402</v>
      </c>
      <c r="F514" t="s">
        <v>637</v>
      </c>
      <c r="G514" t="s">
        <v>243</v>
      </c>
      <c r="H514" t="s">
        <v>14</v>
      </c>
      <c r="I514" t="s">
        <v>48</v>
      </c>
      <c r="J514" t="s">
        <v>139</v>
      </c>
      <c r="K514" t="s">
        <v>786</v>
      </c>
      <c r="L514" t="s">
        <v>799</v>
      </c>
      <c r="M514" t="s">
        <v>788</v>
      </c>
      <c r="N514">
        <v>1</v>
      </c>
      <c r="O514" s="3">
        <v>29.93</v>
      </c>
      <c r="P514" s="3">
        <v>41.9</v>
      </c>
      <c r="Q514" s="6">
        <v>0.1</v>
      </c>
      <c r="R514" s="3">
        <v>37.71</v>
      </c>
      <c r="S514" t="s">
        <v>892</v>
      </c>
    </row>
    <row r="515" spans="1:19" x14ac:dyDescent="0.35">
      <c r="A515" t="s">
        <v>1894</v>
      </c>
      <c r="B515" t="s">
        <v>603</v>
      </c>
      <c r="C515" s="5">
        <v>45338</v>
      </c>
      <c r="E515" t="s">
        <v>508</v>
      </c>
      <c r="F515" t="s">
        <v>627</v>
      </c>
      <c r="G515" t="s">
        <v>264</v>
      </c>
      <c r="H515" t="s">
        <v>14</v>
      </c>
      <c r="I515" t="s">
        <v>38</v>
      </c>
      <c r="J515" t="s">
        <v>36</v>
      </c>
      <c r="K515" t="s">
        <v>798</v>
      </c>
      <c r="L515" t="s">
        <v>793</v>
      </c>
      <c r="M515" t="s">
        <v>842</v>
      </c>
      <c r="N515">
        <v>2</v>
      </c>
      <c r="O515" s="3">
        <v>8.57</v>
      </c>
      <c r="P515" s="3">
        <v>11.14</v>
      </c>
      <c r="Q515" s="6">
        <v>0</v>
      </c>
      <c r="R515" s="3">
        <v>22.28</v>
      </c>
      <c r="S515" t="s">
        <v>790</v>
      </c>
    </row>
    <row r="516" spans="1:19" x14ac:dyDescent="0.35">
      <c r="A516" t="s">
        <v>1895</v>
      </c>
      <c r="B516" t="s">
        <v>379</v>
      </c>
      <c r="C516" s="5">
        <v>45578</v>
      </c>
      <c r="D516" s="5">
        <v>45586</v>
      </c>
      <c r="E516" t="s">
        <v>380</v>
      </c>
      <c r="F516" t="s">
        <v>627</v>
      </c>
      <c r="G516" t="s">
        <v>264</v>
      </c>
      <c r="H516" t="s">
        <v>14</v>
      </c>
      <c r="I516" t="s">
        <v>14</v>
      </c>
      <c r="J516" t="s">
        <v>60</v>
      </c>
      <c r="K516" t="s">
        <v>786</v>
      </c>
      <c r="L516" t="s">
        <v>822</v>
      </c>
      <c r="M516" t="s">
        <v>800</v>
      </c>
      <c r="N516">
        <v>1</v>
      </c>
      <c r="O516" s="3">
        <v>18.18</v>
      </c>
      <c r="P516" s="3">
        <v>24.54</v>
      </c>
      <c r="Q516" s="6">
        <v>0.15</v>
      </c>
      <c r="R516" s="3">
        <v>20.858999999999998</v>
      </c>
      <c r="S516" t="s">
        <v>1017</v>
      </c>
    </row>
    <row r="517" spans="1:19" x14ac:dyDescent="0.35">
      <c r="A517" t="s">
        <v>1896</v>
      </c>
      <c r="B517" t="s">
        <v>574</v>
      </c>
      <c r="C517" s="5">
        <v>45571</v>
      </c>
      <c r="D517" s="5">
        <v>45572</v>
      </c>
      <c r="E517" t="s">
        <v>458</v>
      </c>
      <c r="F517" t="s">
        <v>633</v>
      </c>
      <c r="H517" t="s">
        <v>797</v>
      </c>
      <c r="I517" t="s">
        <v>8</v>
      </c>
      <c r="J517" t="s">
        <v>95</v>
      </c>
      <c r="K517" t="s">
        <v>798</v>
      </c>
      <c r="L517" t="s">
        <v>799</v>
      </c>
      <c r="M517" t="s">
        <v>842</v>
      </c>
      <c r="N517">
        <v>1</v>
      </c>
      <c r="O517" s="3">
        <v>23.02</v>
      </c>
      <c r="P517" s="3">
        <v>28.77</v>
      </c>
      <c r="Q517" s="6">
        <v>0.15</v>
      </c>
      <c r="R517" s="3">
        <v>24.454499999999999</v>
      </c>
      <c r="S517" t="s">
        <v>888</v>
      </c>
    </row>
    <row r="518" spans="1:19" x14ac:dyDescent="0.35">
      <c r="A518" t="s">
        <v>1898</v>
      </c>
      <c r="B518" t="s">
        <v>238</v>
      </c>
      <c r="C518" s="5">
        <v>45915</v>
      </c>
      <c r="D518" s="5">
        <v>45917</v>
      </c>
      <c r="E518" t="s">
        <v>239</v>
      </c>
      <c r="F518" t="s">
        <v>254</v>
      </c>
      <c r="G518" t="s">
        <v>243</v>
      </c>
      <c r="H518" t="s">
        <v>14</v>
      </c>
      <c r="I518" t="s">
        <v>14</v>
      </c>
      <c r="J518" t="s">
        <v>24</v>
      </c>
      <c r="K518" t="s">
        <v>798</v>
      </c>
      <c r="L518" t="s">
        <v>822</v>
      </c>
      <c r="M518" t="s">
        <v>818</v>
      </c>
      <c r="N518">
        <v>5</v>
      </c>
      <c r="O518" s="3">
        <v>37.42</v>
      </c>
      <c r="P518" s="3">
        <v>50.52</v>
      </c>
      <c r="Q518" s="6">
        <v>0.05</v>
      </c>
      <c r="R518" s="3">
        <v>239.97000000000003</v>
      </c>
      <c r="S518" t="s">
        <v>790</v>
      </c>
    </row>
    <row r="519" spans="1:19" x14ac:dyDescent="0.35">
      <c r="A519" t="s">
        <v>1901</v>
      </c>
      <c r="B519" t="s">
        <v>306</v>
      </c>
      <c r="C519" s="5">
        <v>45956</v>
      </c>
      <c r="D519" s="5">
        <v>45966</v>
      </c>
      <c r="E519" t="s">
        <v>307</v>
      </c>
      <c r="F519" t="s">
        <v>627</v>
      </c>
      <c r="H519" t="s">
        <v>797</v>
      </c>
      <c r="I519" t="s">
        <v>38</v>
      </c>
      <c r="J519" t="s">
        <v>82</v>
      </c>
      <c r="K519" t="s">
        <v>786</v>
      </c>
      <c r="L519" t="s">
        <v>799</v>
      </c>
      <c r="M519" t="s">
        <v>842</v>
      </c>
      <c r="N519">
        <v>3</v>
      </c>
      <c r="O519" s="3">
        <v>12.54</v>
      </c>
      <c r="P519" s="3">
        <v>16.93</v>
      </c>
      <c r="Q519" s="6">
        <v>0</v>
      </c>
      <c r="R519" s="3">
        <v>50.79</v>
      </c>
      <c r="S519" t="s">
        <v>935</v>
      </c>
    </row>
    <row r="520" spans="1:19" x14ac:dyDescent="0.35">
      <c r="A520" t="s">
        <v>1902</v>
      </c>
      <c r="B520" t="s">
        <v>366</v>
      </c>
      <c r="C520" s="5">
        <v>45658</v>
      </c>
      <c r="E520" t="s">
        <v>245</v>
      </c>
      <c r="F520" t="s">
        <v>637</v>
      </c>
      <c r="G520" t="s">
        <v>243</v>
      </c>
      <c r="H520" t="s">
        <v>20</v>
      </c>
      <c r="I520" t="s">
        <v>20</v>
      </c>
      <c r="J520" t="s">
        <v>34</v>
      </c>
      <c r="K520" t="s">
        <v>798</v>
      </c>
      <c r="L520" t="s">
        <v>787</v>
      </c>
      <c r="M520" t="s">
        <v>818</v>
      </c>
      <c r="N520">
        <v>3</v>
      </c>
      <c r="O520" s="3">
        <v>28.02</v>
      </c>
      <c r="P520" s="3">
        <v>36.43</v>
      </c>
      <c r="Q520" s="6">
        <v>0</v>
      </c>
      <c r="R520" s="3">
        <v>109.28999999999999</v>
      </c>
      <c r="S520" t="s">
        <v>963</v>
      </c>
    </row>
    <row r="521" spans="1:19" x14ac:dyDescent="0.35">
      <c r="A521" t="s">
        <v>1903</v>
      </c>
      <c r="B521" t="s">
        <v>386</v>
      </c>
      <c r="C521" s="5">
        <v>45747</v>
      </c>
      <c r="D521" s="5">
        <v>45757</v>
      </c>
      <c r="E521" t="s">
        <v>387</v>
      </c>
      <c r="F521" t="s">
        <v>681</v>
      </c>
      <c r="G521" t="s">
        <v>243</v>
      </c>
      <c r="H521" t="s">
        <v>797</v>
      </c>
      <c r="I521" t="s">
        <v>8</v>
      </c>
      <c r="J521" t="s">
        <v>207</v>
      </c>
      <c r="K521" t="s">
        <v>798</v>
      </c>
      <c r="L521" t="s">
        <v>822</v>
      </c>
      <c r="M521" t="s">
        <v>800</v>
      </c>
      <c r="N521">
        <v>2</v>
      </c>
      <c r="O521" s="3">
        <v>8.5399999999999991</v>
      </c>
      <c r="P521" s="3">
        <v>10.67</v>
      </c>
      <c r="Q521" s="6">
        <v>0</v>
      </c>
      <c r="R521" s="3">
        <v>21.34</v>
      </c>
      <c r="S521" t="s">
        <v>834</v>
      </c>
    </row>
    <row r="522" spans="1:19" x14ac:dyDescent="0.35">
      <c r="A522" t="s">
        <v>1904</v>
      </c>
      <c r="B522" t="s">
        <v>593</v>
      </c>
      <c r="C522" s="5">
        <v>45932</v>
      </c>
      <c r="E522" t="s">
        <v>594</v>
      </c>
      <c r="F522" t="s">
        <v>674</v>
      </c>
      <c r="G522" t="s">
        <v>243</v>
      </c>
      <c r="H522" t="s">
        <v>797</v>
      </c>
      <c r="I522" t="s">
        <v>79</v>
      </c>
      <c r="J522" t="s">
        <v>124</v>
      </c>
      <c r="K522" t="s">
        <v>798</v>
      </c>
      <c r="L522" t="s">
        <v>793</v>
      </c>
      <c r="M522" t="s">
        <v>800</v>
      </c>
      <c r="N522">
        <v>1</v>
      </c>
      <c r="O522" s="3">
        <v>29.44</v>
      </c>
      <c r="P522" s="3">
        <v>41.22</v>
      </c>
      <c r="Q522" s="6">
        <v>0.05</v>
      </c>
      <c r="R522" s="3">
        <v>39.158999999999999</v>
      </c>
      <c r="S522" t="s">
        <v>1001</v>
      </c>
    </row>
    <row r="523" spans="1:19" x14ac:dyDescent="0.35">
      <c r="A523" t="s">
        <v>1905</v>
      </c>
      <c r="B523" t="s">
        <v>379</v>
      </c>
      <c r="C523" s="5">
        <v>46015</v>
      </c>
      <c r="E523" t="s">
        <v>380</v>
      </c>
      <c r="F523" t="s">
        <v>254</v>
      </c>
      <c r="G523" t="s">
        <v>264</v>
      </c>
      <c r="H523" t="s">
        <v>797</v>
      </c>
      <c r="I523" t="s">
        <v>43</v>
      </c>
      <c r="J523" t="s">
        <v>75</v>
      </c>
      <c r="K523" t="s">
        <v>786</v>
      </c>
      <c r="L523" t="s">
        <v>793</v>
      </c>
      <c r="M523" t="s">
        <v>800</v>
      </c>
      <c r="N523">
        <v>1</v>
      </c>
      <c r="O523" s="3">
        <v>24.35</v>
      </c>
      <c r="P523" s="3">
        <v>34.090000000000003</v>
      </c>
      <c r="Q523" s="6">
        <v>0.1</v>
      </c>
      <c r="R523" s="3">
        <v>30.681000000000004</v>
      </c>
      <c r="S523" t="s">
        <v>892</v>
      </c>
    </row>
    <row r="524" spans="1:19" x14ac:dyDescent="0.35">
      <c r="A524" t="s">
        <v>1906</v>
      </c>
      <c r="B524" t="s">
        <v>532</v>
      </c>
      <c r="C524" s="5">
        <v>45797</v>
      </c>
      <c r="D524" s="5">
        <v>45800</v>
      </c>
      <c r="E524" t="s">
        <v>533</v>
      </c>
      <c r="F524" t="s">
        <v>674</v>
      </c>
      <c r="G524" t="s">
        <v>235</v>
      </c>
      <c r="H524" t="s">
        <v>14</v>
      </c>
      <c r="I524" t="s">
        <v>8</v>
      </c>
      <c r="J524" t="s">
        <v>91</v>
      </c>
      <c r="K524" t="s">
        <v>798</v>
      </c>
      <c r="L524" t="s">
        <v>799</v>
      </c>
      <c r="M524" t="s">
        <v>788</v>
      </c>
      <c r="N524">
        <v>20</v>
      </c>
      <c r="O524" s="3">
        <v>36.82</v>
      </c>
      <c r="P524" s="3">
        <v>47.87</v>
      </c>
      <c r="Q524" s="6">
        <v>0</v>
      </c>
      <c r="R524" s="3">
        <v>957.4</v>
      </c>
      <c r="S524" t="s">
        <v>803</v>
      </c>
    </row>
    <row r="525" spans="1:19" x14ac:dyDescent="0.35">
      <c r="A525" t="s">
        <v>1908</v>
      </c>
      <c r="B525" t="s">
        <v>405</v>
      </c>
      <c r="C525" s="5">
        <v>45358</v>
      </c>
      <c r="D525" s="5">
        <v>45359</v>
      </c>
      <c r="E525" t="s">
        <v>404</v>
      </c>
      <c r="F525" t="s">
        <v>627</v>
      </c>
      <c r="G525" t="s">
        <v>264</v>
      </c>
      <c r="H525" t="s">
        <v>20</v>
      </c>
      <c r="I525" t="s">
        <v>20</v>
      </c>
      <c r="J525" t="s">
        <v>188</v>
      </c>
      <c r="K525" t="s">
        <v>786</v>
      </c>
      <c r="L525" t="s">
        <v>799</v>
      </c>
      <c r="M525" t="s">
        <v>800</v>
      </c>
      <c r="N525">
        <v>3</v>
      </c>
      <c r="O525" s="3">
        <v>24.6</v>
      </c>
      <c r="P525" s="3">
        <v>35.67</v>
      </c>
      <c r="Q525" s="6">
        <v>0</v>
      </c>
      <c r="R525" s="3">
        <v>107.01</v>
      </c>
      <c r="S525" t="s">
        <v>825</v>
      </c>
    </row>
    <row r="526" spans="1:19" x14ac:dyDescent="0.35">
      <c r="A526" t="s">
        <v>1909</v>
      </c>
      <c r="B526" t="s">
        <v>557</v>
      </c>
      <c r="C526" s="5">
        <v>46001</v>
      </c>
      <c r="E526" t="s">
        <v>558</v>
      </c>
      <c r="F526" t="s">
        <v>633</v>
      </c>
      <c r="G526" t="s">
        <v>235</v>
      </c>
      <c r="H526" t="s">
        <v>14</v>
      </c>
      <c r="I526" t="s">
        <v>14</v>
      </c>
      <c r="J526" t="s">
        <v>111</v>
      </c>
      <c r="K526" t="s">
        <v>786</v>
      </c>
      <c r="L526" t="s">
        <v>787</v>
      </c>
      <c r="M526" t="s">
        <v>818</v>
      </c>
      <c r="N526">
        <v>5</v>
      </c>
      <c r="O526" s="3">
        <v>19.850000000000001</v>
      </c>
      <c r="P526" s="3">
        <v>28.78</v>
      </c>
      <c r="Q526" s="6">
        <v>0.15</v>
      </c>
      <c r="R526" s="3">
        <v>122.315</v>
      </c>
      <c r="S526" t="s">
        <v>825</v>
      </c>
    </row>
    <row r="527" spans="1:19" x14ac:dyDescent="0.35">
      <c r="A527" t="s">
        <v>1910</v>
      </c>
      <c r="B527" t="s">
        <v>434</v>
      </c>
      <c r="C527" s="5">
        <v>45957</v>
      </c>
      <c r="E527" t="s">
        <v>435</v>
      </c>
      <c r="F527" t="s">
        <v>696</v>
      </c>
      <c r="G527" t="s">
        <v>264</v>
      </c>
      <c r="H527" t="s">
        <v>20</v>
      </c>
      <c r="I527" t="s">
        <v>38</v>
      </c>
      <c r="J527" t="s">
        <v>156</v>
      </c>
      <c r="K527" t="s">
        <v>798</v>
      </c>
      <c r="L527" t="s">
        <v>787</v>
      </c>
      <c r="M527" t="s">
        <v>818</v>
      </c>
      <c r="N527">
        <v>12</v>
      </c>
      <c r="O527" s="3">
        <v>20.81</v>
      </c>
      <c r="P527" s="3">
        <v>29.13</v>
      </c>
      <c r="Q527" s="6">
        <v>0.05</v>
      </c>
      <c r="R527" s="3">
        <v>332.08199999999999</v>
      </c>
      <c r="S527" t="s">
        <v>814</v>
      </c>
    </row>
    <row r="528" spans="1:19" x14ac:dyDescent="0.35">
      <c r="A528" t="s">
        <v>1912</v>
      </c>
      <c r="B528" t="s">
        <v>595</v>
      </c>
      <c r="C528" s="5">
        <v>45821</v>
      </c>
      <c r="D528" s="5">
        <v>45825</v>
      </c>
      <c r="E528" t="s">
        <v>253</v>
      </c>
      <c r="F528" t="s">
        <v>674</v>
      </c>
      <c r="G528" t="s">
        <v>235</v>
      </c>
      <c r="H528" t="s">
        <v>797</v>
      </c>
      <c r="I528" t="s">
        <v>8</v>
      </c>
      <c r="J528" t="s">
        <v>192</v>
      </c>
      <c r="K528" t="s">
        <v>786</v>
      </c>
      <c r="L528" t="s">
        <v>799</v>
      </c>
      <c r="M528" t="s">
        <v>800</v>
      </c>
      <c r="N528">
        <v>1</v>
      </c>
      <c r="O528" s="3">
        <v>19.47</v>
      </c>
      <c r="P528" s="3">
        <v>28.23</v>
      </c>
      <c r="Q528" s="6">
        <v>0</v>
      </c>
      <c r="R528" s="3">
        <v>28.23</v>
      </c>
      <c r="S528" t="s">
        <v>935</v>
      </c>
    </row>
    <row r="529" spans="1:19" x14ac:dyDescent="0.35">
      <c r="A529" t="s">
        <v>1913</v>
      </c>
      <c r="B529" t="s">
        <v>541</v>
      </c>
      <c r="C529" s="5">
        <v>45634</v>
      </c>
      <c r="E529" t="s">
        <v>542</v>
      </c>
      <c r="F529" t="s">
        <v>637</v>
      </c>
      <c r="G529" t="s">
        <v>235</v>
      </c>
      <c r="H529" t="s">
        <v>797</v>
      </c>
      <c r="I529" t="s">
        <v>14</v>
      </c>
      <c r="J529" t="s">
        <v>56</v>
      </c>
      <c r="K529" t="s">
        <v>798</v>
      </c>
      <c r="L529" t="s">
        <v>817</v>
      </c>
      <c r="M529" t="s">
        <v>818</v>
      </c>
      <c r="N529">
        <v>12</v>
      </c>
      <c r="O529" s="3">
        <v>25.46</v>
      </c>
      <c r="P529" s="3">
        <v>31.83</v>
      </c>
      <c r="Q529" s="6">
        <v>0</v>
      </c>
      <c r="R529" s="3">
        <v>381.96</v>
      </c>
      <c r="S529" t="s">
        <v>794</v>
      </c>
    </row>
    <row r="530" spans="1:19" x14ac:dyDescent="0.35">
      <c r="A530" t="s">
        <v>1915</v>
      </c>
      <c r="B530" t="s">
        <v>437</v>
      </c>
      <c r="C530" s="5">
        <v>45493</v>
      </c>
      <c r="E530" t="s">
        <v>396</v>
      </c>
      <c r="F530" t="s">
        <v>633</v>
      </c>
      <c r="G530" t="s">
        <v>264</v>
      </c>
      <c r="H530" t="s">
        <v>797</v>
      </c>
      <c r="I530" t="s">
        <v>8</v>
      </c>
      <c r="J530" t="s">
        <v>174</v>
      </c>
      <c r="K530" t="s">
        <v>798</v>
      </c>
      <c r="L530" t="s">
        <v>787</v>
      </c>
      <c r="M530" t="s">
        <v>818</v>
      </c>
      <c r="N530">
        <v>3</v>
      </c>
      <c r="O530" s="3">
        <v>32.53</v>
      </c>
      <c r="P530" s="3">
        <v>43.92</v>
      </c>
      <c r="Q530" s="6">
        <v>0</v>
      </c>
      <c r="R530" s="3">
        <v>131.76</v>
      </c>
      <c r="S530" t="s">
        <v>803</v>
      </c>
    </row>
    <row r="531" spans="1:19" x14ac:dyDescent="0.35">
      <c r="A531" t="s">
        <v>1916</v>
      </c>
      <c r="B531" t="s">
        <v>401</v>
      </c>
      <c r="C531" s="5">
        <v>45933</v>
      </c>
      <c r="E531" t="s">
        <v>402</v>
      </c>
      <c r="F531" t="s">
        <v>674</v>
      </c>
      <c r="G531" t="s">
        <v>243</v>
      </c>
      <c r="H531" t="s">
        <v>797</v>
      </c>
      <c r="I531" t="s">
        <v>8</v>
      </c>
      <c r="J531" t="s">
        <v>73</v>
      </c>
      <c r="K531" t="s">
        <v>798</v>
      </c>
      <c r="L531" t="s">
        <v>793</v>
      </c>
      <c r="M531" t="s">
        <v>842</v>
      </c>
      <c r="N531">
        <v>12</v>
      </c>
      <c r="O531" s="3">
        <v>67.95</v>
      </c>
      <c r="P531" s="3">
        <v>88.34</v>
      </c>
      <c r="Q531" s="6">
        <v>0</v>
      </c>
      <c r="R531" s="3">
        <v>1060.08</v>
      </c>
      <c r="S531" t="s">
        <v>892</v>
      </c>
    </row>
    <row r="532" spans="1:19" x14ac:dyDescent="0.35">
      <c r="A532" t="s">
        <v>1918</v>
      </c>
      <c r="B532" t="s">
        <v>614</v>
      </c>
      <c r="C532" s="5">
        <v>45534</v>
      </c>
      <c r="D532" s="5">
        <v>45535</v>
      </c>
      <c r="E532" t="s">
        <v>615</v>
      </c>
      <c r="F532" t="s">
        <v>627</v>
      </c>
      <c r="G532" t="s">
        <v>235</v>
      </c>
      <c r="H532" t="s">
        <v>14</v>
      </c>
      <c r="I532" t="s">
        <v>20</v>
      </c>
      <c r="J532" t="s">
        <v>51</v>
      </c>
      <c r="K532" t="s">
        <v>786</v>
      </c>
      <c r="L532" t="s">
        <v>799</v>
      </c>
      <c r="M532" t="s">
        <v>842</v>
      </c>
      <c r="N532">
        <v>3</v>
      </c>
      <c r="O532" s="3">
        <v>11.28</v>
      </c>
      <c r="P532" s="3">
        <v>15.23</v>
      </c>
      <c r="Q532" s="6">
        <v>0</v>
      </c>
      <c r="R532" s="3">
        <v>45.69</v>
      </c>
      <c r="S532" t="s">
        <v>829</v>
      </c>
    </row>
    <row r="533" spans="1:19" x14ac:dyDescent="0.35">
      <c r="A533" t="s">
        <v>1919</v>
      </c>
      <c r="B533" t="s">
        <v>585</v>
      </c>
      <c r="C533" s="5">
        <v>45678</v>
      </c>
      <c r="D533" s="5">
        <v>45685</v>
      </c>
      <c r="E533" t="s">
        <v>586</v>
      </c>
      <c r="F533" t="s">
        <v>254</v>
      </c>
      <c r="G533" t="s">
        <v>235</v>
      </c>
      <c r="H533" t="s">
        <v>20</v>
      </c>
      <c r="I533" t="s">
        <v>48</v>
      </c>
      <c r="J533" t="s">
        <v>179</v>
      </c>
      <c r="K533" t="s">
        <v>813</v>
      </c>
      <c r="L533" t="s">
        <v>799</v>
      </c>
      <c r="M533" t="s">
        <v>842</v>
      </c>
      <c r="N533">
        <v>20</v>
      </c>
      <c r="O533" s="3">
        <v>16.670000000000002</v>
      </c>
      <c r="P533" s="3">
        <v>22.5</v>
      </c>
      <c r="Q533" s="6">
        <v>0</v>
      </c>
      <c r="R533" s="3">
        <v>450</v>
      </c>
      <c r="S533" t="s">
        <v>946</v>
      </c>
    </row>
    <row r="534" spans="1:19" x14ac:dyDescent="0.35">
      <c r="A534" t="s">
        <v>1921</v>
      </c>
      <c r="B534" t="s">
        <v>579</v>
      </c>
      <c r="C534" s="5">
        <v>45359</v>
      </c>
      <c r="E534" t="s">
        <v>514</v>
      </c>
      <c r="F534" t="s">
        <v>254</v>
      </c>
      <c r="G534" t="s">
        <v>243</v>
      </c>
      <c r="H534" t="s">
        <v>14</v>
      </c>
      <c r="I534" t="s">
        <v>8</v>
      </c>
      <c r="J534" t="s">
        <v>95</v>
      </c>
      <c r="K534" t="s">
        <v>798</v>
      </c>
      <c r="L534" t="s">
        <v>793</v>
      </c>
      <c r="M534" t="s">
        <v>842</v>
      </c>
      <c r="N534">
        <v>3</v>
      </c>
      <c r="O534" s="3">
        <v>23.02</v>
      </c>
      <c r="P534" s="3">
        <v>28.77</v>
      </c>
      <c r="Q534" s="6">
        <v>0.1</v>
      </c>
      <c r="R534" s="3">
        <v>77.679000000000002</v>
      </c>
      <c r="S534" t="s">
        <v>876</v>
      </c>
    </row>
    <row r="535" spans="1:19" x14ac:dyDescent="0.35">
      <c r="A535" t="s">
        <v>1922</v>
      </c>
      <c r="B535" t="s">
        <v>573</v>
      </c>
      <c r="C535" s="5">
        <v>45530</v>
      </c>
      <c r="D535" s="5">
        <v>45531</v>
      </c>
      <c r="E535" t="s">
        <v>277</v>
      </c>
      <c r="F535" t="s">
        <v>627</v>
      </c>
      <c r="G535" t="s">
        <v>235</v>
      </c>
      <c r="H535" t="s">
        <v>797</v>
      </c>
      <c r="I535" t="s">
        <v>29</v>
      </c>
      <c r="J535" t="s">
        <v>158</v>
      </c>
      <c r="K535" t="s">
        <v>798</v>
      </c>
      <c r="L535" t="s">
        <v>799</v>
      </c>
      <c r="M535" t="s">
        <v>842</v>
      </c>
      <c r="N535">
        <v>1</v>
      </c>
      <c r="O535" s="3">
        <v>25.8</v>
      </c>
      <c r="P535" s="3">
        <v>36.119999999999997</v>
      </c>
      <c r="Q535" s="6">
        <v>0</v>
      </c>
      <c r="R535" s="3">
        <v>36.119999999999997</v>
      </c>
      <c r="S535" t="s">
        <v>869</v>
      </c>
    </row>
    <row r="536" spans="1:19" x14ac:dyDescent="0.35">
      <c r="A536" t="s">
        <v>1923</v>
      </c>
      <c r="B536" t="s">
        <v>437</v>
      </c>
      <c r="C536" s="5">
        <v>45756</v>
      </c>
      <c r="D536" s="5">
        <v>45766</v>
      </c>
      <c r="E536" t="s">
        <v>396</v>
      </c>
      <c r="F536" t="s">
        <v>627</v>
      </c>
      <c r="G536" t="s">
        <v>264</v>
      </c>
      <c r="H536" t="s">
        <v>797</v>
      </c>
      <c r="I536" t="s">
        <v>48</v>
      </c>
      <c r="J536" t="s">
        <v>177</v>
      </c>
      <c r="K536" t="s">
        <v>813</v>
      </c>
      <c r="L536" t="s">
        <v>799</v>
      </c>
      <c r="M536" t="s">
        <v>842</v>
      </c>
      <c r="N536">
        <v>2</v>
      </c>
      <c r="O536" s="3">
        <v>41.79</v>
      </c>
      <c r="P536" s="3">
        <v>60.6</v>
      </c>
      <c r="Q536" s="6">
        <v>0.1</v>
      </c>
      <c r="R536" s="3">
        <v>109.08</v>
      </c>
      <c r="S536" t="s">
        <v>963</v>
      </c>
    </row>
    <row r="537" spans="1:19" x14ac:dyDescent="0.35">
      <c r="A537" t="s">
        <v>1924</v>
      </c>
      <c r="B537" t="s">
        <v>515</v>
      </c>
      <c r="C537" s="5">
        <v>45421</v>
      </c>
      <c r="D537" s="5">
        <v>45422</v>
      </c>
      <c r="E537" t="s">
        <v>512</v>
      </c>
      <c r="F537" t="s">
        <v>633</v>
      </c>
      <c r="G537" t="s">
        <v>235</v>
      </c>
      <c r="H537" t="s">
        <v>797</v>
      </c>
      <c r="I537" t="s">
        <v>8</v>
      </c>
      <c r="J537" t="s">
        <v>73</v>
      </c>
      <c r="K537" t="s">
        <v>798</v>
      </c>
      <c r="L537" t="s">
        <v>799</v>
      </c>
      <c r="M537" t="s">
        <v>788</v>
      </c>
      <c r="N537">
        <v>3</v>
      </c>
      <c r="O537" s="3">
        <v>67.95</v>
      </c>
      <c r="P537" s="3">
        <v>88.34</v>
      </c>
      <c r="Q537" s="6">
        <v>0</v>
      </c>
      <c r="R537" s="3">
        <v>265.02</v>
      </c>
      <c r="S537" t="s">
        <v>888</v>
      </c>
    </row>
    <row r="538" spans="1:19" x14ac:dyDescent="0.35">
      <c r="A538" t="s">
        <v>1926</v>
      </c>
      <c r="B538" t="s">
        <v>428</v>
      </c>
      <c r="C538" s="5">
        <v>45353</v>
      </c>
      <c r="D538" s="5">
        <v>45356</v>
      </c>
      <c r="E538" t="s">
        <v>429</v>
      </c>
      <c r="F538" t="s">
        <v>627</v>
      </c>
      <c r="G538" t="s">
        <v>264</v>
      </c>
      <c r="H538" t="s">
        <v>797</v>
      </c>
      <c r="I538" t="s">
        <v>29</v>
      </c>
      <c r="J538" t="s">
        <v>86</v>
      </c>
      <c r="K538" t="s">
        <v>786</v>
      </c>
      <c r="L538" t="s">
        <v>799</v>
      </c>
      <c r="M538" t="s">
        <v>800</v>
      </c>
      <c r="N538">
        <v>12</v>
      </c>
      <c r="O538" s="3">
        <v>8.35</v>
      </c>
      <c r="P538" s="3">
        <v>12.11</v>
      </c>
      <c r="Q538" s="6">
        <v>0.1</v>
      </c>
      <c r="R538" s="3">
        <v>130.78799999999998</v>
      </c>
      <c r="S538" t="s">
        <v>790</v>
      </c>
    </row>
    <row r="539" spans="1:19" x14ac:dyDescent="0.35">
      <c r="A539" t="s">
        <v>1927</v>
      </c>
      <c r="B539" t="s">
        <v>428</v>
      </c>
      <c r="C539" s="5">
        <v>45442</v>
      </c>
      <c r="E539" t="s">
        <v>429</v>
      </c>
      <c r="F539" t="s">
        <v>627</v>
      </c>
      <c r="G539" t="s">
        <v>264</v>
      </c>
      <c r="H539" t="s">
        <v>797</v>
      </c>
      <c r="I539" t="s">
        <v>43</v>
      </c>
      <c r="J539" t="s">
        <v>99</v>
      </c>
      <c r="K539" t="s">
        <v>798</v>
      </c>
      <c r="L539" t="s">
        <v>787</v>
      </c>
      <c r="M539" t="s">
        <v>788</v>
      </c>
      <c r="N539">
        <v>12</v>
      </c>
      <c r="O539" s="3">
        <v>10.88</v>
      </c>
      <c r="P539" s="3">
        <v>15.78</v>
      </c>
      <c r="Q539" s="6">
        <v>0</v>
      </c>
      <c r="R539" s="3">
        <v>189.35999999999999</v>
      </c>
      <c r="S539" t="s">
        <v>794</v>
      </c>
    </row>
    <row r="540" spans="1:19" x14ac:dyDescent="0.35">
      <c r="A540" t="s">
        <v>1929</v>
      </c>
      <c r="B540" t="s">
        <v>283</v>
      </c>
      <c r="C540" s="5">
        <v>45811</v>
      </c>
      <c r="D540" s="5">
        <v>45815</v>
      </c>
      <c r="E540" t="s">
        <v>284</v>
      </c>
      <c r="F540" t="s">
        <v>696</v>
      </c>
      <c r="G540" t="s">
        <v>264</v>
      </c>
      <c r="H540" t="s">
        <v>797</v>
      </c>
      <c r="I540" t="s">
        <v>38</v>
      </c>
      <c r="J540" t="s">
        <v>69</v>
      </c>
      <c r="K540" t="s">
        <v>786</v>
      </c>
      <c r="L540" t="s">
        <v>799</v>
      </c>
      <c r="M540" t="s">
        <v>788</v>
      </c>
      <c r="N540">
        <v>12</v>
      </c>
      <c r="O540" s="3">
        <v>20.9</v>
      </c>
      <c r="P540" s="3">
        <v>28.21</v>
      </c>
      <c r="Q540" s="6">
        <v>0</v>
      </c>
      <c r="R540" s="3">
        <v>338.52</v>
      </c>
      <c r="S540" t="s">
        <v>1134</v>
      </c>
    </row>
    <row r="541" spans="1:19" x14ac:dyDescent="0.35">
      <c r="A541" t="s">
        <v>1930</v>
      </c>
      <c r="B541" t="s">
        <v>585</v>
      </c>
      <c r="C541" s="5">
        <v>45975</v>
      </c>
      <c r="E541" t="s">
        <v>586</v>
      </c>
      <c r="F541" t="s">
        <v>681</v>
      </c>
      <c r="G541" t="s">
        <v>235</v>
      </c>
      <c r="H541" t="s">
        <v>48</v>
      </c>
      <c r="I541" t="s">
        <v>8</v>
      </c>
      <c r="J541" t="s">
        <v>23</v>
      </c>
      <c r="K541" t="s">
        <v>798</v>
      </c>
      <c r="L541" t="s">
        <v>793</v>
      </c>
      <c r="M541" t="s">
        <v>800</v>
      </c>
      <c r="N541">
        <v>10</v>
      </c>
      <c r="O541" s="3">
        <v>58.47</v>
      </c>
      <c r="P541" s="3">
        <v>84.78</v>
      </c>
      <c r="Q541" s="6">
        <v>0.1</v>
      </c>
      <c r="R541" s="3">
        <v>763.02</v>
      </c>
      <c r="S541" t="s">
        <v>859</v>
      </c>
    </row>
    <row r="542" spans="1:19" x14ac:dyDescent="0.35">
      <c r="A542" t="s">
        <v>1931</v>
      </c>
      <c r="B542" t="s">
        <v>358</v>
      </c>
      <c r="C542" s="5">
        <v>45720</v>
      </c>
      <c r="E542" t="s">
        <v>287</v>
      </c>
      <c r="F542" t="s">
        <v>254</v>
      </c>
      <c r="G542" t="s">
        <v>243</v>
      </c>
      <c r="H542" t="s">
        <v>14</v>
      </c>
      <c r="I542" t="s">
        <v>20</v>
      </c>
      <c r="J542" t="s">
        <v>34</v>
      </c>
      <c r="K542" t="s">
        <v>786</v>
      </c>
      <c r="L542" t="s">
        <v>787</v>
      </c>
      <c r="M542" t="s">
        <v>788</v>
      </c>
      <c r="N542">
        <v>3</v>
      </c>
      <c r="O542" s="3">
        <v>28.02</v>
      </c>
      <c r="P542" s="3">
        <v>36.43</v>
      </c>
      <c r="Q542" s="6">
        <v>0</v>
      </c>
      <c r="R542" s="3">
        <v>109.28999999999999</v>
      </c>
      <c r="S542" t="s">
        <v>869</v>
      </c>
    </row>
    <row r="543" spans="1:19" x14ac:dyDescent="0.35">
      <c r="A543" t="s">
        <v>1932</v>
      </c>
      <c r="B543" t="s">
        <v>497</v>
      </c>
      <c r="C543" s="5">
        <v>45520</v>
      </c>
      <c r="D543" s="5">
        <v>45524</v>
      </c>
      <c r="E543" t="s">
        <v>296</v>
      </c>
      <c r="F543" t="s">
        <v>627</v>
      </c>
      <c r="G543" t="s">
        <v>235</v>
      </c>
      <c r="H543" t="s">
        <v>797</v>
      </c>
      <c r="I543" t="s">
        <v>8</v>
      </c>
      <c r="J543" t="s">
        <v>73</v>
      </c>
      <c r="K543" t="s">
        <v>798</v>
      </c>
      <c r="L543" t="s">
        <v>799</v>
      </c>
      <c r="M543" t="s">
        <v>800</v>
      </c>
      <c r="N543">
        <v>20</v>
      </c>
      <c r="O543" s="3">
        <v>67.95</v>
      </c>
      <c r="P543" s="3">
        <v>88.34</v>
      </c>
      <c r="Q543" s="6">
        <v>0.15</v>
      </c>
      <c r="R543" s="3">
        <v>1501.7800000000002</v>
      </c>
      <c r="S543" t="s">
        <v>935</v>
      </c>
    </row>
    <row r="544" spans="1:19" x14ac:dyDescent="0.35">
      <c r="A544" t="s">
        <v>1933</v>
      </c>
      <c r="B544" t="s">
        <v>238</v>
      </c>
      <c r="C544" s="5">
        <v>45701</v>
      </c>
      <c r="D544" s="5">
        <v>45705</v>
      </c>
      <c r="E544" t="s">
        <v>239</v>
      </c>
      <c r="F544" t="s">
        <v>633</v>
      </c>
      <c r="G544" t="s">
        <v>243</v>
      </c>
      <c r="H544" t="s">
        <v>797</v>
      </c>
      <c r="I544" t="s">
        <v>8</v>
      </c>
      <c r="J544" t="s">
        <v>129</v>
      </c>
      <c r="K544" t="s">
        <v>798</v>
      </c>
      <c r="L544" t="s">
        <v>799</v>
      </c>
      <c r="M544" t="s">
        <v>788</v>
      </c>
      <c r="N544">
        <v>12</v>
      </c>
      <c r="O544" s="3">
        <v>22.15</v>
      </c>
      <c r="P544" s="3">
        <v>31.01</v>
      </c>
      <c r="Q544" s="6">
        <v>0</v>
      </c>
      <c r="R544" s="3">
        <v>372.12</v>
      </c>
      <c r="S544" t="s">
        <v>845</v>
      </c>
    </row>
    <row r="545" spans="1:19" x14ac:dyDescent="0.35">
      <c r="A545" t="s">
        <v>1934</v>
      </c>
      <c r="B545" t="s">
        <v>611</v>
      </c>
      <c r="C545" s="5">
        <v>45938</v>
      </c>
      <c r="E545" t="s">
        <v>287</v>
      </c>
      <c r="F545" t="s">
        <v>633</v>
      </c>
      <c r="G545" t="s">
        <v>235</v>
      </c>
      <c r="H545" t="s">
        <v>797</v>
      </c>
      <c r="I545" t="s">
        <v>8</v>
      </c>
      <c r="J545" t="s">
        <v>192</v>
      </c>
      <c r="K545" t="s">
        <v>813</v>
      </c>
      <c r="L545" t="s">
        <v>793</v>
      </c>
      <c r="M545" t="s">
        <v>788</v>
      </c>
      <c r="N545">
        <v>12</v>
      </c>
      <c r="O545" s="3">
        <v>19.47</v>
      </c>
      <c r="P545" s="3">
        <v>28.23</v>
      </c>
      <c r="Q545" s="6">
        <v>0</v>
      </c>
      <c r="R545" s="3">
        <v>338.76</v>
      </c>
      <c r="S545" t="s">
        <v>1017</v>
      </c>
    </row>
    <row r="546" spans="1:19" x14ac:dyDescent="0.35">
      <c r="A546" t="s">
        <v>1935</v>
      </c>
      <c r="B546" t="s">
        <v>440</v>
      </c>
      <c r="C546" s="5">
        <v>46028</v>
      </c>
      <c r="E546" t="s">
        <v>441</v>
      </c>
      <c r="F546" t="s">
        <v>637</v>
      </c>
      <c r="G546" t="s">
        <v>264</v>
      </c>
      <c r="H546" t="s">
        <v>14</v>
      </c>
      <c r="I546" t="s">
        <v>43</v>
      </c>
      <c r="J546" t="s">
        <v>53</v>
      </c>
      <c r="K546" t="s">
        <v>813</v>
      </c>
      <c r="L546" t="s">
        <v>787</v>
      </c>
      <c r="M546" t="s">
        <v>800</v>
      </c>
      <c r="N546">
        <v>1</v>
      </c>
      <c r="O546" s="3">
        <v>54.93</v>
      </c>
      <c r="P546" s="3">
        <v>79.650000000000006</v>
      </c>
      <c r="Q546" s="6">
        <v>0</v>
      </c>
      <c r="R546" s="3">
        <v>79.650000000000006</v>
      </c>
      <c r="S546" t="s">
        <v>839</v>
      </c>
    </row>
    <row r="547" spans="1:19" x14ac:dyDescent="0.35">
      <c r="A547" t="s">
        <v>1936</v>
      </c>
      <c r="B547" t="s">
        <v>459</v>
      </c>
      <c r="C547" s="5">
        <v>45985</v>
      </c>
      <c r="D547" s="5">
        <v>45991</v>
      </c>
      <c r="E547" t="s">
        <v>460</v>
      </c>
      <c r="F547" t="s">
        <v>681</v>
      </c>
      <c r="G547" t="s">
        <v>264</v>
      </c>
      <c r="H547" t="s">
        <v>20</v>
      </c>
      <c r="I547" t="s">
        <v>29</v>
      </c>
      <c r="J547" t="s">
        <v>154</v>
      </c>
      <c r="K547" t="s">
        <v>813</v>
      </c>
      <c r="L547" t="s">
        <v>822</v>
      </c>
      <c r="M547" t="s">
        <v>800</v>
      </c>
      <c r="N547">
        <v>5</v>
      </c>
      <c r="O547" s="3">
        <v>25.74</v>
      </c>
      <c r="P547" s="3">
        <v>33.46</v>
      </c>
      <c r="Q547" s="6">
        <v>0.05</v>
      </c>
      <c r="R547" s="3">
        <v>158.935</v>
      </c>
      <c r="S547" t="s">
        <v>794</v>
      </c>
    </row>
    <row r="548" spans="1:19" x14ac:dyDescent="0.35">
      <c r="A548" t="s">
        <v>1937</v>
      </c>
      <c r="B548" t="s">
        <v>522</v>
      </c>
      <c r="C548" s="5">
        <v>45673</v>
      </c>
      <c r="D548" s="5">
        <v>45676</v>
      </c>
      <c r="E548" t="s">
        <v>523</v>
      </c>
      <c r="F548" t="s">
        <v>637</v>
      </c>
      <c r="G548" t="s">
        <v>264</v>
      </c>
      <c r="H548" t="s">
        <v>48</v>
      </c>
      <c r="I548" t="s">
        <v>48</v>
      </c>
      <c r="J548" t="s">
        <v>54</v>
      </c>
      <c r="K548" t="s">
        <v>786</v>
      </c>
      <c r="L548" t="s">
        <v>799</v>
      </c>
      <c r="M548" t="s">
        <v>842</v>
      </c>
      <c r="N548">
        <v>5</v>
      </c>
      <c r="O548" s="3">
        <v>21.67</v>
      </c>
      <c r="P548" s="3">
        <v>28.17</v>
      </c>
      <c r="Q548" s="6">
        <v>0</v>
      </c>
      <c r="R548" s="3">
        <v>140.85000000000002</v>
      </c>
      <c r="S548" t="s">
        <v>888</v>
      </c>
    </row>
    <row r="549" spans="1:19" x14ac:dyDescent="0.35">
      <c r="A549" t="s">
        <v>1940</v>
      </c>
      <c r="B549" t="s">
        <v>525</v>
      </c>
      <c r="C549" s="5">
        <v>45486</v>
      </c>
      <c r="E549" t="s">
        <v>526</v>
      </c>
      <c r="F549" t="s">
        <v>696</v>
      </c>
      <c r="G549" t="s">
        <v>243</v>
      </c>
      <c r="H549" t="s">
        <v>14</v>
      </c>
      <c r="I549" t="s">
        <v>14</v>
      </c>
      <c r="J549" t="s">
        <v>128</v>
      </c>
      <c r="K549" t="s">
        <v>798</v>
      </c>
      <c r="L549" t="s">
        <v>793</v>
      </c>
      <c r="M549" t="s">
        <v>788</v>
      </c>
      <c r="N549">
        <v>2</v>
      </c>
      <c r="O549" s="3">
        <v>18.850000000000001</v>
      </c>
      <c r="P549" s="3">
        <v>27.33</v>
      </c>
      <c r="Q549" s="6">
        <v>0</v>
      </c>
      <c r="R549" s="3">
        <v>54.66</v>
      </c>
      <c r="S549" t="s">
        <v>946</v>
      </c>
    </row>
    <row r="550" spans="1:19" x14ac:dyDescent="0.35">
      <c r="A550" t="s">
        <v>1941</v>
      </c>
      <c r="B550" t="s">
        <v>527</v>
      </c>
      <c r="C550" s="5">
        <v>45893</v>
      </c>
      <c r="E550" t="s">
        <v>282</v>
      </c>
      <c r="F550" t="s">
        <v>633</v>
      </c>
      <c r="G550" t="s">
        <v>235</v>
      </c>
      <c r="H550" t="s">
        <v>20</v>
      </c>
      <c r="I550" t="s">
        <v>14</v>
      </c>
      <c r="J550" t="s">
        <v>67</v>
      </c>
      <c r="K550" t="s">
        <v>798</v>
      </c>
      <c r="L550" t="s">
        <v>787</v>
      </c>
      <c r="M550" t="s">
        <v>800</v>
      </c>
      <c r="N550">
        <v>10</v>
      </c>
      <c r="O550" s="3">
        <v>17.63</v>
      </c>
      <c r="P550" s="3">
        <v>22.92</v>
      </c>
      <c r="Q550" s="6">
        <v>0</v>
      </c>
      <c r="R550" s="3">
        <v>229.20000000000002</v>
      </c>
      <c r="S550" t="s">
        <v>892</v>
      </c>
    </row>
    <row r="551" spans="1:19" x14ac:dyDescent="0.35">
      <c r="A551" t="s">
        <v>1942</v>
      </c>
      <c r="B551" t="s">
        <v>379</v>
      </c>
      <c r="C551" s="5">
        <v>45890</v>
      </c>
      <c r="D551" s="5">
        <v>45897</v>
      </c>
      <c r="E551" t="s">
        <v>380</v>
      </c>
      <c r="F551" t="s">
        <v>681</v>
      </c>
      <c r="G551" t="s">
        <v>264</v>
      </c>
      <c r="H551" t="s">
        <v>797</v>
      </c>
      <c r="I551" t="s">
        <v>48</v>
      </c>
      <c r="J551" t="s">
        <v>143</v>
      </c>
      <c r="K551" t="s">
        <v>798</v>
      </c>
      <c r="L551" t="s">
        <v>799</v>
      </c>
      <c r="M551" t="s">
        <v>842</v>
      </c>
      <c r="N551">
        <v>5</v>
      </c>
      <c r="O551" s="3">
        <v>29.93</v>
      </c>
      <c r="P551" s="3">
        <v>38.909999999999997</v>
      </c>
      <c r="Q551" s="6">
        <v>0</v>
      </c>
      <c r="R551" s="3">
        <v>194.54999999999998</v>
      </c>
      <c r="S551" t="s">
        <v>892</v>
      </c>
    </row>
    <row r="552" spans="1:19" x14ac:dyDescent="0.35">
      <c r="A552" t="s">
        <v>1943</v>
      </c>
      <c r="B552" t="s">
        <v>455</v>
      </c>
      <c r="C552" s="5">
        <v>45952</v>
      </c>
      <c r="D552" s="5">
        <v>45960</v>
      </c>
      <c r="E552" t="s">
        <v>456</v>
      </c>
      <c r="F552" t="s">
        <v>696</v>
      </c>
      <c r="G552" t="s">
        <v>264</v>
      </c>
      <c r="H552" t="s">
        <v>14</v>
      </c>
      <c r="I552" t="s">
        <v>14</v>
      </c>
      <c r="J552" t="s">
        <v>111</v>
      </c>
      <c r="K552" t="s">
        <v>813</v>
      </c>
      <c r="L552" t="s">
        <v>799</v>
      </c>
      <c r="M552" t="s">
        <v>818</v>
      </c>
      <c r="N552">
        <v>12</v>
      </c>
      <c r="O552" s="3">
        <v>19.850000000000001</v>
      </c>
      <c r="P552" s="3">
        <v>28.78</v>
      </c>
      <c r="Q552" s="6">
        <v>0.15</v>
      </c>
      <c r="R552" s="3">
        <v>293.55600000000004</v>
      </c>
      <c r="S552" t="s">
        <v>819</v>
      </c>
    </row>
    <row r="553" spans="1:19" x14ac:dyDescent="0.35">
      <c r="A553" t="s">
        <v>1944</v>
      </c>
      <c r="B553" t="s">
        <v>467</v>
      </c>
      <c r="C553" s="5">
        <v>45566</v>
      </c>
      <c r="E553" t="s">
        <v>468</v>
      </c>
      <c r="F553" t="s">
        <v>681</v>
      </c>
      <c r="G553" t="s">
        <v>235</v>
      </c>
      <c r="H553" t="s">
        <v>48</v>
      </c>
      <c r="I553" t="s">
        <v>29</v>
      </c>
      <c r="J553" t="s">
        <v>49</v>
      </c>
      <c r="K553" t="s">
        <v>798</v>
      </c>
      <c r="L553" t="s">
        <v>787</v>
      </c>
      <c r="M553" t="s">
        <v>788</v>
      </c>
      <c r="N553">
        <v>5</v>
      </c>
      <c r="O553" s="3">
        <v>14.89</v>
      </c>
      <c r="P553" s="3">
        <v>20.85</v>
      </c>
      <c r="Q553" s="6">
        <v>0</v>
      </c>
      <c r="R553" s="3">
        <v>104.25</v>
      </c>
      <c r="S553" t="s">
        <v>845</v>
      </c>
    </row>
    <row r="554" spans="1:19" x14ac:dyDescent="0.35">
      <c r="A554" t="s">
        <v>1946</v>
      </c>
      <c r="B554" t="s">
        <v>384</v>
      </c>
      <c r="C554" s="5">
        <v>45532</v>
      </c>
      <c r="E554" t="s">
        <v>385</v>
      </c>
      <c r="F554" t="s">
        <v>633</v>
      </c>
      <c r="G554" t="s">
        <v>264</v>
      </c>
      <c r="H554" t="s">
        <v>797</v>
      </c>
      <c r="I554" t="s">
        <v>8</v>
      </c>
      <c r="J554" t="s">
        <v>174</v>
      </c>
      <c r="K554" t="s">
        <v>798</v>
      </c>
      <c r="L554" t="s">
        <v>787</v>
      </c>
      <c r="M554" t="s">
        <v>800</v>
      </c>
      <c r="N554">
        <v>10</v>
      </c>
      <c r="O554" s="3">
        <v>32.53</v>
      </c>
      <c r="P554" s="3">
        <v>43.92</v>
      </c>
      <c r="Q554" s="6">
        <v>0</v>
      </c>
      <c r="R554" s="3">
        <v>439.20000000000005</v>
      </c>
      <c r="S554" t="s">
        <v>790</v>
      </c>
    </row>
    <row r="555" spans="1:19" x14ac:dyDescent="0.35">
      <c r="A555" t="s">
        <v>1947</v>
      </c>
      <c r="B555" t="s">
        <v>606</v>
      </c>
      <c r="C555" s="5">
        <v>45378</v>
      </c>
      <c r="E555" t="s">
        <v>600</v>
      </c>
      <c r="F555" t="s">
        <v>254</v>
      </c>
      <c r="H555" t="s">
        <v>797</v>
      </c>
      <c r="I555" t="s">
        <v>8</v>
      </c>
      <c r="J555" t="s">
        <v>6</v>
      </c>
      <c r="K555" t="s">
        <v>798</v>
      </c>
      <c r="L555" t="s">
        <v>793</v>
      </c>
      <c r="M555" t="s">
        <v>842</v>
      </c>
      <c r="N555">
        <v>3</v>
      </c>
      <c r="O555" s="3">
        <v>32.24</v>
      </c>
      <c r="P555" s="3">
        <v>41.91</v>
      </c>
      <c r="Q555" s="6">
        <v>0.05</v>
      </c>
      <c r="R555" s="3">
        <v>119.44349999999999</v>
      </c>
      <c r="S555" t="s">
        <v>892</v>
      </c>
    </row>
    <row r="556" spans="1:19" x14ac:dyDescent="0.35">
      <c r="A556" t="s">
        <v>1948</v>
      </c>
      <c r="B556" t="s">
        <v>479</v>
      </c>
      <c r="C556" s="5">
        <v>45928</v>
      </c>
      <c r="D556" s="5">
        <v>45929</v>
      </c>
      <c r="E556" t="s">
        <v>480</v>
      </c>
      <c r="F556" t="s">
        <v>696</v>
      </c>
      <c r="G556" t="s">
        <v>243</v>
      </c>
      <c r="H556" t="s">
        <v>14</v>
      </c>
      <c r="I556" t="s">
        <v>8</v>
      </c>
      <c r="J556" t="s">
        <v>198</v>
      </c>
      <c r="K556" t="s">
        <v>798</v>
      </c>
      <c r="L556" t="s">
        <v>799</v>
      </c>
      <c r="M556" t="s">
        <v>800</v>
      </c>
      <c r="N556">
        <v>1</v>
      </c>
      <c r="O556" s="3">
        <v>30.64</v>
      </c>
      <c r="P556" s="3">
        <v>42.9</v>
      </c>
      <c r="Q556" s="6">
        <v>0</v>
      </c>
      <c r="R556" s="3">
        <v>42.9</v>
      </c>
      <c r="S556" t="s">
        <v>935</v>
      </c>
    </row>
    <row r="557" spans="1:19" x14ac:dyDescent="0.35">
      <c r="A557" t="s">
        <v>1949</v>
      </c>
      <c r="B557" t="s">
        <v>394</v>
      </c>
      <c r="C557" s="5">
        <v>45475</v>
      </c>
      <c r="E557" t="s">
        <v>356</v>
      </c>
      <c r="F557" t="s">
        <v>633</v>
      </c>
      <c r="G557" t="s">
        <v>264</v>
      </c>
      <c r="H557" t="s">
        <v>14</v>
      </c>
      <c r="I557" t="s">
        <v>48</v>
      </c>
      <c r="J557" t="s">
        <v>54</v>
      </c>
      <c r="K557" t="s">
        <v>798</v>
      </c>
      <c r="L557" t="s">
        <v>787</v>
      </c>
      <c r="M557" t="s">
        <v>842</v>
      </c>
      <c r="N557">
        <v>10</v>
      </c>
      <c r="O557" s="3">
        <v>21.67</v>
      </c>
      <c r="P557" s="3">
        <v>28.17</v>
      </c>
      <c r="Q557" s="6">
        <v>0</v>
      </c>
      <c r="R557" s="3">
        <v>281.70000000000005</v>
      </c>
      <c r="S557" t="s">
        <v>794</v>
      </c>
    </row>
    <row r="558" spans="1:19" x14ac:dyDescent="0.35">
      <c r="A558" t="s">
        <v>1950</v>
      </c>
      <c r="B558" t="s">
        <v>303</v>
      </c>
      <c r="C558" s="5">
        <v>45392</v>
      </c>
      <c r="E558" t="s">
        <v>304</v>
      </c>
      <c r="F558" t="s">
        <v>633</v>
      </c>
      <c r="G558" t="s">
        <v>243</v>
      </c>
      <c r="H558" t="s">
        <v>797</v>
      </c>
      <c r="I558" t="s">
        <v>29</v>
      </c>
      <c r="J558" t="s">
        <v>121</v>
      </c>
      <c r="K558" t="s">
        <v>798</v>
      </c>
      <c r="L558" t="s">
        <v>793</v>
      </c>
      <c r="M558" t="s">
        <v>800</v>
      </c>
      <c r="N558">
        <v>2</v>
      </c>
      <c r="O558" s="3">
        <v>15.46</v>
      </c>
      <c r="P558" s="3">
        <v>22.42</v>
      </c>
      <c r="Q558" s="6">
        <v>0</v>
      </c>
      <c r="R558" s="3">
        <v>44.84</v>
      </c>
      <c r="S558" t="s">
        <v>859</v>
      </c>
    </row>
    <row r="559" spans="1:19" x14ac:dyDescent="0.35">
      <c r="A559" t="s">
        <v>1951</v>
      </c>
      <c r="B559" t="s">
        <v>370</v>
      </c>
      <c r="C559" s="5">
        <v>45991</v>
      </c>
      <c r="D559" s="5">
        <v>45996</v>
      </c>
      <c r="E559" t="s">
        <v>371</v>
      </c>
      <c r="F559" t="s">
        <v>681</v>
      </c>
      <c r="G559" t="s">
        <v>264</v>
      </c>
      <c r="H559" t="s">
        <v>14</v>
      </c>
      <c r="I559" t="s">
        <v>43</v>
      </c>
      <c r="J559" t="s">
        <v>222</v>
      </c>
      <c r="K559" t="s">
        <v>813</v>
      </c>
      <c r="L559" t="s">
        <v>799</v>
      </c>
      <c r="M559" t="s">
        <v>800</v>
      </c>
      <c r="N559">
        <v>3</v>
      </c>
      <c r="O559" s="3">
        <v>37.1</v>
      </c>
      <c r="P559" s="3">
        <v>48.23</v>
      </c>
      <c r="Q559" s="6">
        <v>0</v>
      </c>
      <c r="R559" s="3">
        <v>144.69</v>
      </c>
      <c r="S559" t="s">
        <v>859</v>
      </c>
    </row>
    <row r="560" spans="1:19" x14ac:dyDescent="0.35">
      <c r="A560" t="s">
        <v>1952</v>
      </c>
      <c r="B560" t="s">
        <v>469</v>
      </c>
      <c r="C560" s="5">
        <v>45646</v>
      </c>
      <c r="D560" s="5">
        <v>45650</v>
      </c>
      <c r="E560" t="s">
        <v>470</v>
      </c>
      <c r="F560" t="s">
        <v>637</v>
      </c>
      <c r="G560" t="s">
        <v>235</v>
      </c>
      <c r="H560" t="s">
        <v>14</v>
      </c>
      <c r="I560" t="s">
        <v>29</v>
      </c>
      <c r="J560" t="s">
        <v>27</v>
      </c>
      <c r="K560" t="s">
        <v>798</v>
      </c>
      <c r="L560" t="s">
        <v>799</v>
      </c>
      <c r="M560" t="s">
        <v>788</v>
      </c>
      <c r="N560">
        <v>12</v>
      </c>
      <c r="O560" s="3">
        <v>33.06</v>
      </c>
      <c r="P560" s="3">
        <v>47.94</v>
      </c>
      <c r="Q560" s="6">
        <v>0.05</v>
      </c>
      <c r="R560" s="3">
        <v>546.51599999999996</v>
      </c>
      <c r="S560" t="s">
        <v>794</v>
      </c>
    </row>
    <row r="561" spans="1:19" x14ac:dyDescent="0.35">
      <c r="A561" t="s">
        <v>1954</v>
      </c>
      <c r="B561" t="s">
        <v>500</v>
      </c>
      <c r="C561" s="5">
        <v>46032</v>
      </c>
      <c r="D561" s="5">
        <v>46038</v>
      </c>
      <c r="E561" t="s">
        <v>447</v>
      </c>
      <c r="F561" t="s">
        <v>674</v>
      </c>
      <c r="G561" t="s">
        <v>235</v>
      </c>
      <c r="H561" t="s">
        <v>14</v>
      </c>
      <c r="I561" t="s">
        <v>43</v>
      </c>
      <c r="J561" t="s">
        <v>41</v>
      </c>
      <c r="K561" t="s">
        <v>786</v>
      </c>
      <c r="L561" t="s">
        <v>799</v>
      </c>
      <c r="M561" t="s">
        <v>818</v>
      </c>
      <c r="N561">
        <v>10</v>
      </c>
      <c r="O561" s="3">
        <v>18.010000000000002</v>
      </c>
      <c r="P561" s="3">
        <v>22.51</v>
      </c>
      <c r="Q561" s="6">
        <v>0</v>
      </c>
      <c r="R561" s="3">
        <v>225.10000000000002</v>
      </c>
      <c r="S561" t="s">
        <v>834</v>
      </c>
    </row>
    <row r="562" spans="1:19" x14ac:dyDescent="0.35">
      <c r="A562" t="s">
        <v>1957</v>
      </c>
      <c r="B562" t="s">
        <v>613</v>
      </c>
      <c r="C562" s="5">
        <v>45484</v>
      </c>
      <c r="D562" s="5">
        <v>45494</v>
      </c>
      <c r="E562" t="s">
        <v>304</v>
      </c>
      <c r="F562" t="s">
        <v>681</v>
      </c>
      <c r="G562" t="s">
        <v>243</v>
      </c>
      <c r="H562" t="s">
        <v>797</v>
      </c>
      <c r="I562" t="s">
        <v>43</v>
      </c>
      <c r="J562" t="s">
        <v>41</v>
      </c>
      <c r="K562" t="s">
        <v>798</v>
      </c>
      <c r="L562" t="s">
        <v>799</v>
      </c>
      <c r="M562" t="s">
        <v>842</v>
      </c>
      <c r="N562">
        <v>20</v>
      </c>
      <c r="O562" s="3">
        <v>18.010000000000002</v>
      </c>
      <c r="P562" s="3">
        <v>22.51</v>
      </c>
      <c r="Q562" s="6">
        <v>0</v>
      </c>
      <c r="R562" s="3">
        <v>450.20000000000005</v>
      </c>
      <c r="S562" t="s">
        <v>888</v>
      </c>
    </row>
    <row r="563" spans="1:19" x14ac:dyDescent="0.35">
      <c r="A563" t="s">
        <v>1958</v>
      </c>
      <c r="B563" t="s">
        <v>601</v>
      </c>
      <c r="C563" s="5">
        <v>45423</v>
      </c>
      <c r="E563" t="s">
        <v>602</v>
      </c>
      <c r="F563" t="s">
        <v>254</v>
      </c>
      <c r="G563" t="s">
        <v>235</v>
      </c>
      <c r="H563" t="s">
        <v>14</v>
      </c>
      <c r="I563" t="s">
        <v>79</v>
      </c>
      <c r="J563" t="s">
        <v>184</v>
      </c>
      <c r="K563" t="s">
        <v>798</v>
      </c>
      <c r="L563" t="s">
        <v>793</v>
      </c>
      <c r="M563" t="s">
        <v>788</v>
      </c>
      <c r="N563">
        <v>3</v>
      </c>
      <c r="O563" s="3">
        <v>28.87</v>
      </c>
      <c r="P563" s="3">
        <v>40.42</v>
      </c>
      <c r="Q563" s="6">
        <v>0.05</v>
      </c>
      <c r="R563" s="3">
        <v>115.197</v>
      </c>
      <c r="S563" t="s">
        <v>876</v>
      </c>
    </row>
    <row r="564" spans="1:19" x14ac:dyDescent="0.35">
      <c r="A564" t="s">
        <v>1959</v>
      </c>
      <c r="B564" t="s">
        <v>611</v>
      </c>
      <c r="C564" s="5">
        <v>45994</v>
      </c>
      <c r="D564" s="5">
        <v>46000</v>
      </c>
      <c r="E564" t="s">
        <v>287</v>
      </c>
      <c r="F564" t="s">
        <v>637</v>
      </c>
      <c r="G564" t="s">
        <v>235</v>
      </c>
      <c r="H564" t="s">
        <v>14</v>
      </c>
      <c r="I564" t="s">
        <v>48</v>
      </c>
      <c r="J564" t="s">
        <v>179</v>
      </c>
      <c r="K564" t="s">
        <v>798</v>
      </c>
      <c r="L564" t="s">
        <v>799</v>
      </c>
      <c r="M564" t="s">
        <v>842</v>
      </c>
      <c r="N564">
        <v>2</v>
      </c>
      <c r="O564" s="3">
        <v>16.670000000000002</v>
      </c>
      <c r="P564" s="3">
        <v>22.5</v>
      </c>
      <c r="Q564" s="6">
        <v>0</v>
      </c>
      <c r="R564" s="3">
        <v>45</v>
      </c>
      <c r="S564" t="s">
        <v>888</v>
      </c>
    </row>
    <row r="565" spans="1:19" x14ac:dyDescent="0.35">
      <c r="A565" t="s">
        <v>1960</v>
      </c>
      <c r="B565" t="s">
        <v>554</v>
      </c>
      <c r="C565" s="5">
        <v>45873</v>
      </c>
      <c r="E565" t="s">
        <v>445</v>
      </c>
      <c r="F565" t="s">
        <v>627</v>
      </c>
      <c r="G565" t="s">
        <v>235</v>
      </c>
      <c r="H565" t="s">
        <v>14</v>
      </c>
      <c r="I565" t="s">
        <v>43</v>
      </c>
      <c r="J565" t="s">
        <v>215</v>
      </c>
      <c r="K565" t="s">
        <v>798</v>
      </c>
      <c r="L565" t="s">
        <v>793</v>
      </c>
      <c r="M565" t="s">
        <v>818</v>
      </c>
      <c r="N565">
        <v>2</v>
      </c>
      <c r="O565" s="3">
        <v>28.96</v>
      </c>
      <c r="P565" s="3">
        <v>40.54</v>
      </c>
      <c r="Q565" s="6">
        <v>0</v>
      </c>
      <c r="R565" s="3">
        <v>81.08</v>
      </c>
      <c r="S565" t="s">
        <v>790</v>
      </c>
    </row>
    <row r="566" spans="1:19" x14ac:dyDescent="0.35">
      <c r="A566" t="s">
        <v>1961</v>
      </c>
      <c r="B566" t="s">
        <v>500</v>
      </c>
      <c r="C566" s="5">
        <v>45687</v>
      </c>
      <c r="D566" s="5">
        <v>45689</v>
      </c>
      <c r="E566" t="s">
        <v>447</v>
      </c>
      <c r="F566" t="s">
        <v>254</v>
      </c>
      <c r="G566" t="s">
        <v>235</v>
      </c>
      <c r="H566" t="s">
        <v>797</v>
      </c>
      <c r="I566" t="s">
        <v>38</v>
      </c>
      <c r="J566" t="s">
        <v>130</v>
      </c>
      <c r="K566" t="s">
        <v>786</v>
      </c>
      <c r="L566" t="s">
        <v>799</v>
      </c>
      <c r="M566" t="s">
        <v>800</v>
      </c>
      <c r="N566">
        <v>10</v>
      </c>
      <c r="O566" s="3">
        <v>13.35</v>
      </c>
      <c r="P566" s="3">
        <v>17.36</v>
      </c>
      <c r="Q566" s="6">
        <v>0</v>
      </c>
      <c r="R566" s="3">
        <v>173.6</v>
      </c>
      <c r="S566" t="s">
        <v>810</v>
      </c>
    </row>
    <row r="567" spans="1:19" x14ac:dyDescent="0.35">
      <c r="A567" t="s">
        <v>1962</v>
      </c>
      <c r="B567" t="s">
        <v>366</v>
      </c>
      <c r="C567" s="5">
        <v>45983</v>
      </c>
      <c r="E567" t="s">
        <v>245</v>
      </c>
      <c r="F567" t="s">
        <v>254</v>
      </c>
      <c r="G567" t="s">
        <v>243</v>
      </c>
      <c r="H567" t="s">
        <v>20</v>
      </c>
      <c r="I567" t="s">
        <v>29</v>
      </c>
      <c r="J567" t="s">
        <v>123</v>
      </c>
      <c r="K567" t="s">
        <v>798</v>
      </c>
      <c r="L567" t="s">
        <v>787</v>
      </c>
      <c r="M567" t="s">
        <v>788</v>
      </c>
      <c r="N567">
        <v>20</v>
      </c>
      <c r="O567" s="3">
        <v>20.7</v>
      </c>
      <c r="P567" s="3">
        <v>30.01</v>
      </c>
      <c r="Q567" s="6">
        <v>0</v>
      </c>
      <c r="R567" s="3">
        <v>600.20000000000005</v>
      </c>
      <c r="S567" t="s">
        <v>935</v>
      </c>
    </row>
    <row r="568" spans="1:19" x14ac:dyDescent="0.35">
      <c r="A568" t="s">
        <v>1963</v>
      </c>
      <c r="B568" t="s">
        <v>394</v>
      </c>
      <c r="C568" s="5">
        <v>45582</v>
      </c>
      <c r="E568" t="s">
        <v>356</v>
      </c>
      <c r="F568" t="s">
        <v>633</v>
      </c>
      <c r="G568" t="s">
        <v>264</v>
      </c>
      <c r="H568" t="s">
        <v>14</v>
      </c>
      <c r="I568" t="s">
        <v>79</v>
      </c>
      <c r="J568" t="s">
        <v>184</v>
      </c>
      <c r="K568" t="s">
        <v>813</v>
      </c>
      <c r="L568" t="s">
        <v>787</v>
      </c>
      <c r="M568" t="s">
        <v>842</v>
      </c>
      <c r="N568">
        <v>5</v>
      </c>
      <c r="O568" s="3">
        <v>28.87</v>
      </c>
      <c r="P568" s="3">
        <v>40.42</v>
      </c>
      <c r="Q568" s="6">
        <v>0</v>
      </c>
      <c r="R568" s="3">
        <v>202.10000000000002</v>
      </c>
      <c r="S568" t="s">
        <v>1134</v>
      </c>
    </row>
    <row r="569" spans="1:19" x14ac:dyDescent="0.35">
      <c r="A569" t="s">
        <v>1964</v>
      </c>
      <c r="B569" t="s">
        <v>355</v>
      </c>
      <c r="C569" s="5">
        <v>45712</v>
      </c>
      <c r="D569" s="5">
        <v>45716</v>
      </c>
      <c r="E569" t="s">
        <v>356</v>
      </c>
      <c r="F569" t="s">
        <v>254</v>
      </c>
      <c r="G569" t="s">
        <v>264</v>
      </c>
      <c r="H569" t="s">
        <v>797</v>
      </c>
      <c r="I569" t="s">
        <v>79</v>
      </c>
      <c r="J569" t="s">
        <v>220</v>
      </c>
      <c r="K569" t="s">
        <v>798</v>
      </c>
      <c r="L569" t="s">
        <v>799</v>
      </c>
      <c r="M569" t="s">
        <v>818</v>
      </c>
      <c r="N569">
        <v>1</v>
      </c>
      <c r="O569" s="3">
        <v>46</v>
      </c>
      <c r="P569" s="3">
        <v>62.1</v>
      </c>
      <c r="Q569" s="6">
        <v>0</v>
      </c>
      <c r="R569" s="3">
        <v>62.1</v>
      </c>
      <c r="S569" t="s">
        <v>888</v>
      </c>
    </row>
    <row r="570" spans="1:19" x14ac:dyDescent="0.35">
      <c r="A570" t="s">
        <v>1966</v>
      </c>
      <c r="B570" t="s">
        <v>590</v>
      </c>
      <c r="C570" s="5">
        <v>45609</v>
      </c>
      <c r="D570" s="5">
        <v>45617</v>
      </c>
      <c r="E570" t="s">
        <v>591</v>
      </c>
      <c r="F570" t="s">
        <v>681</v>
      </c>
      <c r="G570" t="s">
        <v>235</v>
      </c>
      <c r="H570" t="s">
        <v>14</v>
      </c>
      <c r="I570" t="s">
        <v>14</v>
      </c>
      <c r="J570" t="s">
        <v>128</v>
      </c>
      <c r="K570" t="s">
        <v>798</v>
      </c>
      <c r="L570" t="s">
        <v>822</v>
      </c>
      <c r="M570" t="s">
        <v>788</v>
      </c>
      <c r="N570">
        <v>3</v>
      </c>
      <c r="O570" s="3">
        <v>18.850000000000001</v>
      </c>
      <c r="P570" s="3">
        <v>27.33</v>
      </c>
      <c r="Q570" s="6">
        <v>0.1</v>
      </c>
      <c r="R570" s="3">
        <v>73.790999999999997</v>
      </c>
      <c r="S570" t="s">
        <v>1001</v>
      </c>
    </row>
    <row r="571" spans="1:19" x14ac:dyDescent="0.35">
      <c r="A571" t="s">
        <v>1968</v>
      </c>
      <c r="B571" t="s">
        <v>238</v>
      </c>
      <c r="C571" s="5">
        <v>45574</v>
      </c>
      <c r="D571" s="5">
        <v>45584</v>
      </c>
      <c r="E571" t="s">
        <v>239</v>
      </c>
      <c r="F571" t="s">
        <v>674</v>
      </c>
      <c r="G571" t="s">
        <v>243</v>
      </c>
      <c r="H571" t="s">
        <v>797</v>
      </c>
      <c r="I571" t="s">
        <v>48</v>
      </c>
      <c r="J571" t="s">
        <v>202</v>
      </c>
      <c r="K571" t="s">
        <v>786</v>
      </c>
      <c r="L571" t="s">
        <v>799</v>
      </c>
      <c r="M571" t="s">
        <v>788</v>
      </c>
      <c r="N571">
        <v>1</v>
      </c>
      <c r="O571" s="3">
        <v>27</v>
      </c>
      <c r="P571" s="3">
        <v>39.15</v>
      </c>
      <c r="Q571" s="6">
        <v>0.1</v>
      </c>
      <c r="R571" s="3">
        <v>35.234999999999999</v>
      </c>
      <c r="S571" t="s">
        <v>1134</v>
      </c>
    </row>
    <row r="572" spans="1:19" x14ac:dyDescent="0.35">
      <c r="A572" t="s">
        <v>1969</v>
      </c>
      <c r="B572" t="s">
        <v>495</v>
      </c>
      <c r="C572" s="5">
        <v>45794</v>
      </c>
      <c r="D572" s="5">
        <v>45799</v>
      </c>
      <c r="E572" t="s">
        <v>496</v>
      </c>
      <c r="F572" t="s">
        <v>627</v>
      </c>
      <c r="G572" t="s">
        <v>264</v>
      </c>
      <c r="H572" t="s">
        <v>797</v>
      </c>
      <c r="I572" t="s">
        <v>8</v>
      </c>
      <c r="J572" t="s">
        <v>95</v>
      </c>
      <c r="K572" t="s">
        <v>813</v>
      </c>
      <c r="L572" t="s">
        <v>799</v>
      </c>
      <c r="M572" t="s">
        <v>818</v>
      </c>
      <c r="N572">
        <v>1</v>
      </c>
      <c r="O572" s="3">
        <v>23.02</v>
      </c>
      <c r="P572" s="3">
        <v>28.77</v>
      </c>
      <c r="Q572" s="6">
        <v>0</v>
      </c>
      <c r="R572" s="3">
        <v>28.77</v>
      </c>
      <c r="S572" t="s">
        <v>1001</v>
      </c>
    </row>
    <row r="573" spans="1:19" x14ac:dyDescent="0.35">
      <c r="A573" t="s">
        <v>1970</v>
      </c>
      <c r="B573" t="s">
        <v>364</v>
      </c>
      <c r="C573" s="5">
        <v>45692</v>
      </c>
      <c r="D573" s="5">
        <v>45695</v>
      </c>
      <c r="E573" t="s">
        <v>365</v>
      </c>
      <c r="F573" t="s">
        <v>696</v>
      </c>
      <c r="G573" t="s">
        <v>243</v>
      </c>
      <c r="H573" t="s">
        <v>797</v>
      </c>
      <c r="I573" t="s">
        <v>20</v>
      </c>
      <c r="J573" t="s">
        <v>134</v>
      </c>
      <c r="K573" t="s">
        <v>786</v>
      </c>
      <c r="L573" t="s">
        <v>799</v>
      </c>
      <c r="M573" t="s">
        <v>818</v>
      </c>
      <c r="N573">
        <v>5</v>
      </c>
      <c r="O573" s="3">
        <v>38.36</v>
      </c>
      <c r="P573" s="3">
        <v>53.7</v>
      </c>
      <c r="Q573" s="6">
        <v>0.05</v>
      </c>
      <c r="R573" s="3">
        <v>255.07499999999999</v>
      </c>
      <c r="S573" t="s">
        <v>825</v>
      </c>
    </row>
    <row r="574" spans="1:19" x14ac:dyDescent="0.35">
      <c r="A574" t="s">
        <v>1971</v>
      </c>
      <c r="B574" t="s">
        <v>320</v>
      </c>
      <c r="C574" s="5">
        <v>46007</v>
      </c>
      <c r="D574" s="5">
        <v>46016</v>
      </c>
      <c r="E574" t="s">
        <v>321</v>
      </c>
      <c r="F574" t="s">
        <v>696</v>
      </c>
      <c r="G574" t="s">
        <v>235</v>
      </c>
      <c r="H574" t="s">
        <v>14</v>
      </c>
      <c r="I574" t="s">
        <v>29</v>
      </c>
      <c r="J574" t="s">
        <v>176</v>
      </c>
      <c r="K574" t="s">
        <v>813</v>
      </c>
      <c r="L574" t="s">
        <v>822</v>
      </c>
      <c r="M574" t="s">
        <v>788</v>
      </c>
      <c r="N574">
        <v>5</v>
      </c>
      <c r="O574" s="3">
        <v>25.88</v>
      </c>
      <c r="P574" s="3">
        <v>36.229999999999997</v>
      </c>
      <c r="Q574" s="6">
        <v>0</v>
      </c>
      <c r="R574" s="3">
        <v>181.14999999999998</v>
      </c>
      <c r="S574" t="s">
        <v>869</v>
      </c>
    </row>
    <row r="575" spans="1:19" x14ac:dyDescent="0.35">
      <c r="A575" t="s">
        <v>1972</v>
      </c>
      <c r="B575" t="s">
        <v>587</v>
      </c>
      <c r="C575" s="5">
        <v>45590</v>
      </c>
      <c r="D575" s="5">
        <v>45592</v>
      </c>
      <c r="E575" t="s">
        <v>431</v>
      </c>
      <c r="F575" t="s">
        <v>681</v>
      </c>
      <c r="G575" t="s">
        <v>235</v>
      </c>
      <c r="H575" t="s">
        <v>20</v>
      </c>
      <c r="I575" t="s">
        <v>48</v>
      </c>
      <c r="J575" t="s">
        <v>54</v>
      </c>
      <c r="K575" t="s">
        <v>798</v>
      </c>
      <c r="L575" t="s">
        <v>799</v>
      </c>
      <c r="M575" t="s">
        <v>842</v>
      </c>
      <c r="N575">
        <v>5</v>
      </c>
      <c r="O575" s="3">
        <v>21.67</v>
      </c>
      <c r="P575" s="3">
        <v>28.17</v>
      </c>
      <c r="Q575" s="6">
        <v>0</v>
      </c>
      <c r="R575" s="3">
        <v>140.85000000000002</v>
      </c>
      <c r="S575" t="s">
        <v>834</v>
      </c>
    </row>
    <row r="576" spans="1:19" x14ac:dyDescent="0.35">
      <c r="A576" t="s">
        <v>1973</v>
      </c>
      <c r="B576" t="s">
        <v>471</v>
      </c>
      <c r="C576" s="5">
        <v>45808</v>
      </c>
      <c r="E576" t="s">
        <v>472</v>
      </c>
      <c r="F576" t="s">
        <v>696</v>
      </c>
      <c r="G576" t="s">
        <v>235</v>
      </c>
      <c r="H576" t="s">
        <v>797</v>
      </c>
      <c r="I576" t="s">
        <v>29</v>
      </c>
      <c r="J576" t="s">
        <v>176</v>
      </c>
      <c r="K576" t="s">
        <v>798</v>
      </c>
      <c r="L576" t="s">
        <v>787</v>
      </c>
      <c r="M576" t="s">
        <v>842</v>
      </c>
      <c r="N576">
        <v>10</v>
      </c>
      <c r="O576" s="3">
        <v>25.88</v>
      </c>
      <c r="P576" s="3">
        <v>36.229999999999997</v>
      </c>
      <c r="Q576" s="6">
        <v>0</v>
      </c>
      <c r="R576" s="3">
        <v>362.29999999999995</v>
      </c>
      <c r="S576" t="s">
        <v>869</v>
      </c>
    </row>
    <row r="577" spans="1:19" x14ac:dyDescent="0.35">
      <c r="A577" t="s">
        <v>1974</v>
      </c>
      <c r="B577" t="s">
        <v>459</v>
      </c>
      <c r="C577" s="5">
        <v>46003</v>
      </c>
      <c r="E577" t="s">
        <v>460</v>
      </c>
      <c r="F577" t="s">
        <v>633</v>
      </c>
      <c r="G577" t="s">
        <v>264</v>
      </c>
      <c r="H577" t="s">
        <v>20</v>
      </c>
      <c r="I577" t="s">
        <v>79</v>
      </c>
      <c r="J577" t="s">
        <v>220</v>
      </c>
      <c r="K577" t="s">
        <v>786</v>
      </c>
      <c r="L577" t="s">
        <v>793</v>
      </c>
      <c r="M577" t="s">
        <v>842</v>
      </c>
      <c r="N577">
        <v>5</v>
      </c>
      <c r="O577" s="3">
        <v>46</v>
      </c>
      <c r="P577" s="3">
        <v>62.1</v>
      </c>
      <c r="Q577" s="6">
        <v>0</v>
      </c>
      <c r="R577" s="3">
        <v>310.5</v>
      </c>
      <c r="S577" t="s">
        <v>919</v>
      </c>
    </row>
    <row r="578" spans="1:19" x14ac:dyDescent="0.35">
      <c r="A578" t="s">
        <v>1975</v>
      </c>
      <c r="B578" t="s">
        <v>436</v>
      </c>
      <c r="C578" s="5">
        <v>46018</v>
      </c>
      <c r="E578" t="s">
        <v>396</v>
      </c>
      <c r="F578" t="s">
        <v>681</v>
      </c>
      <c r="G578" t="s">
        <v>235</v>
      </c>
      <c r="H578" t="s">
        <v>20</v>
      </c>
      <c r="I578" t="s">
        <v>29</v>
      </c>
      <c r="J578" t="s">
        <v>183</v>
      </c>
      <c r="K578" t="s">
        <v>798</v>
      </c>
      <c r="L578" t="s">
        <v>787</v>
      </c>
      <c r="M578" t="s">
        <v>788</v>
      </c>
      <c r="N578">
        <v>20</v>
      </c>
      <c r="O578" s="3">
        <v>10.97</v>
      </c>
      <c r="P578" s="3">
        <v>15.91</v>
      </c>
      <c r="Q578" s="6">
        <v>0.15</v>
      </c>
      <c r="R578" s="3">
        <v>270.46999999999997</v>
      </c>
      <c r="S578" t="s">
        <v>845</v>
      </c>
    </row>
    <row r="579" spans="1:19" x14ac:dyDescent="0.35">
      <c r="A579" t="s">
        <v>1977</v>
      </c>
      <c r="B579" t="s">
        <v>414</v>
      </c>
      <c r="C579" s="5">
        <v>45435</v>
      </c>
      <c r="D579" s="5">
        <v>45444</v>
      </c>
      <c r="E579" t="s">
        <v>415</v>
      </c>
      <c r="F579" t="s">
        <v>637</v>
      </c>
      <c r="G579" t="s">
        <v>235</v>
      </c>
      <c r="H579" t="s">
        <v>797</v>
      </c>
      <c r="I579" t="s">
        <v>29</v>
      </c>
      <c r="J579" t="s">
        <v>158</v>
      </c>
      <c r="K579" t="s">
        <v>786</v>
      </c>
      <c r="L579" t="s">
        <v>799</v>
      </c>
      <c r="M579" t="s">
        <v>788</v>
      </c>
      <c r="N579">
        <v>3</v>
      </c>
      <c r="O579" s="3">
        <v>25.8</v>
      </c>
      <c r="P579" s="3">
        <v>36.119999999999997</v>
      </c>
      <c r="Q579" s="6">
        <v>0</v>
      </c>
      <c r="R579" s="3">
        <v>108.35999999999999</v>
      </c>
      <c r="S579" t="s">
        <v>919</v>
      </c>
    </row>
    <row r="580" spans="1:19" x14ac:dyDescent="0.35">
      <c r="A580" t="s">
        <v>1979</v>
      </c>
      <c r="B580" t="s">
        <v>362</v>
      </c>
      <c r="C580" s="5">
        <v>46051</v>
      </c>
      <c r="E580" t="s">
        <v>363</v>
      </c>
      <c r="F580" t="s">
        <v>254</v>
      </c>
      <c r="G580" t="s">
        <v>235</v>
      </c>
      <c r="H580" t="s">
        <v>14</v>
      </c>
      <c r="I580" t="s">
        <v>38</v>
      </c>
      <c r="J580" t="s">
        <v>71</v>
      </c>
      <c r="K580" t="s">
        <v>813</v>
      </c>
      <c r="L580" t="s">
        <v>793</v>
      </c>
      <c r="M580" t="s">
        <v>818</v>
      </c>
      <c r="N580">
        <v>5</v>
      </c>
      <c r="O580" s="3">
        <v>17.62</v>
      </c>
      <c r="P580" s="3">
        <v>24.67</v>
      </c>
      <c r="Q580" s="6">
        <v>0</v>
      </c>
      <c r="R580" s="3">
        <v>123.35000000000001</v>
      </c>
      <c r="S580" t="s">
        <v>810</v>
      </c>
    </row>
    <row r="581" spans="1:19" x14ac:dyDescent="0.35">
      <c r="A581" t="s">
        <v>1980</v>
      </c>
      <c r="B581" t="s">
        <v>578</v>
      </c>
      <c r="C581" s="5">
        <v>45513</v>
      </c>
      <c r="D581" s="5">
        <v>45518</v>
      </c>
      <c r="E581" t="s">
        <v>368</v>
      </c>
      <c r="F581" t="s">
        <v>627</v>
      </c>
      <c r="G581" t="s">
        <v>235</v>
      </c>
      <c r="H581" t="s">
        <v>797</v>
      </c>
      <c r="I581" t="s">
        <v>8</v>
      </c>
      <c r="J581" t="s">
        <v>192</v>
      </c>
      <c r="K581" t="s">
        <v>798</v>
      </c>
      <c r="L581" t="s">
        <v>799</v>
      </c>
      <c r="M581" t="s">
        <v>842</v>
      </c>
      <c r="N581">
        <v>1</v>
      </c>
      <c r="O581" s="3">
        <v>19.47</v>
      </c>
      <c r="P581" s="3">
        <v>28.23</v>
      </c>
      <c r="Q581" s="6">
        <v>0.05</v>
      </c>
      <c r="R581" s="3">
        <v>26.8185</v>
      </c>
      <c r="S581" t="s">
        <v>1001</v>
      </c>
    </row>
    <row r="582" spans="1:19" x14ac:dyDescent="0.35">
      <c r="A582" t="s">
        <v>1981</v>
      </c>
      <c r="B582" t="s">
        <v>552</v>
      </c>
      <c r="C582" s="5">
        <v>45746</v>
      </c>
      <c r="E582" t="s">
        <v>553</v>
      </c>
      <c r="F582" t="s">
        <v>254</v>
      </c>
      <c r="G582" t="s">
        <v>235</v>
      </c>
      <c r="H582" t="s">
        <v>797</v>
      </c>
      <c r="I582" t="s">
        <v>48</v>
      </c>
      <c r="J582" t="s">
        <v>139</v>
      </c>
      <c r="K582" t="s">
        <v>798</v>
      </c>
      <c r="L582" t="s">
        <v>793</v>
      </c>
      <c r="M582" t="s">
        <v>788</v>
      </c>
      <c r="N582">
        <v>5</v>
      </c>
      <c r="O582" s="3">
        <v>29.93</v>
      </c>
      <c r="P582" s="3">
        <v>41.9</v>
      </c>
      <c r="Q582" s="6">
        <v>0</v>
      </c>
      <c r="R582" s="3">
        <v>209.5</v>
      </c>
      <c r="S582" t="s">
        <v>794</v>
      </c>
    </row>
    <row r="583" spans="1:19" x14ac:dyDescent="0.35">
      <c r="A583" t="s">
        <v>1982</v>
      </c>
      <c r="B583" t="s">
        <v>252</v>
      </c>
      <c r="C583" s="5">
        <v>45496</v>
      </c>
      <c r="D583" s="5">
        <v>45499</v>
      </c>
      <c r="E583" t="s">
        <v>253</v>
      </c>
      <c r="F583" t="s">
        <v>696</v>
      </c>
      <c r="G583" t="s">
        <v>243</v>
      </c>
      <c r="H583" t="s">
        <v>797</v>
      </c>
      <c r="I583" t="s">
        <v>14</v>
      </c>
      <c r="J583" t="s">
        <v>56</v>
      </c>
      <c r="K583" t="s">
        <v>813</v>
      </c>
      <c r="L583" t="s">
        <v>799</v>
      </c>
      <c r="M583" t="s">
        <v>842</v>
      </c>
      <c r="N583">
        <v>20</v>
      </c>
      <c r="O583" s="3">
        <v>25.46</v>
      </c>
      <c r="P583" s="3">
        <v>31.83</v>
      </c>
      <c r="Q583" s="6">
        <v>0</v>
      </c>
      <c r="R583" s="3">
        <v>636.59999999999991</v>
      </c>
      <c r="S583" t="s">
        <v>919</v>
      </c>
    </row>
    <row r="584" spans="1:19" x14ac:dyDescent="0.35">
      <c r="A584" t="s">
        <v>1983</v>
      </c>
      <c r="B584" t="s">
        <v>278</v>
      </c>
      <c r="C584" s="5">
        <v>46033</v>
      </c>
      <c r="E584" t="s">
        <v>279</v>
      </c>
      <c r="F584" t="s">
        <v>696</v>
      </c>
      <c r="G584" t="s">
        <v>235</v>
      </c>
      <c r="H584" t="s">
        <v>14</v>
      </c>
      <c r="I584" t="s">
        <v>20</v>
      </c>
      <c r="J584" t="s">
        <v>39</v>
      </c>
      <c r="K584" t="s">
        <v>786</v>
      </c>
      <c r="L584" t="s">
        <v>793</v>
      </c>
      <c r="M584" t="s">
        <v>788</v>
      </c>
      <c r="N584">
        <v>2</v>
      </c>
      <c r="O584" s="3">
        <v>9.5</v>
      </c>
      <c r="P584" s="3">
        <v>12.83</v>
      </c>
      <c r="Q584" s="6">
        <v>0.1</v>
      </c>
      <c r="R584" s="3">
        <v>23.094000000000001</v>
      </c>
      <c r="S584" t="s">
        <v>963</v>
      </c>
    </row>
    <row r="585" spans="1:19" x14ac:dyDescent="0.35">
      <c r="A585" t="s">
        <v>1984</v>
      </c>
      <c r="B585" t="s">
        <v>479</v>
      </c>
      <c r="C585" s="5">
        <v>45846</v>
      </c>
      <c r="E585" t="s">
        <v>480</v>
      </c>
      <c r="F585" t="s">
        <v>254</v>
      </c>
      <c r="G585" t="s">
        <v>243</v>
      </c>
      <c r="H585" t="s">
        <v>797</v>
      </c>
      <c r="I585" t="s">
        <v>48</v>
      </c>
      <c r="J585" t="s">
        <v>219</v>
      </c>
      <c r="K585" t="s">
        <v>813</v>
      </c>
      <c r="L585" t="s">
        <v>793</v>
      </c>
      <c r="M585" t="s">
        <v>842</v>
      </c>
      <c r="N585">
        <v>3</v>
      </c>
      <c r="O585" s="3">
        <v>12.9</v>
      </c>
      <c r="P585" s="3">
        <v>18.7</v>
      </c>
      <c r="Q585" s="6">
        <v>0.05</v>
      </c>
      <c r="R585" s="3">
        <v>53.294999999999995</v>
      </c>
      <c r="S585" t="s">
        <v>869</v>
      </c>
    </row>
    <row r="586" spans="1:19" x14ac:dyDescent="0.35">
      <c r="A586" t="s">
        <v>1986</v>
      </c>
      <c r="B586" t="s">
        <v>463</v>
      </c>
      <c r="C586" s="5">
        <v>45615</v>
      </c>
      <c r="D586" s="5">
        <v>45619</v>
      </c>
      <c r="E586" t="s">
        <v>464</v>
      </c>
      <c r="F586" t="s">
        <v>674</v>
      </c>
      <c r="G586" t="s">
        <v>264</v>
      </c>
      <c r="H586" t="s">
        <v>14</v>
      </c>
      <c r="I586" t="s">
        <v>20</v>
      </c>
      <c r="J586" t="s">
        <v>18</v>
      </c>
      <c r="K586" t="s">
        <v>813</v>
      </c>
      <c r="L586" t="s">
        <v>799</v>
      </c>
      <c r="M586" t="s">
        <v>800</v>
      </c>
      <c r="N586">
        <v>1</v>
      </c>
      <c r="O586" s="3">
        <v>21.57</v>
      </c>
      <c r="P586" s="3">
        <v>26.96</v>
      </c>
      <c r="Q586" s="6">
        <v>0</v>
      </c>
      <c r="R586" s="3">
        <v>26.96</v>
      </c>
      <c r="S586" t="s">
        <v>834</v>
      </c>
    </row>
    <row r="587" spans="1:19" x14ac:dyDescent="0.35">
      <c r="A587" t="s">
        <v>1988</v>
      </c>
      <c r="B587" t="s">
        <v>612</v>
      </c>
      <c r="C587" s="5">
        <v>45712</v>
      </c>
      <c r="D587" s="5">
        <v>45722</v>
      </c>
      <c r="E587" t="s">
        <v>447</v>
      </c>
      <c r="F587" t="s">
        <v>627</v>
      </c>
      <c r="G587" t="s">
        <v>235</v>
      </c>
      <c r="H587" t="s">
        <v>14</v>
      </c>
      <c r="I587" t="s">
        <v>79</v>
      </c>
      <c r="J587" t="s">
        <v>184</v>
      </c>
      <c r="K587" t="s">
        <v>786</v>
      </c>
      <c r="L587" t="s">
        <v>799</v>
      </c>
      <c r="M587" t="s">
        <v>788</v>
      </c>
      <c r="N587">
        <v>10</v>
      </c>
      <c r="O587" s="3">
        <v>28.87</v>
      </c>
      <c r="P587" s="3">
        <v>40.42</v>
      </c>
      <c r="Q587" s="6">
        <v>0</v>
      </c>
      <c r="R587" s="3">
        <v>404.20000000000005</v>
      </c>
      <c r="S587" t="s">
        <v>919</v>
      </c>
    </row>
    <row r="588" spans="1:19" x14ac:dyDescent="0.35">
      <c r="A588" t="s">
        <v>1990</v>
      </c>
      <c r="B588" t="s">
        <v>587</v>
      </c>
      <c r="C588" s="5">
        <v>45624</v>
      </c>
      <c r="D588" s="5">
        <v>45630</v>
      </c>
      <c r="E588" t="s">
        <v>431</v>
      </c>
      <c r="F588" t="s">
        <v>696</v>
      </c>
      <c r="G588" t="s">
        <v>235</v>
      </c>
      <c r="H588" t="s">
        <v>14</v>
      </c>
      <c r="I588" t="s">
        <v>29</v>
      </c>
      <c r="J588" t="s">
        <v>183</v>
      </c>
      <c r="K588" t="s">
        <v>786</v>
      </c>
      <c r="L588" t="s">
        <v>799</v>
      </c>
      <c r="M588" t="s">
        <v>800</v>
      </c>
      <c r="N588">
        <v>3</v>
      </c>
      <c r="O588" s="3">
        <v>10.97</v>
      </c>
      <c r="P588" s="3">
        <v>15.91</v>
      </c>
      <c r="Q588" s="6">
        <v>0</v>
      </c>
      <c r="R588" s="3">
        <v>47.730000000000004</v>
      </c>
      <c r="S588" t="s">
        <v>869</v>
      </c>
    </row>
    <row r="589" spans="1:19" x14ac:dyDescent="0.35">
      <c r="A589" t="s">
        <v>1992</v>
      </c>
      <c r="B589" t="s">
        <v>299</v>
      </c>
      <c r="C589" s="5">
        <v>45974</v>
      </c>
      <c r="D589" s="5">
        <v>45975</v>
      </c>
      <c r="E589" t="s">
        <v>300</v>
      </c>
      <c r="F589" t="s">
        <v>633</v>
      </c>
      <c r="G589" t="s">
        <v>264</v>
      </c>
      <c r="H589" t="s">
        <v>797</v>
      </c>
      <c r="I589" t="s">
        <v>14</v>
      </c>
      <c r="J589" t="s">
        <v>209</v>
      </c>
      <c r="K589" t="s">
        <v>786</v>
      </c>
      <c r="L589" t="s">
        <v>799</v>
      </c>
      <c r="M589" t="s">
        <v>788</v>
      </c>
      <c r="N589">
        <v>12</v>
      </c>
      <c r="O589" s="3">
        <v>24.18</v>
      </c>
      <c r="P589" s="3">
        <v>33.85</v>
      </c>
      <c r="Q589" s="6">
        <v>0.1</v>
      </c>
      <c r="R589" s="3">
        <v>365.58000000000004</v>
      </c>
      <c r="S589" t="s">
        <v>803</v>
      </c>
    </row>
    <row r="590" spans="1:19" x14ac:dyDescent="0.35">
      <c r="A590" t="s">
        <v>1993</v>
      </c>
      <c r="B590" t="s">
        <v>557</v>
      </c>
      <c r="C590" s="5">
        <v>45530</v>
      </c>
      <c r="D590" s="5">
        <v>45531</v>
      </c>
      <c r="E590" t="s">
        <v>558</v>
      </c>
      <c r="F590" t="s">
        <v>637</v>
      </c>
      <c r="G590" t="s">
        <v>235</v>
      </c>
      <c r="H590" t="s">
        <v>20</v>
      </c>
      <c r="I590" t="s">
        <v>14</v>
      </c>
      <c r="J590" t="s">
        <v>194</v>
      </c>
      <c r="K590" t="s">
        <v>798</v>
      </c>
      <c r="L590" t="s">
        <v>799</v>
      </c>
      <c r="M590" t="s">
        <v>788</v>
      </c>
      <c r="N590">
        <v>12</v>
      </c>
      <c r="O590" s="3">
        <v>20.32</v>
      </c>
      <c r="P590" s="3">
        <v>25.4</v>
      </c>
      <c r="Q590" s="6">
        <v>0.1</v>
      </c>
      <c r="R590" s="3">
        <v>274.31999999999994</v>
      </c>
      <c r="S590" t="s">
        <v>834</v>
      </c>
    </row>
    <row r="591" spans="1:19" x14ac:dyDescent="0.35">
      <c r="A591" t="s">
        <v>1994</v>
      </c>
      <c r="B591" t="s">
        <v>509</v>
      </c>
      <c r="C591" s="5">
        <v>45432</v>
      </c>
      <c r="D591" s="5">
        <v>45440</v>
      </c>
      <c r="E591" t="s">
        <v>510</v>
      </c>
      <c r="F591" t="s">
        <v>633</v>
      </c>
      <c r="G591" t="s">
        <v>235</v>
      </c>
      <c r="H591" t="s">
        <v>797</v>
      </c>
      <c r="I591" t="s">
        <v>14</v>
      </c>
      <c r="J591" t="s">
        <v>167</v>
      </c>
      <c r="K591" t="s">
        <v>798</v>
      </c>
      <c r="L591" t="s">
        <v>799</v>
      </c>
      <c r="M591" t="s">
        <v>788</v>
      </c>
      <c r="N591">
        <v>2</v>
      </c>
      <c r="O591" s="3">
        <v>18.62</v>
      </c>
      <c r="P591" s="3">
        <v>26.07</v>
      </c>
      <c r="Q591" s="6">
        <v>0.15</v>
      </c>
      <c r="R591" s="3">
        <v>44.319000000000003</v>
      </c>
      <c r="S591" t="s">
        <v>946</v>
      </c>
    </row>
    <row r="592" spans="1:19" x14ac:dyDescent="0.35">
      <c r="A592" t="s">
        <v>1996</v>
      </c>
      <c r="B592" t="s">
        <v>343</v>
      </c>
      <c r="C592" s="5">
        <v>46048</v>
      </c>
      <c r="E592" t="s">
        <v>344</v>
      </c>
      <c r="F592" t="s">
        <v>633</v>
      </c>
      <c r="G592" t="s">
        <v>235</v>
      </c>
      <c r="H592" t="s">
        <v>797</v>
      </c>
      <c r="I592" t="s">
        <v>8</v>
      </c>
      <c r="J592" t="s">
        <v>101</v>
      </c>
      <c r="K592" t="s">
        <v>786</v>
      </c>
      <c r="L592" t="s">
        <v>787</v>
      </c>
      <c r="M592" t="s">
        <v>818</v>
      </c>
      <c r="N592">
        <v>3</v>
      </c>
      <c r="O592" s="3">
        <v>16.510000000000002</v>
      </c>
      <c r="P592" s="3">
        <v>23.94</v>
      </c>
      <c r="Q592" s="6">
        <v>0.15</v>
      </c>
      <c r="R592" s="3">
        <v>61.047000000000004</v>
      </c>
      <c r="S592" t="s">
        <v>859</v>
      </c>
    </row>
    <row r="593" spans="1:19" x14ac:dyDescent="0.35">
      <c r="A593" t="s">
        <v>1997</v>
      </c>
      <c r="B593" t="s">
        <v>599</v>
      </c>
      <c r="C593" s="5">
        <v>45316</v>
      </c>
      <c r="E593" t="s">
        <v>600</v>
      </c>
      <c r="F593" t="s">
        <v>633</v>
      </c>
      <c r="G593" t="s">
        <v>243</v>
      </c>
      <c r="H593" t="s">
        <v>797</v>
      </c>
      <c r="I593" t="s">
        <v>29</v>
      </c>
      <c r="J593" t="s">
        <v>176</v>
      </c>
      <c r="K593" t="s">
        <v>798</v>
      </c>
      <c r="L593" t="s">
        <v>787</v>
      </c>
      <c r="M593" t="s">
        <v>788</v>
      </c>
      <c r="N593">
        <v>2</v>
      </c>
      <c r="O593" s="3">
        <v>25.88</v>
      </c>
      <c r="P593" s="3">
        <v>36.229999999999997</v>
      </c>
      <c r="Q593" s="6">
        <v>0.15</v>
      </c>
      <c r="R593" s="3">
        <v>61.590999999999994</v>
      </c>
      <c r="S593" t="s">
        <v>1001</v>
      </c>
    </row>
    <row r="594" spans="1:19" x14ac:dyDescent="0.35">
      <c r="A594" t="s">
        <v>1998</v>
      </c>
      <c r="B594" t="s">
        <v>555</v>
      </c>
      <c r="C594" s="5">
        <v>46028</v>
      </c>
      <c r="D594" s="5">
        <v>46030</v>
      </c>
      <c r="E594" t="s">
        <v>391</v>
      </c>
      <c r="F594" t="s">
        <v>637</v>
      </c>
      <c r="G594" t="s">
        <v>264</v>
      </c>
      <c r="H594" t="s">
        <v>797</v>
      </c>
      <c r="I594" t="s">
        <v>43</v>
      </c>
      <c r="J594" t="s">
        <v>171</v>
      </c>
      <c r="K594" t="s">
        <v>798</v>
      </c>
      <c r="L594" t="s">
        <v>799</v>
      </c>
      <c r="M594" t="s">
        <v>842</v>
      </c>
      <c r="N594">
        <v>1</v>
      </c>
      <c r="O594" s="3">
        <v>29.39</v>
      </c>
      <c r="P594" s="3">
        <v>39.68</v>
      </c>
      <c r="Q594" s="6">
        <v>0</v>
      </c>
      <c r="R594" s="3">
        <v>39.68</v>
      </c>
      <c r="S594" t="s">
        <v>819</v>
      </c>
    </row>
    <row r="595" spans="1:19" x14ac:dyDescent="0.35">
      <c r="A595" t="s">
        <v>2000</v>
      </c>
      <c r="B595" t="s">
        <v>564</v>
      </c>
      <c r="C595" s="5">
        <v>45489</v>
      </c>
      <c r="E595" t="s">
        <v>526</v>
      </c>
      <c r="F595" t="s">
        <v>674</v>
      </c>
      <c r="G595" t="s">
        <v>243</v>
      </c>
      <c r="H595" t="s">
        <v>48</v>
      </c>
      <c r="I595" t="s">
        <v>14</v>
      </c>
      <c r="J595" t="s">
        <v>16</v>
      </c>
      <c r="K595" t="s">
        <v>813</v>
      </c>
      <c r="L595" t="s">
        <v>787</v>
      </c>
      <c r="M595" t="s">
        <v>788</v>
      </c>
      <c r="N595">
        <v>3</v>
      </c>
      <c r="O595" s="3">
        <v>56.69</v>
      </c>
      <c r="P595" s="3">
        <v>79.37</v>
      </c>
      <c r="Q595" s="6">
        <v>0</v>
      </c>
      <c r="R595" s="3">
        <v>238.11</v>
      </c>
      <c r="S595" t="s">
        <v>892</v>
      </c>
    </row>
    <row r="596" spans="1:19" x14ac:dyDescent="0.35">
      <c r="A596" t="s">
        <v>2001</v>
      </c>
      <c r="B596" t="s">
        <v>596</v>
      </c>
      <c r="C596" s="5">
        <v>45372</v>
      </c>
      <c r="E596" t="s">
        <v>443</v>
      </c>
      <c r="F596" t="s">
        <v>696</v>
      </c>
      <c r="G596" t="s">
        <v>264</v>
      </c>
      <c r="H596" t="s">
        <v>797</v>
      </c>
      <c r="I596" t="s">
        <v>43</v>
      </c>
      <c r="J596" t="s">
        <v>161</v>
      </c>
      <c r="K596" t="s">
        <v>798</v>
      </c>
      <c r="L596" t="s">
        <v>793</v>
      </c>
      <c r="M596" t="s">
        <v>788</v>
      </c>
      <c r="N596">
        <v>1</v>
      </c>
      <c r="O596" s="3">
        <v>21.74</v>
      </c>
      <c r="P596" s="3">
        <v>30.44</v>
      </c>
      <c r="Q596" s="6">
        <v>0.1</v>
      </c>
      <c r="R596" s="3">
        <v>27.396000000000001</v>
      </c>
      <c r="S596" t="s">
        <v>794</v>
      </c>
    </row>
    <row r="597" spans="1:19" x14ac:dyDescent="0.35">
      <c r="A597" t="s">
        <v>2002</v>
      </c>
      <c r="B597" t="s">
        <v>543</v>
      </c>
      <c r="C597" s="5">
        <v>45602</v>
      </c>
      <c r="D597" s="5">
        <v>45609</v>
      </c>
      <c r="E597" t="s">
        <v>544</v>
      </c>
      <c r="F597" t="s">
        <v>696</v>
      </c>
      <c r="G597" t="s">
        <v>243</v>
      </c>
      <c r="H597" t="s">
        <v>48</v>
      </c>
      <c r="I597" t="s">
        <v>8</v>
      </c>
      <c r="J597" t="s">
        <v>181</v>
      </c>
      <c r="K597" t="s">
        <v>798</v>
      </c>
      <c r="L597" t="s">
        <v>799</v>
      </c>
      <c r="M597" t="s">
        <v>818</v>
      </c>
      <c r="N597">
        <v>5</v>
      </c>
      <c r="O597" s="3">
        <v>20.49</v>
      </c>
      <c r="P597" s="3">
        <v>29.71</v>
      </c>
      <c r="Q597" s="6">
        <v>0</v>
      </c>
      <c r="R597" s="3">
        <v>148.55000000000001</v>
      </c>
      <c r="S597" t="s">
        <v>814</v>
      </c>
    </row>
    <row r="598" spans="1:19" x14ac:dyDescent="0.35">
      <c r="A598" t="s">
        <v>2003</v>
      </c>
      <c r="B598" t="s">
        <v>498</v>
      </c>
      <c r="C598" s="5">
        <v>45678</v>
      </c>
      <c r="D598" s="5">
        <v>45685</v>
      </c>
      <c r="E598" t="s">
        <v>499</v>
      </c>
      <c r="F598" t="s">
        <v>696</v>
      </c>
      <c r="G598" t="s">
        <v>235</v>
      </c>
      <c r="H598" t="s">
        <v>797</v>
      </c>
      <c r="I598" t="s">
        <v>14</v>
      </c>
      <c r="J598" t="s">
        <v>25</v>
      </c>
      <c r="K598" t="s">
        <v>798</v>
      </c>
      <c r="L598" t="s">
        <v>799</v>
      </c>
      <c r="M598" t="s">
        <v>788</v>
      </c>
      <c r="N598">
        <v>2</v>
      </c>
      <c r="O598" s="3">
        <v>18.95</v>
      </c>
      <c r="P598" s="3">
        <v>25.58</v>
      </c>
      <c r="Q598" s="6">
        <v>0.05</v>
      </c>
      <c r="R598" s="3">
        <v>48.601999999999997</v>
      </c>
      <c r="S598" t="s">
        <v>839</v>
      </c>
    </row>
    <row r="599" spans="1:19" x14ac:dyDescent="0.35">
      <c r="A599" t="s">
        <v>2004</v>
      </c>
      <c r="B599" t="s">
        <v>609</v>
      </c>
      <c r="C599" s="5">
        <v>45729</v>
      </c>
      <c r="D599" s="5">
        <v>45734</v>
      </c>
      <c r="E599" t="s">
        <v>610</v>
      </c>
      <c r="F599" t="s">
        <v>633</v>
      </c>
      <c r="H599" t="s">
        <v>14</v>
      </c>
      <c r="I599" t="s">
        <v>14</v>
      </c>
      <c r="J599" t="s">
        <v>111</v>
      </c>
      <c r="K599" t="s">
        <v>813</v>
      </c>
      <c r="L599" t="s">
        <v>799</v>
      </c>
      <c r="M599" t="s">
        <v>800</v>
      </c>
      <c r="N599">
        <v>2</v>
      </c>
      <c r="O599" s="3">
        <v>19.850000000000001</v>
      </c>
      <c r="P599" s="3">
        <v>28.78</v>
      </c>
      <c r="Q599" s="6">
        <v>0.05</v>
      </c>
      <c r="R599" s="3">
        <v>54.682000000000002</v>
      </c>
      <c r="S599" t="s">
        <v>845</v>
      </c>
    </row>
    <row r="600" spans="1:19" x14ac:dyDescent="0.35">
      <c r="A600" t="s">
        <v>2005</v>
      </c>
      <c r="B600" t="s">
        <v>457</v>
      </c>
      <c r="C600" s="5">
        <v>45756</v>
      </c>
      <c r="E600" t="s">
        <v>458</v>
      </c>
      <c r="F600" t="s">
        <v>627</v>
      </c>
      <c r="G600" t="s">
        <v>243</v>
      </c>
      <c r="H600" t="s">
        <v>14</v>
      </c>
      <c r="I600" t="s">
        <v>43</v>
      </c>
      <c r="J600" t="s">
        <v>161</v>
      </c>
      <c r="K600" t="s">
        <v>813</v>
      </c>
      <c r="L600" t="s">
        <v>787</v>
      </c>
      <c r="M600" t="s">
        <v>818</v>
      </c>
      <c r="N600">
        <v>12</v>
      </c>
      <c r="O600" s="3">
        <v>21.74</v>
      </c>
      <c r="P600" s="3">
        <v>30.44</v>
      </c>
      <c r="Q600" s="6">
        <v>0</v>
      </c>
      <c r="R600" s="3">
        <v>365.28000000000003</v>
      </c>
      <c r="S600" t="s">
        <v>888</v>
      </c>
    </row>
    <row r="601" spans="1:19" x14ac:dyDescent="0.35">
      <c r="A601" t="s">
        <v>2006</v>
      </c>
      <c r="B601" t="s">
        <v>248</v>
      </c>
      <c r="C601" s="5">
        <v>45486</v>
      </c>
      <c r="D601" s="5">
        <v>45493</v>
      </c>
      <c r="E601" t="s">
        <v>249</v>
      </c>
      <c r="F601" t="s">
        <v>637</v>
      </c>
      <c r="H601" t="s">
        <v>14</v>
      </c>
      <c r="I601" t="s">
        <v>14</v>
      </c>
      <c r="J601" t="s">
        <v>24</v>
      </c>
      <c r="K601" t="s">
        <v>798</v>
      </c>
      <c r="L601" t="s">
        <v>799</v>
      </c>
      <c r="M601" t="s">
        <v>818</v>
      </c>
      <c r="N601">
        <v>1</v>
      </c>
      <c r="O601" s="3">
        <v>37.42</v>
      </c>
      <c r="P601" s="3">
        <v>50.52</v>
      </c>
      <c r="Q601" s="6">
        <v>0.05</v>
      </c>
      <c r="R601" s="3">
        <v>47.994</v>
      </c>
      <c r="S601" t="s">
        <v>814</v>
      </c>
    </row>
    <row r="602" spans="1:19" x14ac:dyDescent="0.35">
      <c r="A602" t="s">
        <v>2007</v>
      </c>
      <c r="B602" t="s">
        <v>568</v>
      </c>
      <c r="C602" s="5">
        <v>45793</v>
      </c>
      <c r="E602" t="s">
        <v>360</v>
      </c>
      <c r="F602" t="s">
        <v>627</v>
      </c>
      <c r="H602" t="s">
        <v>797</v>
      </c>
      <c r="I602" t="s">
        <v>38</v>
      </c>
      <c r="J602" t="s">
        <v>117</v>
      </c>
      <c r="K602" t="s">
        <v>786</v>
      </c>
      <c r="L602" t="s">
        <v>817</v>
      </c>
      <c r="M602" t="s">
        <v>842</v>
      </c>
      <c r="N602">
        <v>2</v>
      </c>
      <c r="O602" s="3">
        <v>43.25</v>
      </c>
      <c r="P602" s="3">
        <v>60.55</v>
      </c>
      <c r="Q602" s="6">
        <v>0.05</v>
      </c>
      <c r="R602" s="3">
        <v>115.04499999999999</v>
      </c>
      <c r="S602" t="s">
        <v>803</v>
      </c>
    </row>
    <row r="603" spans="1:19" x14ac:dyDescent="0.35">
      <c r="A603" t="s">
        <v>2008</v>
      </c>
      <c r="B603" t="s">
        <v>611</v>
      </c>
      <c r="C603" s="5">
        <v>45458</v>
      </c>
      <c r="D603" s="5">
        <v>45466</v>
      </c>
      <c r="E603" t="s">
        <v>287</v>
      </c>
      <c r="F603" t="s">
        <v>696</v>
      </c>
      <c r="G603" t="s">
        <v>235</v>
      </c>
      <c r="H603" t="s">
        <v>48</v>
      </c>
      <c r="I603" t="s">
        <v>38</v>
      </c>
      <c r="J603" t="s">
        <v>117</v>
      </c>
      <c r="K603" t="s">
        <v>786</v>
      </c>
      <c r="L603" t="s">
        <v>799</v>
      </c>
      <c r="M603" t="s">
        <v>800</v>
      </c>
      <c r="N603">
        <v>5</v>
      </c>
      <c r="O603" s="3">
        <v>43.25</v>
      </c>
      <c r="P603" s="3">
        <v>60.55</v>
      </c>
      <c r="Q603" s="6">
        <v>0.1</v>
      </c>
      <c r="R603" s="3">
        <v>272.47500000000002</v>
      </c>
      <c r="S603" t="s">
        <v>1001</v>
      </c>
    </row>
    <row r="604" spans="1:19" x14ac:dyDescent="0.35">
      <c r="A604" t="s">
        <v>2010</v>
      </c>
      <c r="B604" t="s">
        <v>587</v>
      </c>
      <c r="C604" s="5">
        <v>45942</v>
      </c>
      <c r="D604" s="5">
        <v>45948</v>
      </c>
      <c r="E604" t="s">
        <v>431</v>
      </c>
      <c r="F604" t="s">
        <v>254</v>
      </c>
      <c r="G604" t="s">
        <v>235</v>
      </c>
      <c r="H604" t="s">
        <v>14</v>
      </c>
      <c r="I604" t="s">
        <v>43</v>
      </c>
      <c r="J604" t="s">
        <v>222</v>
      </c>
      <c r="K604" t="s">
        <v>786</v>
      </c>
      <c r="L604" t="s">
        <v>799</v>
      </c>
      <c r="M604" t="s">
        <v>788</v>
      </c>
      <c r="N604">
        <v>10</v>
      </c>
      <c r="O604" s="3">
        <v>37.1</v>
      </c>
      <c r="P604" s="3">
        <v>48.23</v>
      </c>
      <c r="Q604" s="6">
        <v>0.05</v>
      </c>
      <c r="R604" s="3">
        <v>458.18499999999995</v>
      </c>
      <c r="S604" t="s">
        <v>829</v>
      </c>
    </row>
    <row r="605" spans="1:19" x14ac:dyDescent="0.35">
      <c r="A605" t="s">
        <v>2012</v>
      </c>
      <c r="B605" t="s">
        <v>587</v>
      </c>
      <c r="C605" s="5">
        <v>45938</v>
      </c>
      <c r="D605" s="5">
        <v>45948</v>
      </c>
      <c r="E605" t="s">
        <v>431</v>
      </c>
      <c r="F605" t="s">
        <v>681</v>
      </c>
      <c r="G605" t="s">
        <v>235</v>
      </c>
      <c r="H605" t="s">
        <v>14</v>
      </c>
      <c r="I605" t="s">
        <v>43</v>
      </c>
      <c r="J605" t="s">
        <v>58</v>
      </c>
      <c r="K605" t="s">
        <v>798</v>
      </c>
      <c r="L605" t="s">
        <v>799</v>
      </c>
      <c r="M605" t="s">
        <v>788</v>
      </c>
      <c r="N605">
        <v>5</v>
      </c>
      <c r="O605" s="3">
        <v>11.21</v>
      </c>
      <c r="P605" s="3">
        <v>15.13</v>
      </c>
      <c r="Q605" s="6">
        <v>0</v>
      </c>
      <c r="R605" s="3">
        <v>75.650000000000006</v>
      </c>
      <c r="S605" t="s">
        <v>794</v>
      </c>
    </row>
    <row r="606" spans="1:19" x14ac:dyDescent="0.35">
      <c r="A606" t="s">
        <v>2013</v>
      </c>
      <c r="B606" t="s">
        <v>248</v>
      </c>
      <c r="C606" s="5">
        <v>45884</v>
      </c>
      <c r="D606" s="5">
        <v>45886</v>
      </c>
      <c r="E606" t="s">
        <v>249</v>
      </c>
      <c r="F606" t="s">
        <v>254</v>
      </c>
      <c r="H606" t="s">
        <v>20</v>
      </c>
      <c r="I606" t="s">
        <v>14</v>
      </c>
      <c r="J606" t="s">
        <v>30</v>
      </c>
      <c r="K606" t="s">
        <v>798</v>
      </c>
      <c r="L606" t="s">
        <v>822</v>
      </c>
      <c r="M606" t="s">
        <v>818</v>
      </c>
      <c r="N606">
        <v>1</v>
      </c>
      <c r="O606" s="3">
        <v>19.010000000000002</v>
      </c>
      <c r="P606" s="3">
        <v>27.56</v>
      </c>
      <c r="Q606" s="6">
        <v>0.15</v>
      </c>
      <c r="R606" s="3">
        <v>23.425999999999998</v>
      </c>
      <c r="S606" t="s">
        <v>803</v>
      </c>
    </row>
    <row r="607" spans="1:19" x14ac:dyDescent="0.35">
      <c r="A607" t="s">
        <v>2015</v>
      </c>
      <c r="B607" t="s">
        <v>477</v>
      </c>
      <c r="C607" s="5">
        <v>45822</v>
      </c>
      <c r="E607" t="s">
        <v>478</v>
      </c>
      <c r="F607" t="s">
        <v>674</v>
      </c>
      <c r="G607" t="s">
        <v>243</v>
      </c>
      <c r="H607" t="s">
        <v>20</v>
      </c>
      <c r="I607" t="s">
        <v>8</v>
      </c>
      <c r="J607" t="s">
        <v>21</v>
      </c>
      <c r="K607" t="s">
        <v>798</v>
      </c>
      <c r="L607" t="s">
        <v>793</v>
      </c>
      <c r="M607" t="s">
        <v>818</v>
      </c>
      <c r="N607">
        <v>10</v>
      </c>
      <c r="O607" s="3">
        <v>21.57</v>
      </c>
      <c r="P607" s="3">
        <v>26.96</v>
      </c>
      <c r="Q607" s="6">
        <v>0.1</v>
      </c>
      <c r="R607" s="3">
        <v>242.64000000000001</v>
      </c>
      <c r="S607" t="s">
        <v>859</v>
      </c>
    </row>
    <row r="608" spans="1:19" x14ac:dyDescent="0.35">
      <c r="A608" t="s">
        <v>2016</v>
      </c>
      <c r="B608" t="s">
        <v>606</v>
      </c>
      <c r="C608" s="5">
        <v>46043</v>
      </c>
      <c r="D608" s="5">
        <v>46047</v>
      </c>
      <c r="E608" t="s">
        <v>600</v>
      </c>
      <c r="F608" t="s">
        <v>681</v>
      </c>
      <c r="H608" t="s">
        <v>20</v>
      </c>
      <c r="I608" t="s">
        <v>29</v>
      </c>
      <c r="J608" t="s">
        <v>121</v>
      </c>
      <c r="K608" t="s">
        <v>813</v>
      </c>
      <c r="L608" t="s">
        <v>799</v>
      </c>
      <c r="M608" t="s">
        <v>800</v>
      </c>
      <c r="N608">
        <v>12</v>
      </c>
      <c r="O608" s="3">
        <v>15.46</v>
      </c>
      <c r="P608" s="3">
        <v>22.42</v>
      </c>
      <c r="Q608" s="6">
        <v>0</v>
      </c>
      <c r="R608" s="3">
        <v>269.04000000000002</v>
      </c>
      <c r="S608" t="s">
        <v>1017</v>
      </c>
    </row>
    <row r="609" spans="1:19" x14ac:dyDescent="0.35">
      <c r="A609" t="s">
        <v>2018</v>
      </c>
      <c r="B609" t="s">
        <v>238</v>
      </c>
      <c r="C609" s="5">
        <v>45699</v>
      </c>
      <c r="E609" t="s">
        <v>239</v>
      </c>
      <c r="F609" t="s">
        <v>674</v>
      </c>
      <c r="G609" t="s">
        <v>243</v>
      </c>
      <c r="H609" t="s">
        <v>20</v>
      </c>
      <c r="I609" t="s">
        <v>14</v>
      </c>
      <c r="J609" t="s">
        <v>128</v>
      </c>
      <c r="K609" t="s">
        <v>813</v>
      </c>
      <c r="L609" t="s">
        <v>787</v>
      </c>
      <c r="M609" t="s">
        <v>818</v>
      </c>
      <c r="N609">
        <v>2</v>
      </c>
      <c r="O609" s="3">
        <v>18.850000000000001</v>
      </c>
      <c r="P609" s="3">
        <v>27.33</v>
      </c>
      <c r="Q609" s="6">
        <v>0.1</v>
      </c>
      <c r="R609" s="3">
        <v>49.193999999999996</v>
      </c>
      <c r="S609" t="s">
        <v>876</v>
      </c>
    </row>
    <row r="610" spans="1:19" x14ac:dyDescent="0.35">
      <c r="A610" t="s">
        <v>2019</v>
      </c>
      <c r="B610" t="s">
        <v>599</v>
      </c>
      <c r="C610" s="5">
        <v>45962</v>
      </c>
      <c r="D610" s="5">
        <v>45971</v>
      </c>
      <c r="E610" t="s">
        <v>600</v>
      </c>
      <c r="F610" t="s">
        <v>696</v>
      </c>
      <c r="G610" t="s">
        <v>243</v>
      </c>
      <c r="H610" t="s">
        <v>797</v>
      </c>
      <c r="I610" t="s">
        <v>14</v>
      </c>
      <c r="J610" t="s">
        <v>30</v>
      </c>
      <c r="K610" t="s">
        <v>798</v>
      </c>
      <c r="L610" t="s">
        <v>799</v>
      </c>
      <c r="M610" t="s">
        <v>788</v>
      </c>
      <c r="N610">
        <v>10</v>
      </c>
      <c r="O610" s="3">
        <v>19.010000000000002</v>
      </c>
      <c r="P610" s="3">
        <v>27.56</v>
      </c>
      <c r="Q610" s="6">
        <v>0.05</v>
      </c>
      <c r="R610" s="3">
        <v>261.82</v>
      </c>
      <c r="S610" t="s">
        <v>810</v>
      </c>
    </row>
    <row r="611" spans="1:19" x14ac:dyDescent="0.35">
      <c r="A611" t="s">
        <v>2020</v>
      </c>
      <c r="B611" t="s">
        <v>540</v>
      </c>
      <c r="C611" s="5">
        <v>45404</v>
      </c>
      <c r="D611" s="5">
        <v>45412</v>
      </c>
      <c r="E611" t="s">
        <v>458</v>
      </c>
      <c r="F611" t="s">
        <v>637</v>
      </c>
      <c r="G611" t="s">
        <v>264</v>
      </c>
      <c r="H611" t="s">
        <v>797</v>
      </c>
      <c r="I611" t="s">
        <v>48</v>
      </c>
      <c r="J611" t="s">
        <v>61</v>
      </c>
      <c r="K611" t="s">
        <v>798</v>
      </c>
      <c r="L611" t="s">
        <v>799</v>
      </c>
      <c r="M611" t="s">
        <v>788</v>
      </c>
      <c r="N611">
        <v>10</v>
      </c>
      <c r="O611" s="3">
        <v>26.08</v>
      </c>
      <c r="P611" s="3">
        <v>35.21</v>
      </c>
      <c r="Q611" s="6">
        <v>0</v>
      </c>
      <c r="R611" s="3">
        <v>352.1</v>
      </c>
      <c r="S611" t="s">
        <v>876</v>
      </c>
    </row>
    <row r="612" spans="1:19" x14ac:dyDescent="0.35">
      <c r="A612" t="s">
        <v>2023</v>
      </c>
      <c r="B612" t="s">
        <v>327</v>
      </c>
      <c r="C612" s="5">
        <v>45933</v>
      </c>
      <c r="E612" t="s">
        <v>328</v>
      </c>
      <c r="F612" t="s">
        <v>637</v>
      </c>
      <c r="G612" t="s">
        <v>264</v>
      </c>
      <c r="H612" t="s">
        <v>14</v>
      </c>
      <c r="I612" t="s">
        <v>38</v>
      </c>
      <c r="J612" t="s">
        <v>206</v>
      </c>
      <c r="K612" t="s">
        <v>813</v>
      </c>
      <c r="L612" t="s">
        <v>787</v>
      </c>
      <c r="M612" t="s">
        <v>842</v>
      </c>
      <c r="N612">
        <v>3</v>
      </c>
      <c r="O612" s="3">
        <v>23.55</v>
      </c>
      <c r="P612" s="3">
        <v>31.79</v>
      </c>
      <c r="Q612" s="6">
        <v>0</v>
      </c>
      <c r="R612" s="3">
        <v>95.37</v>
      </c>
      <c r="S612" t="s">
        <v>834</v>
      </c>
    </row>
    <row r="613" spans="1:19" x14ac:dyDescent="0.35">
      <c r="A613" t="s">
        <v>2025</v>
      </c>
      <c r="B613" t="s">
        <v>547</v>
      </c>
      <c r="C613" s="5">
        <v>45642</v>
      </c>
      <c r="E613" t="s">
        <v>375</v>
      </c>
      <c r="F613" t="s">
        <v>674</v>
      </c>
      <c r="G613" t="s">
        <v>243</v>
      </c>
      <c r="H613" t="s">
        <v>14</v>
      </c>
      <c r="I613" t="s">
        <v>38</v>
      </c>
      <c r="J613" t="s">
        <v>132</v>
      </c>
      <c r="K613" t="s">
        <v>798</v>
      </c>
      <c r="L613" t="s">
        <v>787</v>
      </c>
      <c r="M613" t="s">
        <v>842</v>
      </c>
      <c r="N613">
        <v>10</v>
      </c>
      <c r="O613" s="3">
        <v>12.71</v>
      </c>
      <c r="P613" s="3">
        <v>17.79</v>
      </c>
      <c r="Q613" s="6">
        <v>0</v>
      </c>
      <c r="R613" s="3">
        <v>177.89999999999998</v>
      </c>
      <c r="S613" t="s">
        <v>839</v>
      </c>
    </row>
    <row r="614" spans="1:19" x14ac:dyDescent="0.35">
      <c r="A614" t="s">
        <v>2026</v>
      </c>
      <c r="B614" t="s">
        <v>276</v>
      </c>
      <c r="C614" s="5">
        <v>45973</v>
      </c>
      <c r="E614" t="s">
        <v>277</v>
      </c>
      <c r="F614" t="s">
        <v>254</v>
      </c>
      <c r="G614" t="s">
        <v>243</v>
      </c>
      <c r="H614" t="s">
        <v>797</v>
      </c>
      <c r="I614" t="s">
        <v>8</v>
      </c>
      <c r="J614" t="s">
        <v>6</v>
      </c>
      <c r="K614" t="s">
        <v>786</v>
      </c>
      <c r="L614" t="s">
        <v>793</v>
      </c>
      <c r="M614" t="s">
        <v>800</v>
      </c>
      <c r="N614">
        <v>12</v>
      </c>
      <c r="O614" s="3">
        <v>32.24</v>
      </c>
      <c r="P614" s="3">
        <v>41.91</v>
      </c>
      <c r="Q614" s="6">
        <v>0.05</v>
      </c>
      <c r="R614" s="3">
        <v>477.77399999999994</v>
      </c>
      <c r="S614" t="s">
        <v>819</v>
      </c>
    </row>
    <row r="615" spans="1:19" x14ac:dyDescent="0.35">
      <c r="A615" t="s">
        <v>2027</v>
      </c>
      <c r="B615" t="s">
        <v>479</v>
      </c>
      <c r="C615" s="5">
        <v>45637</v>
      </c>
      <c r="E615" t="s">
        <v>480</v>
      </c>
      <c r="F615" t="s">
        <v>633</v>
      </c>
      <c r="G615" t="s">
        <v>243</v>
      </c>
      <c r="H615" t="s">
        <v>797</v>
      </c>
      <c r="I615" t="s">
        <v>20</v>
      </c>
      <c r="J615" t="s">
        <v>102</v>
      </c>
      <c r="K615" t="s">
        <v>786</v>
      </c>
      <c r="L615" t="s">
        <v>817</v>
      </c>
      <c r="M615" t="s">
        <v>788</v>
      </c>
      <c r="N615">
        <v>3</v>
      </c>
      <c r="O615" s="3">
        <v>19.04</v>
      </c>
      <c r="P615" s="3">
        <v>25.7</v>
      </c>
      <c r="Q615" s="6">
        <v>0</v>
      </c>
      <c r="R615" s="3">
        <v>77.099999999999994</v>
      </c>
      <c r="S615" t="s">
        <v>825</v>
      </c>
    </row>
    <row r="616" spans="1:19" x14ac:dyDescent="0.35">
      <c r="A616" t="s">
        <v>2028</v>
      </c>
      <c r="B616" t="s">
        <v>556</v>
      </c>
      <c r="C616" s="5">
        <v>45700</v>
      </c>
      <c r="D616" s="5">
        <v>45707</v>
      </c>
      <c r="E616" t="s">
        <v>472</v>
      </c>
      <c r="F616" t="s">
        <v>254</v>
      </c>
      <c r="G616" t="s">
        <v>235</v>
      </c>
      <c r="H616" t="s">
        <v>48</v>
      </c>
      <c r="I616" t="s">
        <v>48</v>
      </c>
      <c r="J616" t="s">
        <v>210</v>
      </c>
      <c r="K616" t="s">
        <v>786</v>
      </c>
      <c r="L616" t="s">
        <v>799</v>
      </c>
      <c r="M616" t="s">
        <v>842</v>
      </c>
      <c r="N616">
        <v>10</v>
      </c>
      <c r="O616" s="3">
        <v>25.36</v>
      </c>
      <c r="P616" s="3">
        <v>34.24</v>
      </c>
      <c r="Q616" s="6">
        <v>0.05</v>
      </c>
      <c r="R616" s="3">
        <v>325.28000000000003</v>
      </c>
      <c r="S616" t="s">
        <v>1001</v>
      </c>
    </row>
    <row r="617" spans="1:19" x14ac:dyDescent="0.35">
      <c r="A617" t="s">
        <v>2029</v>
      </c>
      <c r="B617" t="s">
        <v>260</v>
      </c>
      <c r="C617" s="5">
        <v>46034</v>
      </c>
      <c r="D617" s="5">
        <v>46044</v>
      </c>
      <c r="E617" t="s">
        <v>261</v>
      </c>
      <c r="F617" t="s">
        <v>627</v>
      </c>
      <c r="G617" t="s">
        <v>264</v>
      </c>
      <c r="H617" t="s">
        <v>797</v>
      </c>
      <c r="I617" t="s">
        <v>20</v>
      </c>
      <c r="J617" t="s">
        <v>34</v>
      </c>
      <c r="K617" t="s">
        <v>798</v>
      </c>
      <c r="L617" t="s">
        <v>822</v>
      </c>
      <c r="M617" t="s">
        <v>788</v>
      </c>
      <c r="N617">
        <v>3</v>
      </c>
      <c r="O617" s="3">
        <v>28.02</v>
      </c>
      <c r="P617" s="3">
        <v>36.43</v>
      </c>
      <c r="Q617" s="6">
        <v>0</v>
      </c>
      <c r="R617" s="3">
        <v>109.28999999999999</v>
      </c>
      <c r="S617" t="s">
        <v>845</v>
      </c>
    </row>
    <row r="618" spans="1:19" x14ac:dyDescent="0.35">
      <c r="A618" t="s">
        <v>2031</v>
      </c>
      <c r="B618" t="s">
        <v>500</v>
      </c>
      <c r="C618" s="5">
        <v>45994</v>
      </c>
      <c r="E618" t="s">
        <v>447</v>
      </c>
      <c r="F618" t="s">
        <v>627</v>
      </c>
      <c r="G618" t="s">
        <v>235</v>
      </c>
      <c r="H618" t="s">
        <v>797</v>
      </c>
      <c r="I618" t="s">
        <v>48</v>
      </c>
      <c r="J618" t="s">
        <v>219</v>
      </c>
      <c r="K618" t="s">
        <v>813</v>
      </c>
      <c r="L618" t="s">
        <v>817</v>
      </c>
      <c r="M618" t="s">
        <v>800</v>
      </c>
      <c r="N618">
        <v>10</v>
      </c>
      <c r="O618" s="3">
        <v>12.9</v>
      </c>
      <c r="P618" s="3">
        <v>18.7</v>
      </c>
      <c r="Q618" s="6">
        <v>0</v>
      </c>
      <c r="R618" s="3">
        <v>187</v>
      </c>
      <c r="S618" t="s">
        <v>869</v>
      </c>
    </row>
    <row r="619" spans="1:19" x14ac:dyDescent="0.35">
      <c r="A619" t="s">
        <v>2032</v>
      </c>
      <c r="B619" t="s">
        <v>601</v>
      </c>
      <c r="C619" s="5">
        <v>45660</v>
      </c>
      <c r="D619" s="5">
        <v>45668</v>
      </c>
      <c r="E619" t="s">
        <v>602</v>
      </c>
      <c r="F619" t="s">
        <v>633</v>
      </c>
      <c r="G619" t="s">
        <v>235</v>
      </c>
      <c r="H619" t="s">
        <v>14</v>
      </c>
      <c r="I619" t="s">
        <v>8</v>
      </c>
      <c r="J619" t="s">
        <v>181</v>
      </c>
      <c r="K619" t="s">
        <v>798</v>
      </c>
      <c r="L619" t="s">
        <v>799</v>
      </c>
      <c r="M619" t="s">
        <v>842</v>
      </c>
      <c r="N619">
        <v>10</v>
      </c>
      <c r="O619" s="3">
        <v>20.49</v>
      </c>
      <c r="P619" s="3">
        <v>29.71</v>
      </c>
      <c r="Q619" s="6">
        <v>0</v>
      </c>
      <c r="R619" s="3">
        <v>297.10000000000002</v>
      </c>
      <c r="S619" t="s">
        <v>876</v>
      </c>
    </row>
    <row r="620" spans="1:19" x14ac:dyDescent="0.35">
      <c r="A620" t="s">
        <v>2034</v>
      </c>
      <c r="B620" t="s">
        <v>599</v>
      </c>
      <c r="C620" s="5">
        <v>45966</v>
      </c>
      <c r="E620" t="s">
        <v>600</v>
      </c>
      <c r="F620" t="s">
        <v>696</v>
      </c>
      <c r="G620" t="s">
        <v>243</v>
      </c>
      <c r="H620" t="s">
        <v>797</v>
      </c>
      <c r="I620" t="s">
        <v>14</v>
      </c>
      <c r="J620" t="s">
        <v>25</v>
      </c>
      <c r="K620" t="s">
        <v>813</v>
      </c>
      <c r="L620" t="s">
        <v>787</v>
      </c>
      <c r="M620" t="s">
        <v>842</v>
      </c>
      <c r="N620">
        <v>12</v>
      </c>
      <c r="O620" s="3">
        <v>18.95</v>
      </c>
      <c r="P620" s="3">
        <v>25.58</v>
      </c>
      <c r="Q620" s="6">
        <v>0</v>
      </c>
      <c r="R620" s="3">
        <v>306.95999999999998</v>
      </c>
      <c r="S620" t="s">
        <v>819</v>
      </c>
    </row>
    <row r="621" spans="1:19" x14ac:dyDescent="0.35">
      <c r="A621" t="s">
        <v>2035</v>
      </c>
      <c r="B621" t="s">
        <v>578</v>
      </c>
      <c r="C621" s="5">
        <v>45381</v>
      </c>
      <c r="D621" s="5">
        <v>45390</v>
      </c>
      <c r="E621" t="s">
        <v>368</v>
      </c>
      <c r="F621" t="s">
        <v>627</v>
      </c>
      <c r="G621" t="s">
        <v>235</v>
      </c>
      <c r="H621" t="s">
        <v>48</v>
      </c>
      <c r="I621" t="s">
        <v>8</v>
      </c>
      <c r="J621" t="s">
        <v>207</v>
      </c>
      <c r="K621" t="s">
        <v>798</v>
      </c>
      <c r="L621" t="s">
        <v>822</v>
      </c>
      <c r="M621" t="s">
        <v>842</v>
      </c>
      <c r="N621">
        <v>5</v>
      </c>
      <c r="O621" s="3">
        <v>8.5399999999999991</v>
      </c>
      <c r="P621" s="3">
        <v>10.67</v>
      </c>
      <c r="Q621" s="6">
        <v>0.05</v>
      </c>
      <c r="R621" s="3">
        <v>50.682500000000005</v>
      </c>
      <c r="S621" t="s">
        <v>825</v>
      </c>
    </row>
    <row r="622" spans="1:19" x14ac:dyDescent="0.35">
      <c r="A622" t="s">
        <v>2036</v>
      </c>
      <c r="B622" t="s">
        <v>382</v>
      </c>
      <c r="C622" s="5">
        <v>45538</v>
      </c>
      <c r="E622" t="s">
        <v>383</v>
      </c>
      <c r="F622" t="s">
        <v>674</v>
      </c>
      <c r="G622" t="s">
        <v>264</v>
      </c>
      <c r="H622" t="s">
        <v>20</v>
      </c>
      <c r="I622" t="s">
        <v>14</v>
      </c>
      <c r="J622" t="s">
        <v>25</v>
      </c>
      <c r="K622" t="s">
        <v>798</v>
      </c>
      <c r="L622" t="s">
        <v>787</v>
      </c>
      <c r="M622" t="s">
        <v>818</v>
      </c>
      <c r="N622">
        <v>3</v>
      </c>
      <c r="O622" s="3">
        <v>18.95</v>
      </c>
      <c r="P622" s="3">
        <v>25.58</v>
      </c>
      <c r="Q622" s="6">
        <v>0.15</v>
      </c>
      <c r="R622" s="3">
        <v>65.228999999999999</v>
      </c>
      <c r="S622" t="s">
        <v>839</v>
      </c>
    </row>
    <row r="623" spans="1:19" x14ac:dyDescent="0.35">
      <c r="A623" t="s">
        <v>2037</v>
      </c>
      <c r="B623" t="s">
        <v>462</v>
      </c>
      <c r="C623" s="5">
        <v>45456</v>
      </c>
      <c r="D623" s="5">
        <v>45465</v>
      </c>
      <c r="E623" t="s">
        <v>396</v>
      </c>
      <c r="F623" t="s">
        <v>637</v>
      </c>
      <c r="G623" t="s">
        <v>264</v>
      </c>
      <c r="H623" t="s">
        <v>797</v>
      </c>
      <c r="I623" t="s">
        <v>20</v>
      </c>
      <c r="J623" t="s">
        <v>97</v>
      </c>
      <c r="K623" t="s">
        <v>798</v>
      </c>
      <c r="L623" t="s">
        <v>799</v>
      </c>
      <c r="M623" t="s">
        <v>842</v>
      </c>
      <c r="N623">
        <v>2</v>
      </c>
      <c r="O623" s="3">
        <v>20.79</v>
      </c>
      <c r="P623" s="3">
        <v>28.07</v>
      </c>
      <c r="Q623" s="6">
        <v>0.15</v>
      </c>
      <c r="R623" s="3">
        <v>47.719000000000001</v>
      </c>
      <c r="S623" t="s">
        <v>888</v>
      </c>
    </row>
    <row r="624" spans="1:19" x14ac:dyDescent="0.35">
      <c r="A624" t="s">
        <v>2038</v>
      </c>
      <c r="B624" t="s">
        <v>317</v>
      </c>
      <c r="C624" s="5">
        <v>45940</v>
      </c>
      <c r="D624" s="5">
        <v>45947</v>
      </c>
      <c r="E624" t="s">
        <v>318</v>
      </c>
      <c r="F624" t="s">
        <v>637</v>
      </c>
      <c r="G624" t="s">
        <v>264</v>
      </c>
      <c r="H624" t="s">
        <v>14</v>
      </c>
      <c r="I624" t="s">
        <v>38</v>
      </c>
      <c r="J624" t="s">
        <v>165</v>
      </c>
      <c r="K624" t="s">
        <v>786</v>
      </c>
      <c r="L624" t="s">
        <v>822</v>
      </c>
      <c r="M624" t="s">
        <v>842</v>
      </c>
      <c r="N624">
        <v>3</v>
      </c>
      <c r="O624" s="3">
        <v>18.45</v>
      </c>
      <c r="P624" s="3">
        <v>25.83</v>
      </c>
      <c r="Q624" s="6">
        <v>0.15</v>
      </c>
      <c r="R624" s="3">
        <v>65.866500000000002</v>
      </c>
      <c r="S624" t="s">
        <v>1134</v>
      </c>
    </row>
    <row r="625" spans="1:19" x14ac:dyDescent="0.35">
      <c r="A625" t="s">
        <v>2039</v>
      </c>
      <c r="B625" t="s">
        <v>572</v>
      </c>
      <c r="C625" s="5">
        <v>46026</v>
      </c>
      <c r="D625" s="5">
        <v>46028</v>
      </c>
      <c r="E625" t="s">
        <v>304</v>
      </c>
      <c r="F625" t="s">
        <v>681</v>
      </c>
      <c r="G625" t="s">
        <v>235</v>
      </c>
      <c r="H625" t="s">
        <v>20</v>
      </c>
      <c r="I625" t="s">
        <v>79</v>
      </c>
      <c r="J625" t="s">
        <v>184</v>
      </c>
      <c r="K625" t="s">
        <v>786</v>
      </c>
      <c r="L625" t="s">
        <v>799</v>
      </c>
      <c r="M625" t="s">
        <v>788</v>
      </c>
      <c r="N625">
        <v>2</v>
      </c>
      <c r="O625" s="3">
        <v>28.87</v>
      </c>
      <c r="P625" s="3">
        <v>40.42</v>
      </c>
      <c r="Q625" s="6">
        <v>0</v>
      </c>
      <c r="R625" s="3">
        <v>80.84</v>
      </c>
      <c r="S625" t="s">
        <v>1017</v>
      </c>
    </row>
    <row r="626" spans="1:19" x14ac:dyDescent="0.35">
      <c r="A626" t="s">
        <v>2040</v>
      </c>
      <c r="B626" t="s">
        <v>329</v>
      </c>
      <c r="C626" s="5">
        <v>45589</v>
      </c>
      <c r="E626" t="s">
        <v>330</v>
      </c>
      <c r="F626" t="s">
        <v>254</v>
      </c>
      <c r="G626" t="s">
        <v>235</v>
      </c>
      <c r="H626" t="s">
        <v>797</v>
      </c>
      <c r="I626" t="s">
        <v>29</v>
      </c>
      <c r="J626" t="s">
        <v>176</v>
      </c>
      <c r="K626" t="s">
        <v>798</v>
      </c>
      <c r="L626" t="s">
        <v>793</v>
      </c>
      <c r="M626" t="s">
        <v>842</v>
      </c>
      <c r="N626">
        <v>3</v>
      </c>
      <c r="O626" s="3">
        <v>25.88</v>
      </c>
      <c r="P626" s="3">
        <v>36.229999999999997</v>
      </c>
      <c r="Q626" s="6">
        <v>0.1</v>
      </c>
      <c r="R626" s="3">
        <v>97.820999999999998</v>
      </c>
      <c r="S626" t="s">
        <v>814</v>
      </c>
    </row>
    <row r="627" spans="1:19" x14ac:dyDescent="0.35">
      <c r="A627" t="s">
        <v>2041</v>
      </c>
      <c r="B627" t="s">
        <v>459</v>
      </c>
      <c r="C627" s="5">
        <v>45422</v>
      </c>
      <c r="D627" s="5">
        <v>45428</v>
      </c>
      <c r="E627" t="s">
        <v>460</v>
      </c>
      <c r="F627" t="s">
        <v>627</v>
      </c>
      <c r="G627" t="s">
        <v>264</v>
      </c>
      <c r="H627" t="s">
        <v>20</v>
      </c>
      <c r="I627" t="s">
        <v>14</v>
      </c>
      <c r="J627" t="s">
        <v>209</v>
      </c>
      <c r="K627" t="s">
        <v>798</v>
      </c>
      <c r="L627" t="s">
        <v>799</v>
      </c>
      <c r="M627" t="s">
        <v>788</v>
      </c>
      <c r="N627">
        <v>5</v>
      </c>
      <c r="O627" s="3">
        <v>24.18</v>
      </c>
      <c r="P627" s="3">
        <v>33.85</v>
      </c>
      <c r="Q627" s="6">
        <v>0.05</v>
      </c>
      <c r="R627" s="3">
        <v>160.78749999999999</v>
      </c>
      <c r="S627" t="s">
        <v>876</v>
      </c>
    </row>
    <row r="628" spans="1:19" x14ac:dyDescent="0.35">
      <c r="A628" t="s">
        <v>2042</v>
      </c>
      <c r="B628" t="s">
        <v>520</v>
      </c>
      <c r="C628" s="5">
        <v>45665</v>
      </c>
      <c r="E628" t="s">
        <v>521</v>
      </c>
      <c r="F628" t="s">
        <v>681</v>
      </c>
      <c r="G628" t="s">
        <v>243</v>
      </c>
      <c r="H628" t="s">
        <v>14</v>
      </c>
      <c r="I628" t="s">
        <v>8</v>
      </c>
      <c r="J628" t="s">
        <v>162</v>
      </c>
      <c r="K628" t="s">
        <v>798</v>
      </c>
      <c r="L628" t="s">
        <v>793</v>
      </c>
      <c r="M628" t="s">
        <v>818</v>
      </c>
      <c r="N628">
        <v>12</v>
      </c>
      <c r="O628" s="3">
        <v>29.86</v>
      </c>
      <c r="P628" s="3">
        <v>38.82</v>
      </c>
      <c r="Q628" s="6">
        <v>0</v>
      </c>
      <c r="R628" s="3">
        <v>465.84000000000003</v>
      </c>
      <c r="S628" t="s">
        <v>888</v>
      </c>
    </row>
    <row r="629" spans="1:19" x14ac:dyDescent="0.35">
      <c r="A629" t="s">
        <v>2043</v>
      </c>
      <c r="B629" t="s">
        <v>509</v>
      </c>
      <c r="C629" s="5">
        <v>45595</v>
      </c>
      <c r="E629" t="s">
        <v>510</v>
      </c>
      <c r="F629" t="s">
        <v>681</v>
      </c>
      <c r="G629" t="s">
        <v>235</v>
      </c>
      <c r="H629" t="s">
        <v>14</v>
      </c>
      <c r="I629" t="s">
        <v>8</v>
      </c>
      <c r="J629" t="s">
        <v>95</v>
      </c>
      <c r="K629" t="s">
        <v>798</v>
      </c>
      <c r="L629" t="s">
        <v>787</v>
      </c>
      <c r="M629" t="s">
        <v>842</v>
      </c>
      <c r="N629">
        <v>1</v>
      </c>
      <c r="O629" s="3">
        <v>23.02</v>
      </c>
      <c r="P629" s="3">
        <v>28.77</v>
      </c>
      <c r="Q629" s="6">
        <v>0.1</v>
      </c>
      <c r="R629" s="3">
        <v>25.893000000000001</v>
      </c>
      <c r="S629" t="s">
        <v>1134</v>
      </c>
    </row>
    <row r="630" spans="1:19" x14ac:dyDescent="0.35">
      <c r="A630" t="s">
        <v>2044</v>
      </c>
      <c r="B630" t="s">
        <v>584</v>
      </c>
      <c r="C630" s="5">
        <v>45608</v>
      </c>
      <c r="D630" s="5">
        <v>45615</v>
      </c>
      <c r="E630" t="s">
        <v>562</v>
      </c>
      <c r="F630" t="s">
        <v>254</v>
      </c>
      <c r="G630" t="s">
        <v>264</v>
      </c>
      <c r="H630" t="s">
        <v>797</v>
      </c>
      <c r="I630" t="s">
        <v>48</v>
      </c>
      <c r="J630" t="s">
        <v>219</v>
      </c>
      <c r="K630" t="s">
        <v>786</v>
      </c>
      <c r="L630" t="s">
        <v>799</v>
      </c>
      <c r="M630" t="s">
        <v>788</v>
      </c>
      <c r="N630">
        <v>2</v>
      </c>
      <c r="O630" s="3">
        <v>12.9</v>
      </c>
      <c r="P630" s="3">
        <v>18.7</v>
      </c>
      <c r="Q630" s="6">
        <v>0.05</v>
      </c>
      <c r="R630" s="3">
        <v>35.53</v>
      </c>
      <c r="S630" t="s">
        <v>859</v>
      </c>
    </row>
    <row r="631" spans="1:19" x14ac:dyDescent="0.35">
      <c r="A631" t="s">
        <v>2045</v>
      </c>
      <c r="B631" t="s">
        <v>354</v>
      </c>
      <c r="C631" s="5">
        <v>45352</v>
      </c>
      <c r="D631" s="5">
        <v>45355</v>
      </c>
      <c r="E631" t="s">
        <v>321</v>
      </c>
      <c r="F631" t="s">
        <v>637</v>
      </c>
      <c r="G631" t="s">
        <v>243</v>
      </c>
      <c r="H631" t="s">
        <v>20</v>
      </c>
      <c r="I631" t="s">
        <v>14</v>
      </c>
      <c r="J631" t="s">
        <v>186</v>
      </c>
      <c r="K631" t="s">
        <v>786</v>
      </c>
      <c r="L631" t="s">
        <v>822</v>
      </c>
      <c r="M631" t="s">
        <v>788</v>
      </c>
      <c r="N631">
        <v>2</v>
      </c>
      <c r="O631" s="3">
        <v>28.32</v>
      </c>
      <c r="P631" s="3">
        <v>35.4</v>
      </c>
      <c r="Q631" s="6">
        <v>0.15</v>
      </c>
      <c r="R631" s="3">
        <v>60.18</v>
      </c>
      <c r="S631" t="s">
        <v>829</v>
      </c>
    </row>
    <row r="632" spans="1:19" x14ac:dyDescent="0.35">
      <c r="A632" t="s">
        <v>2046</v>
      </c>
      <c r="B632" t="s">
        <v>423</v>
      </c>
      <c r="C632" s="5">
        <v>45791</v>
      </c>
      <c r="E632" t="s">
        <v>424</v>
      </c>
      <c r="F632" t="s">
        <v>637</v>
      </c>
      <c r="G632" t="s">
        <v>235</v>
      </c>
      <c r="H632" t="s">
        <v>14</v>
      </c>
      <c r="I632" t="s">
        <v>48</v>
      </c>
      <c r="J632" t="s">
        <v>54</v>
      </c>
      <c r="K632" t="s">
        <v>786</v>
      </c>
      <c r="L632" t="s">
        <v>817</v>
      </c>
      <c r="M632" t="s">
        <v>818</v>
      </c>
      <c r="N632">
        <v>1</v>
      </c>
      <c r="O632" s="3">
        <v>21.67</v>
      </c>
      <c r="P632" s="3">
        <v>28.17</v>
      </c>
      <c r="Q632" s="6">
        <v>0</v>
      </c>
      <c r="R632" s="3">
        <v>28.17</v>
      </c>
      <c r="S632" t="s">
        <v>876</v>
      </c>
    </row>
    <row r="633" spans="1:19" x14ac:dyDescent="0.35">
      <c r="A633" t="s">
        <v>2048</v>
      </c>
      <c r="B633" t="s">
        <v>446</v>
      </c>
      <c r="C633" s="5">
        <v>45986</v>
      </c>
      <c r="D633" s="5">
        <v>45995</v>
      </c>
      <c r="E633" t="s">
        <v>447</v>
      </c>
      <c r="F633" t="s">
        <v>637</v>
      </c>
      <c r="G633" t="s">
        <v>243</v>
      </c>
      <c r="H633" t="s">
        <v>797</v>
      </c>
      <c r="I633" t="s">
        <v>20</v>
      </c>
      <c r="J633" t="s">
        <v>39</v>
      </c>
      <c r="K633" t="s">
        <v>813</v>
      </c>
      <c r="L633" t="s">
        <v>799</v>
      </c>
      <c r="M633" t="s">
        <v>800</v>
      </c>
      <c r="N633">
        <v>5</v>
      </c>
      <c r="O633" s="3">
        <v>9.5</v>
      </c>
      <c r="P633" s="3">
        <v>12.83</v>
      </c>
      <c r="Q633" s="6">
        <v>0.15</v>
      </c>
      <c r="R633" s="3">
        <v>54.527500000000003</v>
      </c>
      <c r="S633" t="s">
        <v>963</v>
      </c>
    </row>
    <row r="634" spans="1:19" x14ac:dyDescent="0.35">
      <c r="A634" t="s">
        <v>2049</v>
      </c>
      <c r="B634" t="s">
        <v>342</v>
      </c>
      <c r="C634" s="5">
        <v>45695</v>
      </c>
      <c r="D634" s="5">
        <v>45698</v>
      </c>
      <c r="E634" t="s">
        <v>245</v>
      </c>
      <c r="F634" t="s">
        <v>633</v>
      </c>
      <c r="G634" t="s">
        <v>235</v>
      </c>
      <c r="H634" t="s">
        <v>20</v>
      </c>
      <c r="I634" t="s">
        <v>20</v>
      </c>
      <c r="J634" t="s">
        <v>163</v>
      </c>
      <c r="K634" t="s">
        <v>798</v>
      </c>
      <c r="L634" t="s">
        <v>799</v>
      </c>
      <c r="M634" t="s">
        <v>800</v>
      </c>
      <c r="N634">
        <v>2</v>
      </c>
      <c r="O634" s="3">
        <v>55.3</v>
      </c>
      <c r="P634" s="3">
        <v>74.66</v>
      </c>
      <c r="Q634" s="6">
        <v>0.05</v>
      </c>
      <c r="R634" s="3">
        <v>141.85399999999998</v>
      </c>
      <c r="S634" t="s">
        <v>869</v>
      </c>
    </row>
    <row r="635" spans="1:19" x14ac:dyDescent="0.35">
      <c r="A635" t="s">
        <v>2050</v>
      </c>
      <c r="B635" t="s">
        <v>487</v>
      </c>
      <c r="C635" s="5">
        <v>45883</v>
      </c>
      <c r="E635" t="s">
        <v>488</v>
      </c>
      <c r="F635" t="s">
        <v>681</v>
      </c>
      <c r="G635" t="s">
        <v>243</v>
      </c>
      <c r="H635" t="s">
        <v>14</v>
      </c>
      <c r="I635" t="s">
        <v>79</v>
      </c>
      <c r="J635" t="s">
        <v>166</v>
      </c>
      <c r="K635" t="s">
        <v>786</v>
      </c>
      <c r="L635" t="s">
        <v>793</v>
      </c>
      <c r="M635" t="s">
        <v>788</v>
      </c>
      <c r="N635">
        <v>1</v>
      </c>
      <c r="O635" s="3">
        <v>15.73</v>
      </c>
      <c r="P635" s="3">
        <v>19.66</v>
      </c>
      <c r="Q635" s="6">
        <v>0.15</v>
      </c>
      <c r="R635" s="3">
        <v>16.710999999999999</v>
      </c>
      <c r="S635" t="s">
        <v>869</v>
      </c>
    </row>
    <row r="636" spans="1:19" x14ac:dyDescent="0.35">
      <c r="A636" t="s">
        <v>2051</v>
      </c>
      <c r="B636" t="s">
        <v>596</v>
      </c>
      <c r="C636" s="5">
        <v>45301</v>
      </c>
      <c r="E636" t="s">
        <v>443</v>
      </c>
      <c r="F636" t="s">
        <v>637</v>
      </c>
      <c r="G636" t="s">
        <v>264</v>
      </c>
      <c r="H636" t="s">
        <v>14</v>
      </c>
      <c r="I636" t="s">
        <v>43</v>
      </c>
      <c r="J636" t="s">
        <v>171</v>
      </c>
      <c r="K636" t="s">
        <v>798</v>
      </c>
      <c r="L636" t="s">
        <v>817</v>
      </c>
      <c r="M636" t="s">
        <v>788</v>
      </c>
      <c r="N636">
        <v>20</v>
      </c>
      <c r="O636" s="3">
        <v>29.39</v>
      </c>
      <c r="P636" s="3">
        <v>39.68</v>
      </c>
      <c r="Q636" s="6">
        <v>0.05</v>
      </c>
      <c r="R636" s="3">
        <v>753.92000000000007</v>
      </c>
      <c r="S636" t="s">
        <v>876</v>
      </c>
    </row>
    <row r="637" spans="1:19" x14ac:dyDescent="0.35">
      <c r="A637" t="s">
        <v>2053</v>
      </c>
      <c r="B637" t="s">
        <v>286</v>
      </c>
      <c r="C637" s="5">
        <v>45987</v>
      </c>
      <c r="D637" s="5">
        <v>45993</v>
      </c>
      <c r="E637" t="s">
        <v>287</v>
      </c>
      <c r="F637" t="s">
        <v>254</v>
      </c>
      <c r="G637" t="s">
        <v>264</v>
      </c>
      <c r="H637" t="s">
        <v>797</v>
      </c>
      <c r="I637" t="s">
        <v>8</v>
      </c>
      <c r="J637" t="s">
        <v>181</v>
      </c>
      <c r="K637" t="s">
        <v>798</v>
      </c>
      <c r="L637" t="s">
        <v>822</v>
      </c>
      <c r="M637" t="s">
        <v>842</v>
      </c>
      <c r="N637">
        <v>10</v>
      </c>
      <c r="O637" s="3">
        <v>20.49</v>
      </c>
      <c r="P637" s="3">
        <v>29.71</v>
      </c>
      <c r="Q637" s="6">
        <v>0.1</v>
      </c>
      <c r="R637" s="3">
        <v>267.39000000000004</v>
      </c>
      <c r="S637" t="s">
        <v>869</v>
      </c>
    </row>
    <row r="638" spans="1:19" x14ac:dyDescent="0.35">
      <c r="A638" t="s">
        <v>2054</v>
      </c>
      <c r="B638" t="s">
        <v>353</v>
      </c>
      <c r="C638" s="5">
        <v>45899</v>
      </c>
      <c r="E638" t="s">
        <v>258</v>
      </c>
      <c r="F638" t="s">
        <v>681</v>
      </c>
      <c r="G638" t="s">
        <v>264</v>
      </c>
      <c r="H638" t="s">
        <v>20</v>
      </c>
      <c r="I638" t="s">
        <v>38</v>
      </c>
      <c r="J638" t="s">
        <v>109</v>
      </c>
      <c r="K638" t="s">
        <v>798</v>
      </c>
      <c r="L638" t="s">
        <v>787</v>
      </c>
      <c r="M638" t="s">
        <v>818</v>
      </c>
      <c r="N638">
        <v>12</v>
      </c>
      <c r="O638" s="3">
        <v>29.32</v>
      </c>
      <c r="P638" s="3">
        <v>36.65</v>
      </c>
      <c r="Q638" s="6">
        <v>0.05</v>
      </c>
      <c r="R638" s="3">
        <v>417.80999999999995</v>
      </c>
      <c r="S638" t="s">
        <v>859</v>
      </c>
    </row>
    <row r="639" spans="1:19" x14ac:dyDescent="0.35">
      <c r="A639" t="s">
        <v>2055</v>
      </c>
      <c r="B639" t="s">
        <v>364</v>
      </c>
      <c r="C639" s="5">
        <v>45996</v>
      </c>
      <c r="E639" t="s">
        <v>365</v>
      </c>
      <c r="F639" t="s">
        <v>681</v>
      </c>
      <c r="G639" t="s">
        <v>243</v>
      </c>
      <c r="H639" t="s">
        <v>20</v>
      </c>
      <c r="I639" t="s">
        <v>8</v>
      </c>
      <c r="J639" t="s">
        <v>207</v>
      </c>
      <c r="K639" t="s">
        <v>786</v>
      </c>
      <c r="L639" t="s">
        <v>817</v>
      </c>
      <c r="M639" t="s">
        <v>842</v>
      </c>
      <c r="N639">
        <v>20</v>
      </c>
      <c r="O639" s="3">
        <v>8.5399999999999991</v>
      </c>
      <c r="P639" s="3">
        <v>10.67</v>
      </c>
      <c r="Q639" s="6">
        <v>0.05</v>
      </c>
      <c r="R639" s="3">
        <v>202.73000000000002</v>
      </c>
      <c r="S639" t="s">
        <v>869</v>
      </c>
    </row>
    <row r="640" spans="1:19" x14ac:dyDescent="0.35">
      <c r="A640" t="s">
        <v>2056</v>
      </c>
      <c r="B640" t="s">
        <v>563</v>
      </c>
      <c r="C640" s="5">
        <v>45683</v>
      </c>
      <c r="E640" t="s">
        <v>311</v>
      </c>
      <c r="F640" t="s">
        <v>681</v>
      </c>
      <c r="G640" t="s">
        <v>264</v>
      </c>
      <c r="H640" t="s">
        <v>797</v>
      </c>
      <c r="I640" t="s">
        <v>79</v>
      </c>
      <c r="J640" t="s">
        <v>220</v>
      </c>
      <c r="K640" t="s">
        <v>813</v>
      </c>
      <c r="L640" t="s">
        <v>787</v>
      </c>
      <c r="M640" t="s">
        <v>842</v>
      </c>
      <c r="N640">
        <v>3</v>
      </c>
      <c r="O640" s="3">
        <v>46</v>
      </c>
      <c r="P640" s="3">
        <v>62.1</v>
      </c>
      <c r="Q640" s="6">
        <v>0.05</v>
      </c>
      <c r="R640" s="3">
        <v>176.98500000000001</v>
      </c>
      <c r="S640" t="s">
        <v>869</v>
      </c>
    </row>
    <row r="641" spans="1:19" x14ac:dyDescent="0.35">
      <c r="A641" t="s">
        <v>2057</v>
      </c>
      <c r="B641" t="s">
        <v>388</v>
      </c>
      <c r="C641" s="5">
        <v>45976</v>
      </c>
      <c r="D641" s="5">
        <v>45983</v>
      </c>
      <c r="E641" t="s">
        <v>389</v>
      </c>
      <c r="F641" t="s">
        <v>254</v>
      </c>
      <c r="G641" t="s">
        <v>243</v>
      </c>
      <c r="H641" t="s">
        <v>14</v>
      </c>
      <c r="I641" t="s">
        <v>8</v>
      </c>
      <c r="J641" t="s">
        <v>212</v>
      </c>
      <c r="K641" t="s">
        <v>786</v>
      </c>
      <c r="L641" t="s">
        <v>799</v>
      </c>
      <c r="M641" t="s">
        <v>842</v>
      </c>
      <c r="N641">
        <v>5</v>
      </c>
      <c r="O641" s="3">
        <v>95.09</v>
      </c>
      <c r="P641" s="3">
        <v>133.13</v>
      </c>
      <c r="Q641" s="6">
        <v>0.1</v>
      </c>
      <c r="R641" s="3">
        <v>599.08500000000004</v>
      </c>
      <c r="S641" t="s">
        <v>810</v>
      </c>
    </row>
    <row r="642" spans="1:19" x14ac:dyDescent="0.35">
      <c r="A642" t="s">
        <v>2058</v>
      </c>
      <c r="B642" t="s">
        <v>588</v>
      </c>
      <c r="C642" s="5">
        <v>45787</v>
      </c>
      <c r="E642" t="s">
        <v>435</v>
      </c>
      <c r="F642" t="s">
        <v>696</v>
      </c>
      <c r="G642" t="s">
        <v>264</v>
      </c>
      <c r="H642" t="s">
        <v>797</v>
      </c>
      <c r="I642" t="s">
        <v>8</v>
      </c>
      <c r="J642" t="s">
        <v>162</v>
      </c>
      <c r="K642" t="s">
        <v>813</v>
      </c>
      <c r="L642" t="s">
        <v>793</v>
      </c>
      <c r="M642" t="s">
        <v>788</v>
      </c>
      <c r="N642">
        <v>1</v>
      </c>
      <c r="O642" s="3">
        <v>29.86</v>
      </c>
      <c r="P642" s="3">
        <v>38.82</v>
      </c>
      <c r="Q642" s="6">
        <v>0.05</v>
      </c>
      <c r="R642" s="3">
        <v>36.878999999999998</v>
      </c>
      <c r="S642" t="s">
        <v>1001</v>
      </c>
    </row>
    <row r="643" spans="1:19" x14ac:dyDescent="0.35">
      <c r="A643" t="s">
        <v>2059</v>
      </c>
      <c r="B643" t="s">
        <v>534</v>
      </c>
      <c r="C643" s="5">
        <v>45312</v>
      </c>
      <c r="D643" s="5">
        <v>45314</v>
      </c>
      <c r="E643" t="s">
        <v>535</v>
      </c>
      <c r="F643" t="s">
        <v>637</v>
      </c>
      <c r="H643" t="s">
        <v>14</v>
      </c>
      <c r="I643" t="s">
        <v>29</v>
      </c>
      <c r="J643" t="s">
        <v>183</v>
      </c>
      <c r="K643" t="s">
        <v>786</v>
      </c>
      <c r="L643" t="s">
        <v>799</v>
      </c>
      <c r="M643" t="s">
        <v>842</v>
      </c>
      <c r="N643">
        <v>10</v>
      </c>
      <c r="O643" s="3">
        <v>10.97</v>
      </c>
      <c r="P643" s="3">
        <v>15.91</v>
      </c>
      <c r="Q643" s="6">
        <v>0</v>
      </c>
      <c r="R643" s="3">
        <v>159.1</v>
      </c>
      <c r="S643" t="s">
        <v>825</v>
      </c>
    </row>
    <row r="644" spans="1:19" x14ac:dyDescent="0.35">
      <c r="A644" t="s">
        <v>2061</v>
      </c>
      <c r="B644" t="s">
        <v>585</v>
      </c>
      <c r="C644" s="5">
        <v>45477</v>
      </c>
      <c r="E644" t="s">
        <v>586</v>
      </c>
      <c r="F644" t="s">
        <v>674</v>
      </c>
      <c r="G644" t="s">
        <v>235</v>
      </c>
      <c r="H644" t="s">
        <v>797</v>
      </c>
      <c r="I644" t="s">
        <v>79</v>
      </c>
      <c r="J644" t="s">
        <v>220</v>
      </c>
      <c r="K644" t="s">
        <v>798</v>
      </c>
      <c r="L644" t="s">
        <v>793</v>
      </c>
      <c r="M644" t="s">
        <v>842</v>
      </c>
      <c r="N644">
        <v>10</v>
      </c>
      <c r="O644" s="3">
        <v>46</v>
      </c>
      <c r="P644" s="3">
        <v>62.1</v>
      </c>
      <c r="Q644" s="6">
        <v>0</v>
      </c>
      <c r="R644" s="3">
        <v>621</v>
      </c>
      <c r="S644" t="s">
        <v>803</v>
      </c>
    </row>
    <row r="645" spans="1:19" x14ac:dyDescent="0.35">
      <c r="A645" t="s">
        <v>2062</v>
      </c>
      <c r="B645" t="s">
        <v>358</v>
      </c>
      <c r="C645" s="5">
        <v>45503</v>
      </c>
      <c r="E645" t="s">
        <v>287</v>
      </c>
      <c r="F645" t="s">
        <v>254</v>
      </c>
      <c r="G645" t="s">
        <v>243</v>
      </c>
      <c r="H645" t="s">
        <v>14</v>
      </c>
      <c r="I645" t="s">
        <v>20</v>
      </c>
      <c r="J645" t="s">
        <v>134</v>
      </c>
      <c r="K645" t="s">
        <v>786</v>
      </c>
      <c r="L645" t="s">
        <v>787</v>
      </c>
      <c r="M645" t="s">
        <v>842</v>
      </c>
      <c r="N645">
        <v>10</v>
      </c>
      <c r="O645" s="3">
        <v>38.36</v>
      </c>
      <c r="P645" s="3">
        <v>53.7</v>
      </c>
      <c r="Q645" s="6">
        <v>0.1</v>
      </c>
      <c r="R645" s="3">
        <v>483.3</v>
      </c>
      <c r="S645" t="s">
        <v>859</v>
      </c>
    </row>
    <row r="646" spans="1:19" x14ac:dyDescent="0.35">
      <c r="A646" t="s">
        <v>2063</v>
      </c>
      <c r="B646" t="s">
        <v>362</v>
      </c>
      <c r="C646" s="5">
        <v>45664</v>
      </c>
      <c r="E646" t="s">
        <v>363</v>
      </c>
      <c r="F646" t="s">
        <v>696</v>
      </c>
      <c r="G646" t="s">
        <v>235</v>
      </c>
      <c r="H646" t="s">
        <v>48</v>
      </c>
      <c r="I646" t="s">
        <v>29</v>
      </c>
      <c r="J646" t="s">
        <v>183</v>
      </c>
      <c r="K646" t="s">
        <v>798</v>
      </c>
      <c r="L646" t="s">
        <v>793</v>
      </c>
      <c r="M646" t="s">
        <v>842</v>
      </c>
      <c r="N646">
        <v>1</v>
      </c>
      <c r="O646" s="3">
        <v>10.97</v>
      </c>
      <c r="P646" s="3">
        <v>15.91</v>
      </c>
      <c r="Q646" s="6">
        <v>0.1</v>
      </c>
      <c r="R646" s="3">
        <v>14.318999999999999</v>
      </c>
      <c r="S646" t="s">
        <v>859</v>
      </c>
    </row>
    <row r="647" spans="1:19" x14ac:dyDescent="0.35">
      <c r="A647" t="s">
        <v>2064</v>
      </c>
      <c r="B647" t="s">
        <v>487</v>
      </c>
      <c r="C647" s="5">
        <v>45966</v>
      </c>
      <c r="D647" s="5">
        <v>45975</v>
      </c>
      <c r="E647" t="s">
        <v>488</v>
      </c>
      <c r="F647" t="s">
        <v>674</v>
      </c>
      <c r="G647" t="s">
        <v>243</v>
      </c>
      <c r="H647" t="s">
        <v>14</v>
      </c>
      <c r="I647" t="s">
        <v>14</v>
      </c>
      <c r="J647" t="s">
        <v>90</v>
      </c>
      <c r="K647" t="s">
        <v>798</v>
      </c>
      <c r="L647" t="s">
        <v>799</v>
      </c>
      <c r="M647" t="s">
        <v>800</v>
      </c>
      <c r="N647">
        <v>12</v>
      </c>
      <c r="O647" s="3">
        <v>27.34</v>
      </c>
      <c r="P647" s="3">
        <v>39.64</v>
      </c>
      <c r="Q647" s="6">
        <v>0.1</v>
      </c>
      <c r="R647" s="3">
        <v>428.11200000000002</v>
      </c>
      <c r="S647" t="s">
        <v>790</v>
      </c>
    </row>
    <row r="648" spans="1:19" x14ac:dyDescent="0.35">
      <c r="A648" t="s">
        <v>2065</v>
      </c>
      <c r="B648" t="s">
        <v>574</v>
      </c>
      <c r="C648" s="5">
        <v>45506</v>
      </c>
      <c r="E648" t="s">
        <v>458</v>
      </c>
      <c r="F648" t="s">
        <v>637</v>
      </c>
      <c r="H648" t="s">
        <v>797</v>
      </c>
      <c r="I648" t="s">
        <v>14</v>
      </c>
      <c r="J648" t="s">
        <v>90</v>
      </c>
      <c r="K648" t="s">
        <v>813</v>
      </c>
      <c r="L648" t="s">
        <v>787</v>
      </c>
      <c r="M648" t="s">
        <v>788</v>
      </c>
      <c r="N648">
        <v>2</v>
      </c>
      <c r="O648" s="3">
        <v>27.34</v>
      </c>
      <c r="P648" s="3">
        <v>39.64</v>
      </c>
      <c r="Q648" s="6">
        <v>0</v>
      </c>
      <c r="R648" s="3">
        <v>79.28</v>
      </c>
      <c r="S648" t="s">
        <v>946</v>
      </c>
    </row>
    <row r="649" spans="1:19" x14ac:dyDescent="0.35">
      <c r="A649" t="s">
        <v>2066</v>
      </c>
      <c r="B649" t="s">
        <v>550</v>
      </c>
      <c r="C649" s="5">
        <v>45857</v>
      </c>
      <c r="E649" t="s">
        <v>408</v>
      </c>
      <c r="F649" t="s">
        <v>633</v>
      </c>
      <c r="G649" t="s">
        <v>243</v>
      </c>
      <c r="H649" t="s">
        <v>797</v>
      </c>
      <c r="I649" t="s">
        <v>43</v>
      </c>
      <c r="J649" t="s">
        <v>215</v>
      </c>
      <c r="K649" t="s">
        <v>798</v>
      </c>
      <c r="L649" t="s">
        <v>793</v>
      </c>
      <c r="M649" t="s">
        <v>800</v>
      </c>
      <c r="N649">
        <v>10</v>
      </c>
      <c r="O649" s="3">
        <v>28.96</v>
      </c>
      <c r="P649" s="3">
        <v>40.54</v>
      </c>
      <c r="Q649" s="6">
        <v>0</v>
      </c>
      <c r="R649" s="3">
        <v>405.4</v>
      </c>
      <c r="S649" t="s">
        <v>935</v>
      </c>
    </row>
    <row r="650" spans="1:19" x14ac:dyDescent="0.35">
      <c r="A650" t="s">
        <v>2068</v>
      </c>
      <c r="B650" t="s">
        <v>467</v>
      </c>
      <c r="C650" s="5">
        <v>45957</v>
      </c>
      <c r="E650" t="s">
        <v>468</v>
      </c>
      <c r="F650" t="s">
        <v>696</v>
      </c>
      <c r="G650" t="s">
        <v>235</v>
      </c>
      <c r="H650" t="s">
        <v>797</v>
      </c>
      <c r="I650" t="s">
        <v>14</v>
      </c>
      <c r="J650" t="s">
        <v>56</v>
      </c>
      <c r="K650" t="s">
        <v>798</v>
      </c>
      <c r="L650" t="s">
        <v>793</v>
      </c>
      <c r="M650" t="s">
        <v>788</v>
      </c>
      <c r="N650">
        <v>12</v>
      </c>
      <c r="O650" s="3">
        <v>25.46</v>
      </c>
      <c r="P650" s="3">
        <v>31.83</v>
      </c>
      <c r="Q650" s="6">
        <v>0.1</v>
      </c>
      <c r="R650" s="3">
        <v>343.76400000000001</v>
      </c>
      <c r="S650" t="s">
        <v>963</v>
      </c>
    </row>
    <row r="651" spans="1:19" x14ac:dyDescent="0.35">
      <c r="A651" t="s">
        <v>2069</v>
      </c>
      <c r="B651" t="s">
        <v>599</v>
      </c>
      <c r="C651" s="5">
        <v>45364</v>
      </c>
      <c r="E651" t="s">
        <v>600</v>
      </c>
      <c r="F651" t="s">
        <v>633</v>
      </c>
      <c r="G651" t="s">
        <v>243</v>
      </c>
      <c r="H651" t="s">
        <v>48</v>
      </c>
      <c r="I651" t="s">
        <v>8</v>
      </c>
      <c r="J651" t="s">
        <v>129</v>
      </c>
      <c r="K651" t="s">
        <v>798</v>
      </c>
      <c r="L651" t="s">
        <v>793</v>
      </c>
      <c r="M651" t="s">
        <v>800</v>
      </c>
      <c r="N651">
        <v>1</v>
      </c>
      <c r="O651" s="3">
        <v>22.15</v>
      </c>
      <c r="P651" s="3">
        <v>31.01</v>
      </c>
      <c r="Q651" s="6">
        <v>0.1</v>
      </c>
      <c r="R651" s="3">
        <v>27.909000000000002</v>
      </c>
      <c r="S651" t="s">
        <v>825</v>
      </c>
    </row>
    <row r="652" spans="1:19" x14ac:dyDescent="0.35">
      <c r="A652" t="s">
        <v>2070</v>
      </c>
      <c r="B652" t="s">
        <v>554</v>
      </c>
      <c r="C652" s="5">
        <v>45955</v>
      </c>
      <c r="E652" t="s">
        <v>445</v>
      </c>
      <c r="F652" t="s">
        <v>674</v>
      </c>
      <c r="G652" t="s">
        <v>235</v>
      </c>
      <c r="H652" t="s">
        <v>797</v>
      </c>
      <c r="I652" t="s">
        <v>38</v>
      </c>
      <c r="J652" t="s">
        <v>206</v>
      </c>
      <c r="K652" t="s">
        <v>813</v>
      </c>
      <c r="L652" t="s">
        <v>817</v>
      </c>
      <c r="M652" t="s">
        <v>818</v>
      </c>
      <c r="N652">
        <v>5</v>
      </c>
      <c r="O652" s="3">
        <v>23.55</v>
      </c>
      <c r="P652" s="3">
        <v>31.79</v>
      </c>
      <c r="Q652" s="6">
        <v>0.05</v>
      </c>
      <c r="R652" s="3">
        <v>151.0025</v>
      </c>
      <c r="S652" t="s">
        <v>839</v>
      </c>
    </row>
    <row r="653" spans="1:19" x14ac:dyDescent="0.35">
      <c r="A653" t="s">
        <v>2071</v>
      </c>
      <c r="B653" t="s">
        <v>306</v>
      </c>
      <c r="C653" s="5">
        <v>45910</v>
      </c>
      <c r="D653" s="5">
        <v>45912</v>
      </c>
      <c r="E653" t="s">
        <v>307</v>
      </c>
      <c r="F653" t="s">
        <v>633</v>
      </c>
      <c r="H653" t="s">
        <v>797</v>
      </c>
      <c r="I653" t="s">
        <v>48</v>
      </c>
      <c r="J653" t="s">
        <v>139</v>
      </c>
      <c r="K653" t="s">
        <v>813</v>
      </c>
      <c r="L653" t="s">
        <v>799</v>
      </c>
      <c r="M653" t="s">
        <v>842</v>
      </c>
      <c r="N653">
        <v>5</v>
      </c>
      <c r="O653" s="3">
        <v>29.93</v>
      </c>
      <c r="P653" s="3">
        <v>41.9</v>
      </c>
      <c r="Q653" s="6">
        <v>0</v>
      </c>
      <c r="R653" s="3">
        <v>209.5</v>
      </c>
      <c r="S653" t="s">
        <v>869</v>
      </c>
    </row>
    <row r="654" spans="1:19" x14ac:dyDescent="0.35">
      <c r="A654" t="s">
        <v>2073</v>
      </c>
      <c r="B654" t="s">
        <v>616</v>
      </c>
      <c r="C654" s="5">
        <v>45663</v>
      </c>
      <c r="E654" t="s">
        <v>231</v>
      </c>
      <c r="F654" t="s">
        <v>633</v>
      </c>
      <c r="G654" t="s">
        <v>264</v>
      </c>
      <c r="H654" t="s">
        <v>797</v>
      </c>
      <c r="I654" t="s">
        <v>14</v>
      </c>
      <c r="J654" t="s">
        <v>93</v>
      </c>
      <c r="K654" t="s">
        <v>786</v>
      </c>
      <c r="L654" t="s">
        <v>793</v>
      </c>
      <c r="M654" t="s">
        <v>842</v>
      </c>
      <c r="N654">
        <v>3</v>
      </c>
      <c r="O654" s="3">
        <v>26.96</v>
      </c>
      <c r="P654" s="3">
        <v>37.74</v>
      </c>
      <c r="Q654" s="6">
        <v>0.05</v>
      </c>
      <c r="R654" s="3">
        <v>107.559</v>
      </c>
      <c r="S654" t="s">
        <v>794</v>
      </c>
    </row>
    <row r="655" spans="1:19" x14ac:dyDescent="0.35">
      <c r="A655" t="s">
        <v>2074</v>
      </c>
      <c r="B655" t="s">
        <v>337</v>
      </c>
      <c r="C655" s="5">
        <v>45679</v>
      </c>
      <c r="D655" s="5">
        <v>45685</v>
      </c>
      <c r="E655" t="s">
        <v>338</v>
      </c>
      <c r="F655" t="s">
        <v>674</v>
      </c>
      <c r="G655" t="s">
        <v>243</v>
      </c>
      <c r="H655" t="s">
        <v>14</v>
      </c>
      <c r="I655" t="s">
        <v>14</v>
      </c>
      <c r="J655" t="s">
        <v>186</v>
      </c>
      <c r="K655" t="s">
        <v>786</v>
      </c>
      <c r="L655" t="s">
        <v>799</v>
      </c>
      <c r="M655" t="s">
        <v>818</v>
      </c>
      <c r="N655">
        <v>5</v>
      </c>
      <c r="O655" s="3">
        <v>28.32</v>
      </c>
      <c r="P655" s="3">
        <v>35.4</v>
      </c>
      <c r="Q655" s="6">
        <v>0</v>
      </c>
      <c r="R655" s="3">
        <v>177</v>
      </c>
      <c r="S655" t="s">
        <v>892</v>
      </c>
    </row>
    <row r="656" spans="1:19" x14ac:dyDescent="0.35">
      <c r="A656" t="s">
        <v>2075</v>
      </c>
      <c r="B656" t="s">
        <v>416</v>
      </c>
      <c r="C656" s="5">
        <v>46009</v>
      </c>
      <c r="E656" t="s">
        <v>417</v>
      </c>
      <c r="F656" t="s">
        <v>627</v>
      </c>
      <c r="G656" t="s">
        <v>264</v>
      </c>
      <c r="H656" t="s">
        <v>797</v>
      </c>
      <c r="I656" t="s">
        <v>38</v>
      </c>
      <c r="J656" t="s">
        <v>117</v>
      </c>
      <c r="K656" t="s">
        <v>813</v>
      </c>
      <c r="L656" t="s">
        <v>787</v>
      </c>
      <c r="M656" t="s">
        <v>800</v>
      </c>
      <c r="N656">
        <v>2</v>
      </c>
      <c r="O656" s="3">
        <v>43.25</v>
      </c>
      <c r="P656" s="3">
        <v>60.55</v>
      </c>
      <c r="Q656" s="6">
        <v>0.05</v>
      </c>
      <c r="R656" s="3">
        <v>115.04499999999999</v>
      </c>
      <c r="S656" t="s">
        <v>810</v>
      </c>
    </row>
    <row r="657" spans="1:19" x14ac:dyDescent="0.35">
      <c r="A657" t="s">
        <v>2077</v>
      </c>
      <c r="B657" t="s">
        <v>532</v>
      </c>
      <c r="C657" s="5">
        <v>45645</v>
      </c>
      <c r="D657" s="5">
        <v>45654</v>
      </c>
      <c r="E657" t="s">
        <v>533</v>
      </c>
      <c r="F657" t="s">
        <v>627</v>
      </c>
      <c r="G657" t="s">
        <v>235</v>
      </c>
      <c r="H657" t="s">
        <v>20</v>
      </c>
      <c r="I657" t="s">
        <v>38</v>
      </c>
      <c r="J657" t="s">
        <v>165</v>
      </c>
      <c r="K657" t="s">
        <v>798</v>
      </c>
      <c r="L657" t="s">
        <v>799</v>
      </c>
      <c r="M657" t="s">
        <v>800</v>
      </c>
      <c r="N657">
        <v>2</v>
      </c>
      <c r="O657" s="3">
        <v>18.45</v>
      </c>
      <c r="P657" s="3">
        <v>25.83</v>
      </c>
      <c r="Q657" s="6">
        <v>0</v>
      </c>
      <c r="R657" s="3">
        <v>51.66</v>
      </c>
      <c r="S657" t="s">
        <v>825</v>
      </c>
    </row>
    <row r="658" spans="1:19" x14ac:dyDescent="0.35">
      <c r="A658" t="s">
        <v>2078</v>
      </c>
      <c r="B658" t="s">
        <v>573</v>
      </c>
      <c r="C658" s="5">
        <v>46022</v>
      </c>
      <c r="E658" t="s">
        <v>277</v>
      </c>
      <c r="F658" t="s">
        <v>674</v>
      </c>
      <c r="G658" t="s">
        <v>235</v>
      </c>
      <c r="H658" t="s">
        <v>797</v>
      </c>
      <c r="I658" t="s">
        <v>8</v>
      </c>
      <c r="J658" t="s">
        <v>91</v>
      </c>
      <c r="K658" t="s">
        <v>798</v>
      </c>
      <c r="L658" t="s">
        <v>793</v>
      </c>
      <c r="M658" t="s">
        <v>800</v>
      </c>
      <c r="N658">
        <v>2</v>
      </c>
      <c r="O658" s="3">
        <v>36.82</v>
      </c>
      <c r="P658" s="3">
        <v>47.87</v>
      </c>
      <c r="Q658" s="6">
        <v>0.15</v>
      </c>
      <c r="R658" s="3">
        <v>81.378999999999991</v>
      </c>
      <c r="S658" t="s">
        <v>794</v>
      </c>
    </row>
    <row r="659" spans="1:19" x14ac:dyDescent="0.35">
      <c r="A659" t="s">
        <v>2079</v>
      </c>
      <c r="B659" t="s">
        <v>475</v>
      </c>
      <c r="C659" s="5">
        <v>45986</v>
      </c>
      <c r="E659" t="s">
        <v>476</v>
      </c>
      <c r="F659" t="s">
        <v>681</v>
      </c>
      <c r="G659" t="s">
        <v>243</v>
      </c>
      <c r="H659" t="s">
        <v>14</v>
      </c>
      <c r="I659" t="s">
        <v>8</v>
      </c>
      <c r="J659" t="s">
        <v>192</v>
      </c>
      <c r="K659" t="s">
        <v>798</v>
      </c>
      <c r="L659" t="s">
        <v>793</v>
      </c>
      <c r="M659" t="s">
        <v>818</v>
      </c>
      <c r="N659">
        <v>5</v>
      </c>
      <c r="O659" s="3">
        <v>19.47</v>
      </c>
      <c r="P659" s="3">
        <v>28.23</v>
      </c>
      <c r="Q659" s="6">
        <v>0.1</v>
      </c>
      <c r="R659" s="3">
        <v>127.035</v>
      </c>
      <c r="S659" t="s">
        <v>859</v>
      </c>
    </row>
    <row r="660" spans="1:19" x14ac:dyDescent="0.35">
      <c r="A660" t="s">
        <v>2080</v>
      </c>
      <c r="B660" t="s">
        <v>520</v>
      </c>
      <c r="C660" s="5">
        <v>45574</v>
      </c>
      <c r="E660" t="s">
        <v>521</v>
      </c>
      <c r="F660" t="s">
        <v>681</v>
      </c>
      <c r="G660" t="s">
        <v>243</v>
      </c>
      <c r="H660" t="s">
        <v>20</v>
      </c>
      <c r="I660" t="s">
        <v>14</v>
      </c>
      <c r="J660" t="s">
        <v>25</v>
      </c>
      <c r="K660" t="s">
        <v>786</v>
      </c>
      <c r="L660" t="s">
        <v>793</v>
      </c>
      <c r="M660" t="s">
        <v>842</v>
      </c>
      <c r="N660">
        <v>5</v>
      </c>
      <c r="O660" s="3">
        <v>18.95</v>
      </c>
      <c r="P660" s="3">
        <v>25.58</v>
      </c>
      <c r="Q660" s="6">
        <v>0</v>
      </c>
      <c r="R660" s="3">
        <v>127.89999999999999</v>
      </c>
      <c r="S660" t="s">
        <v>876</v>
      </c>
    </row>
    <row r="661" spans="1:19" x14ac:dyDescent="0.35">
      <c r="A661" t="s">
        <v>2081</v>
      </c>
      <c r="B661" t="s">
        <v>564</v>
      </c>
      <c r="C661" s="5">
        <v>45612</v>
      </c>
      <c r="E661" t="s">
        <v>526</v>
      </c>
      <c r="F661" t="s">
        <v>254</v>
      </c>
      <c r="G661" t="s">
        <v>243</v>
      </c>
      <c r="H661" t="s">
        <v>797</v>
      </c>
      <c r="I661" t="s">
        <v>43</v>
      </c>
      <c r="J661" t="s">
        <v>141</v>
      </c>
      <c r="K661" t="s">
        <v>798</v>
      </c>
      <c r="L661" t="s">
        <v>787</v>
      </c>
      <c r="M661" t="s">
        <v>842</v>
      </c>
      <c r="N661">
        <v>1</v>
      </c>
      <c r="O661" s="3">
        <v>17.2</v>
      </c>
      <c r="P661" s="3">
        <v>22.36</v>
      </c>
      <c r="Q661" s="6">
        <v>0</v>
      </c>
      <c r="R661" s="3">
        <v>22.36</v>
      </c>
      <c r="S661" t="s">
        <v>859</v>
      </c>
    </row>
    <row r="662" spans="1:19" x14ac:dyDescent="0.35">
      <c r="A662" t="s">
        <v>2082</v>
      </c>
      <c r="B662" t="s">
        <v>244</v>
      </c>
      <c r="C662" s="5">
        <v>45859</v>
      </c>
      <c r="E662" t="s">
        <v>245</v>
      </c>
      <c r="F662" t="s">
        <v>696</v>
      </c>
      <c r="G662" t="s">
        <v>235</v>
      </c>
      <c r="H662" t="s">
        <v>14</v>
      </c>
      <c r="I662" t="s">
        <v>43</v>
      </c>
      <c r="J662" t="s">
        <v>53</v>
      </c>
      <c r="K662" t="s">
        <v>786</v>
      </c>
      <c r="L662" t="s">
        <v>787</v>
      </c>
      <c r="M662" t="s">
        <v>818</v>
      </c>
      <c r="N662">
        <v>1</v>
      </c>
      <c r="O662" s="3">
        <v>54.93</v>
      </c>
      <c r="P662" s="3">
        <v>79.650000000000006</v>
      </c>
      <c r="Q662" s="6">
        <v>0.1</v>
      </c>
      <c r="R662" s="3">
        <v>71.685000000000002</v>
      </c>
      <c r="S662" t="s">
        <v>825</v>
      </c>
    </row>
    <row r="663" spans="1:19" x14ac:dyDescent="0.35">
      <c r="A663" t="s">
        <v>2083</v>
      </c>
      <c r="B663" t="s">
        <v>587</v>
      </c>
      <c r="C663" s="5">
        <v>45985</v>
      </c>
      <c r="D663" s="5">
        <v>45994</v>
      </c>
      <c r="E663" t="s">
        <v>431</v>
      </c>
      <c r="F663" t="s">
        <v>254</v>
      </c>
      <c r="G663" t="s">
        <v>235</v>
      </c>
      <c r="H663" t="s">
        <v>797</v>
      </c>
      <c r="I663" t="s">
        <v>43</v>
      </c>
      <c r="J663" t="s">
        <v>44</v>
      </c>
      <c r="K663" t="s">
        <v>798</v>
      </c>
      <c r="L663" t="s">
        <v>822</v>
      </c>
      <c r="M663" t="s">
        <v>842</v>
      </c>
      <c r="N663">
        <v>2</v>
      </c>
      <c r="O663" s="3">
        <v>14.05</v>
      </c>
      <c r="P663" s="3">
        <v>19.670000000000002</v>
      </c>
      <c r="Q663" s="6">
        <v>0.15</v>
      </c>
      <c r="R663" s="3">
        <v>33.439</v>
      </c>
      <c r="S663" t="s">
        <v>876</v>
      </c>
    </row>
    <row r="664" spans="1:19" x14ac:dyDescent="0.35">
      <c r="A664" t="s">
        <v>2084</v>
      </c>
      <c r="B664" t="s">
        <v>603</v>
      </c>
      <c r="C664" s="5">
        <v>45645</v>
      </c>
      <c r="D664" s="5">
        <v>45648</v>
      </c>
      <c r="E664" t="s">
        <v>508</v>
      </c>
      <c r="F664" t="s">
        <v>681</v>
      </c>
      <c r="G664" t="s">
        <v>264</v>
      </c>
      <c r="H664" t="s">
        <v>48</v>
      </c>
      <c r="I664" t="s">
        <v>43</v>
      </c>
      <c r="J664" t="s">
        <v>58</v>
      </c>
      <c r="K664" t="s">
        <v>786</v>
      </c>
      <c r="L664" t="s">
        <v>822</v>
      </c>
      <c r="M664" t="s">
        <v>842</v>
      </c>
      <c r="N664">
        <v>5</v>
      </c>
      <c r="O664" s="3">
        <v>11.21</v>
      </c>
      <c r="P664" s="3">
        <v>15.13</v>
      </c>
      <c r="Q664" s="6">
        <v>0.1</v>
      </c>
      <c r="R664" s="3">
        <v>68.085000000000008</v>
      </c>
      <c r="S664" t="s">
        <v>845</v>
      </c>
    </row>
    <row r="665" spans="1:19" x14ac:dyDescent="0.35">
      <c r="A665" t="s">
        <v>2085</v>
      </c>
      <c r="B665" t="s">
        <v>388</v>
      </c>
      <c r="C665" s="5">
        <v>45982</v>
      </c>
      <c r="D665" s="5">
        <v>45989</v>
      </c>
      <c r="E665" t="s">
        <v>389</v>
      </c>
      <c r="F665" t="s">
        <v>674</v>
      </c>
      <c r="G665" t="s">
        <v>243</v>
      </c>
      <c r="H665" t="s">
        <v>797</v>
      </c>
      <c r="I665" t="s">
        <v>43</v>
      </c>
      <c r="J665" t="s">
        <v>161</v>
      </c>
      <c r="K665" t="s">
        <v>786</v>
      </c>
      <c r="L665" t="s">
        <v>799</v>
      </c>
      <c r="M665" t="s">
        <v>842</v>
      </c>
      <c r="N665">
        <v>5</v>
      </c>
      <c r="O665" s="3">
        <v>21.74</v>
      </c>
      <c r="P665" s="3">
        <v>30.44</v>
      </c>
      <c r="Q665" s="6">
        <v>0.05</v>
      </c>
      <c r="R665" s="3">
        <v>144.59</v>
      </c>
      <c r="S665" t="s">
        <v>819</v>
      </c>
    </row>
    <row r="666" spans="1:19" x14ac:dyDescent="0.35">
      <c r="A666" t="s">
        <v>2086</v>
      </c>
      <c r="B666" t="s">
        <v>329</v>
      </c>
      <c r="C666" s="5">
        <v>45466</v>
      </c>
      <c r="D666" s="5">
        <v>45474</v>
      </c>
      <c r="E666" t="s">
        <v>330</v>
      </c>
      <c r="F666" t="s">
        <v>633</v>
      </c>
      <c r="G666" t="s">
        <v>235</v>
      </c>
      <c r="H666" t="s">
        <v>48</v>
      </c>
      <c r="I666" t="s">
        <v>20</v>
      </c>
      <c r="J666" t="s">
        <v>51</v>
      </c>
      <c r="K666" t="s">
        <v>798</v>
      </c>
      <c r="L666" t="s">
        <v>799</v>
      </c>
      <c r="M666" t="s">
        <v>842</v>
      </c>
      <c r="N666">
        <v>20</v>
      </c>
      <c r="O666" s="3">
        <v>11.28</v>
      </c>
      <c r="P666" s="3">
        <v>15.23</v>
      </c>
      <c r="Q666" s="6">
        <v>0</v>
      </c>
      <c r="R666" s="3">
        <v>304.60000000000002</v>
      </c>
      <c r="S666" t="s">
        <v>859</v>
      </c>
    </row>
    <row r="667" spans="1:19" x14ac:dyDescent="0.35">
      <c r="A667" t="s">
        <v>2087</v>
      </c>
      <c r="B667" t="s">
        <v>382</v>
      </c>
      <c r="C667" s="5">
        <v>45592</v>
      </c>
      <c r="E667" t="s">
        <v>383</v>
      </c>
      <c r="F667" t="s">
        <v>254</v>
      </c>
      <c r="G667" t="s">
        <v>264</v>
      </c>
      <c r="H667" t="s">
        <v>20</v>
      </c>
      <c r="I667" t="s">
        <v>43</v>
      </c>
      <c r="J667" t="s">
        <v>161</v>
      </c>
      <c r="K667" t="s">
        <v>798</v>
      </c>
      <c r="L667" t="s">
        <v>793</v>
      </c>
      <c r="M667" t="s">
        <v>800</v>
      </c>
      <c r="N667">
        <v>3</v>
      </c>
      <c r="O667" s="3">
        <v>21.74</v>
      </c>
      <c r="P667" s="3">
        <v>30.44</v>
      </c>
      <c r="Q667" s="6">
        <v>0.15</v>
      </c>
      <c r="R667" s="3">
        <v>77.622000000000014</v>
      </c>
      <c r="S667" t="s">
        <v>892</v>
      </c>
    </row>
    <row r="668" spans="1:19" x14ac:dyDescent="0.35">
      <c r="A668" t="s">
        <v>2088</v>
      </c>
      <c r="B668" t="s">
        <v>559</v>
      </c>
      <c r="C668" s="5">
        <v>45328</v>
      </c>
      <c r="D668" s="5">
        <v>45330</v>
      </c>
      <c r="E668" t="s">
        <v>311</v>
      </c>
      <c r="F668" t="s">
        <v>637</v>
      </c>
      <c r="G668" t="s">
        <v>235</v>
      </c>
      <c r="H668" t="s">
        <v>14</v>
      </c>
      <c r="I668" t="s">
        <v>29</v>
      </c>
      <c r="J668" t="s">
        <v>191</v>
      </c>
      <c r="K668" t="s">
        <v>798</v>
      </c>
      <c r="L668" t="s">
        <v>799</v>
      </c>
      <c r="M668" t="s">
        <v>800</v>
      </c>
      <c r="N668">
        <v>10</v>
      </c>
      <c r="O668" s="3">
        <v>11.26</v>
      </c>
      <c r="P668" s="3">
        <v>15.2</v>
      </c>
      <c r="Q668" s="6">
        <v>0</v>
      </c>
      <c r="R668" s="3">
        <v>152</v>
      </c>
      <c r="S668" t="s">
        <v>814</v>
      </c>
    </row>
    <row r="669" spans="1:19" x14ac:dyDescent="0.35">
      <c r="A669" t="s">
        <v>2089</v>
      </c>
      <c r="B669" t="s">
        <v>595</v>
      </c>
      <c r="C669" s="5">
        <v>45297</v>
      </c>
      <c r="D669" s="5">
        <v>45306</v>
      </c>
      <c r="E669" t="s">
        <v>253</v>
      </c>
      <c r="F669" t="s">
        <v>674</v>
      </c>
      <c r="G669" t="s">
        <v>235</v>
      </c>
      <c r="H669" t="s">
        <v>797</v>
      </c>
      <c r="I669" t="s">
        <v>8</v>
      </c>
      <c r="J669" t="s">
        <v>129</v>
      </c>
      <c r="K669" t="s">
        <v>813</v>
      </c>
      <c r="L669" t="s">
        <v>799</v>
      </c>
      <c r="M669" t="s">
        <v>788</v>
      </c>
      <c r="N669">
        <v>1</v>
      </c>
      <c r="O669" s="3">
        <v>22.15</v>
      </c>
      <c r="P669" s="3">
        <v>31.01</v>
      </c>
      <c r="Q669" s="6">
        <v>0</v>
      </c>
      <c r="R669" s="3">
        <v>31.01</v>
      </c>
      <c r="S669" t="s">
        <v>892</v>
      </c>
    </row>
    <row r="670" spans="1:19" x14ac:dyDescent="0.35">
      <c r="A670" t="s">
        <v>2091</v>
      </c>
      <c r="B670" t="s">
        <v>337</v>
      </c>
      <c r="C670" s="5">
        <v>45449</v>
      </c>
      <c r="E670" t="s">
        <v>338</v>
      </c>
      <c r="F670" t="s">
        <v>696</v>
      </c>
      <c r="G670" t="s">
        <v>243</v>
      </c>
      <c r="H670" t="s">
        <v>797</v>
      </c>
      <c r="I670" t="s">
        <v>48</v>
      </c>
      <c r="J670" t="s">
        <v>190</v>
      </c>
      <c r="K670" t="s">
        <v>786</v>
      </c>
      <c r="L670" t="s">
        <v>793</v>
      </c>
      <c r="M670" t="s">
        <v>818</v>
      </c>
      <c r="N670">
        <v>5</v>
      </c>
      <c r="O670" s="3">
        <v>21.56</v>
      </c>
      <c r="P670" s="3">
        <v>31.26</v>
      </c>
      <c r="Q670" s="6">
        <v>0.05</v>
      </c>
      <c r="R670" s="3">
        <v>148.48500000000001</v>
      </c>
      <c r="S670" t="s">
        <v>814</v>
      </c>
    </row>
    <row r="671" spans="1:19" x14ac:dyDescent="0.35">
      <c r="A671" t="s">
        <v>2092</v>
      </c>
      <c r="B671" t="s">
        <v>479</v>
      </c>
      <c r="C671" s="5">
        <v>45598</v>
      </c>
      <c r="E671" t="s">
        <v>480</v>
      </c>
      <c r="F671" t="s">
        <v>674</v>
      </c>
      <c r="G671" t="s">
        <v>243</v>
      </c>
      <c r="H671" t="s">
        <v>14</v>
      </c>
      <c r="I671" t="s">
        <v>20</v>
      </c>
      <c r="J671" t="s">
        <v>137</v>
      </c>
      <c r="K671" t="s">
        <v>798</v>
      </c>
      <c r="L671" t="s">
        <v>817</v>
      </c>
      <c r="M671" t="s">
        <v>818</v>
      </c>
      <c r="N671">
        <v>3</v>
      </c>
      <c r="O671" s="3">
        <v>23.58</v>
      </c>
      <c r="P671" s="3">
        <v>31.83</v>
      </c>
      <c r="Q671" s="6">
        <v>0</v>
      </c>
      <c r="R671" s="3">
        <v>95.49</v>
      </c>
      <c r="S671" t="s">
        <v>888</v>
      </c>
    </row>
    <row r="672" spans="1:19" x14ac:dyDescent="0.35">
      <c r="A672" t="s">
        <v>2093</v>
      </c>
      <c r="B672" t="s">
        <v>238</v>
      </c>
      <c r="C672" s="5">
        <v>45654</v>
      </c>
      <c r="E672" t="s">
        <v>239</v>
      </c>
      <c r="F672" t="s">
        <v>633</v>
      </c>
      <c r="G672" t="s">
        <v>243</v>
      </c>
      <c r="H672" t="s">
        <v>20</v>
      </c>
      <c r="I672" t="s">
        <v>48</v>
      </c>
      <c r="J672" t="s">
        <v>179</v>
      </c>
      <c r="K672" t="s">
        <v>798</v>
      </c>
      <c r="L672" t="s">
        <v>787</v>
      </c>
      <c r="M672" t="s">
        <v>800</v>
      </c>
      <c r="N672">
        <v>12</v>
      </c>
      <c r="O672" s="3">
        <v>16.670000000000002</v>
      </c>
      <c r="P672" s="3">
        <v>22.5</v>
      </c>
      <c r="Q672" s="6">
        <v>0</v>
      </c>
      <c r="R672" s="3">
        <v>270</v>
      </c>
      <c r="S672" t="s">
        <v>888</v>
      </c>
    </row>
    <row r="673" spans="1:19" x14ac:dyDescent="0.35">
      <c r="A673" t="s">
        <v>2094</v>
      </c>
      <c r="B673" t="s">
        <v>604</v>
      </c>
      <c r="C673" s="5">
        <v>45696</v>
      </c>
      <c r="E673" t="s">
        <v>431</v>
      </c>
      <c r="F673" t="s">
        <v>633</v>
      </c>
      <c r="G673" t="s">
        <v>243</v>
      </c>
      <c r="H673" t="s">
        <v>48</v>
      </c>
      <c r="I673" t="s">
        <v>14</v>
      </c>
      <c r="J673" t="s">
        <v>24</v>
      </c>
      <c r="K673" t="s">
        <v>813</v>
      </c>
      <c r="L673" t="s">
        <v>793</v>
      </c>
      <c r="M673" t="s">
        <v>818</v>
      </c>
      <c r="N673">
        <v>3</v>
      </c>
      <c r="O673" s="3">
        <v>37.42</v>
      </c>
      <c r="P673" s="3">
        <v>50.52</v>
      </c>
      <c r="Q673" s="6">
        <v>0.15</v>
      </c>
      <c r="R673" s="3">
        <v>128.82599999999999</v>
      </c>
      <c r="S673" t="s">
        <v>1017</v>
      </c>
    </row>
    <row r="674" spans="1:19" x14ac:dyDescent="0.35">
      <c r="A674" t="s">
        <v>2096</v>
      </c>
      <c r="B674" t="s">
        <v>506</v>
      </c>
      <c r="C674" s="5">
        <v>45413</v>
      </c>
      <c r="E674" t="s">
        <v>287</v>
      </c>
      <c r="F674" t="s">
        <v>627</v>
      </c>
      <c r="G674" t="s">
        <v>243</v>
      </c>
      <c r="H674" t="s">
        <v>14</v>
      </c>
      <c r="I674" t="s">
        <v>48</v>
      </c>
      <c r="J674" t="s">
        <v>217</v>
      </c>
      <c r="K674" t="s">
        <v>798</v>
      </c>
      <c r="L674" t="s">
        <v>787</v>
      </c>
      <c r="M674" t="s">
        <v>818</v>
      </c>
      <c r="N674">
        <v>10</v>
      </c>
      <c r="O674" s="3">
        <v>24.07</v>
      </c>
      <c r="P674" s="3">
        <v>34.9</v>
      </c>
      <c r="Q674" s="6">
        <v>0.1</v>
      </c>
      <c r="R674" s="3">
        <v>314.10000000000002</v>
      </c>
      <c r="S674" t="s">
        <v>935</v>
      </c>
    </row>
    <row r="675" spans="1:19" x14ac:dyDescent="0.35">
      <c r="A675" t="s">
        <v>2098</v>
      </c>
      <c r="B675" t="s">
        <v>327</v>
      </c>
      <c r="C675" s="5">
        <v>45426</v>
      </c>
      <c r="D675" s="5">
        <v>45432</v>
      </c>
      <c r="E675" t="s">
        <v>328</v>
      </c>
      <c r="F675" t="s">
        <v>637</v>
      </c>
      <c r="G675" t="s">
        <v>264</v>
      </c>
      <c r="H675" t="s">
        <v>797</v>
      </c>
      <c r="I675" t="s">
        <v>48</v>
      </c>
      <c r="J675" t="s">
        <v>54</v>
      </c>
      <c r="K675" t="s">
        <v>813</v>
      </c>
      <c r="L675" t="s">
        <v>799</v>
      </c>
      <c r="M675" t="s">
        <v>788</v>
      </c>
      <c r="N675">
        <v>3</v>
      </c>
      <c r="O675" s="3">
        <v>21.67</v>
      </c>
      <c r="P675" s="3">
        <v>28.17</v>
      </c>
      <c r="Q675" s="6">
        <v>0</v>
      </c>
      <c r="R675" s="3">
        <v>84.51</v>
      </c>
      <c r="S675" t="s">
        <v>825</v>
      </c>
    </row>
    <row r="676" spans="1:19" x14ac:dyDescent="0.35">
      <c r="A676" t="s">
        <v>2099</v>
      </c>
      <c r="B676" t="s">
        <v>601</v>
      </c>
      <c r="C676" s="5">
        <v>45731</v>
      </c>
      <c r="D676" s="5">
        <v>45734</v>
      </c>
      <c r="E676" t="s">
        <v>602</v>
      </c>
      <c r="F676" t="s">
        <v>254</v>
      </c>
      <c r="G676" t="s">
        <v>235</v>
      </c>
      <c r="H676" t="s">
        <v>797</v>
      </c>
      <c r="I676" t="s">
        <v>79</v>
      </c>
      <c r="J676" t="s">
        <v>77</v>
      </c>
      <c r="K676" t="s">
        <v>798</v>
      </c>
      <c r="L676" t="s">
        <v>799</v>
      </c>
      <c r="M676" t="s">
        <v>818</v>
      </c>
      <c r="N676">
        <v>12</v>
      </c>
      <c r="O676" s="3">
        <v>13.71</v>
      </c>
      <c r="P676" s="3">
        <v>17.82</v>
      </c>
      <c r="Q676" s="6">
        <v>0</v>
      </c>
      <c r="R676" s="3">
        <v>213.84</v>
      </c>
      <c r="S676" t="s">
        <v>946</v>
      </c>
    </row>
    <row r="677" spans="1:19" x14ac:dyDescent="0.35">
      <c r="A677" t="s">
        <v>2100</v>
      </c>
      <c r="B677" t="s">
        <v>369</v>
      </c>
      <c r="C677" s="5">
        <v>46038</v>
      </c>
      <c r="E677" t="s">
        <v>282</v>
      </c>
      <c r="F677" t="s">
        <v>674</v>
      </c>
      <c r="G677" t="s">
        <v>243</v>
      </c>
      <c r="H677" t="s">
        <v>797</v>
      </c>
      <c r="I677" t="s">
        <v>48</v>
      </c>
      <c r="J677" t="s">
        <v>179</v>
      </c>
      <c r="K677" t="s">
        <v>813</v>
      </c>
      <c r="L677" t="s">
        <v>793</v>
      </c>
      <c r="M677" t="s">
        <v>788</v>
      </c>
      <c r="N677">
        <v>5</v>
      </c>
      <c r="O677" s="3">
        <v>16.670000000000002</v>
      </c>
      <c r="P677" s="3">
        <v>22.5</v>
      </c>
      <c r="Q677" s="6">
        <v>0.15</v>
      </c>
      <c r="R677" s="3">
        <v>95.625</v>
      </c>
      <c r="S677" t="s">
        <v>876</v>
      </c>
    </row>
    <row r="678" spans="1:19" x14ac:dyDescent="0.35">
      <c r="A678" t="s">
        <v>2101</v>
      </c>
      <c r="B678" t="s">
        <v>589</v>
      </c>
      <c r="C678" s="5">
        <v>45495</v>
      </c>
      <c r="D678" s="5">
        <v>45498</v>
      </c>
      <c r="E678" t="s">
        <v>484</v>
      </c>
      <c r="F678" t="s">
        <v>637</v>
      </c>
      <c r="G678" t="s">
        <v>264</v>
      </c>
      <c r="H678" t="s">
        <v>20</v>
      </c>
      <c r="I678" t="s">
        <v>20</v>
      </c>
      <c r="J678" t="s">
        <v>18</v>
      </c>
      <c r="K678" t="s">
        <v>798</v>
      </c>
      <c r="L678" t="s">
        <v>799</v>
      </c>
      <c r="M678" t="s">
        <v>788</v>
      </c>
      <c r="N678">
        <v>5</v>
      </c>
      <c r="O678" s="3">
        <v>21.57</v>
      </c>
      <c r="P678" s="3">
        <v>26.96</v>
      </c>
      <c r="Q678" s="6">
        <v>0</v>
      </c>
      <c r="R678" s="3">
        <v>134.80000000000001</v>
      </c>
      <c r="S678" t="s">
        <v>803</v>
      </c>
    </row>
    <row r="679" spans="1:19" x14ac:dyDescent="0.35">
      <c r="A679" t="s">
        <v>2102</v>
      </c>
      <c r="B679" t="s">
        <v>342</v>
      </c>
      <c r="C679" s="5">
        <v>45526</v>
      </c>
      <c r="D679" s="5">
        <v>45530</v>
      </c>
      <c r="E679" t="s">
        <v>245</v>
      </c>
      <c r="F679" t="s">
        <v>696</v>
      </c>
      <c r="G679" t="s">
        <v>235</v>
      </c>
      <c r="H679" t="s">
        <v>797</v>
      </c>
      <c r="I679" t="s">
        <v>48</v>
      </c>
      <c r="J679" t="s">
        <v>46</v>
      </c>
      <c r="K679" t="s">
        <v>786</v>
      </c>
      <c r="L679" t="s">
        <v>822</v>
      </c>
      <c r="M679" t="s">
        <v>818</v>
      </c>
      <c r="N679">
        <v>10</v>
      </c>
      <c r="O679" s="3">
        <v>29.16</v>
      </c>
      <c r="P679" s="3">
        <v>36.450000000000003</v>
      </c>
      <c r="Q679" s="6">
        <v>0</v>
      </c>
      <c r="R679" s="3">
        <v>364.5</v>
      </c>
      <c r="S679" t="s">
        <v>946</v>
      </c>
    </row>
    <row r="680" spans="1:19" x14ac:dyDescent="0.35">
      <c r="A680" t="s">
        <v>2105</v>
      </c>
      <c r="B680" t="s">
        <v>459</v>
      </c>
      <c r="C680" s="5">
        <v>45385</v>
      </c>
      <c r="E680" t="s">
        <v>460</v>
      </c>
      <c r="F680" t="s">
        <v>696</v>
      </c>
      <c r="G680" t="s">
        <v>264</v>
      </c>
      <c r="H680" t="s">
        <v>14</v>
      </c>
      <c r="I680" t="s">
        <v>38</v>
      </c>
      <c r="J680" t="s">
        <v>69</v>
      </c>
      <c r="K680" t="s">
        <v>798</v>
      </c>
      <c r="L680" t="s">
        <v>817</v>
      </c>
      <c r="M680" t="s">
        <v>788</v>
      </c>
      <c r="N680">
        <v>10</v>
      </c>
      <c r="O680" s="3">
        <v>20.9</v>
      </c>
      <c r="P680" s="3">
        <v>28.21</v>
      </c>
      <c r="Q680" s="6">
        <v>0</v>
      </c>
      <c r="R680" s="3">
        <v>282.10000000000002</v>
      </c>
      <c r="S680" t="s">
        <v>876</v>
      </c>
    </row>
    <row r="681" spans="1:19" x14ac:dyDescent="0.35">
      <c r="A681" t="s">
        <v>2106</v>
      </c>
      <c r="B681" t="s">
        <v>515</v>
      </c>
      <c r="C681" s="5">
        <v>45782</v>
      </c>
      <c r="E681" t="s">
        <v>512</v>
      </c>
      <c r="F681" t="s">
        <v>696</v>
      </c>
      <c r="G681" t="s">
        <v>235</v>
      </c>
      <c r="H681" t="s">
        <v>14</v>
      </c>
      <c r="I681" t="s">
        <v>29</v>
      </c>
      <c r="J681" t="s">
        <v>27</v>
      </c>
      <c r="K681" t="s">
        <v>798</v>
      </c>
      <c r="L681" t="s">
        <v>793</v>
      </c>
      <c r="M681" t="s">
        <v>800</v>
      </c>
      <c r="N681">
        <v>1</v>
      </c>
      <c r="O681" s="3">
        <v>33.06</v>
      </c>
      <c r="P681" s="3">
        <v>47.94</v>
      </c>
      <c r="Q681" s="6">
        <v>0</v>
      </c>
      <c r="R681" s="3">
        <v>47.94</v>
      </c>
      <c r="S681" t="s">
        <v>1001</v>
      </c>
    </row>
    <row r="682" spans="1:19" x14ac:dyDescent="0.35">
      <c r="A682" t="s">
        <v>2107</v>
      </c>
      <c r="B682" t="s">
        <v>432</v>
      </c>
      <c r="C682" s="5">
        <v>45720</v>
      </c>
      <c r="D682" s="5">
        <v>45728</v>
      </c>
      <c r="E682" t="s">
        <v>433</v>
      </c>
      <c r="F682" t="s">
        <v>254</v>
      </c>
      <c r="G682" t="s">
        <v>243</v>
      </c>
      <c r="H682" t="s">
        <v>797</v>
      </c>
      <c r="I682" t="s">
        <v>48</v>
      </c>
      <c r="J682" t="s">
        <v>217</v>
      </c>
      <c r="K682" t="s">
        <v>813</v>
      </c>
      <c r="L682" t="s">
        <v>799</v>
      </c>
      <c r="M682" t="s">
        <v>800</v>
      </c>
      <c r="N682">
        <v>1</v>
      </c>
      <c r="O682" s="3">
        <v>24.07</v>
      </c>
      <c r="P682" s="3">
        <v>34.9</v>
      </c>
      <c r="Q682" s="6">
        <v>0</v>
      </c>
      <c r="R682" s="3">
        <v>34.9</v>
      </c>
      <c r="S682" t="s">
        <v>859</v>
      </c>
    </row>
    <row r="683" spans="1:19" x14ac:dyDescent="0.35">
      <c r="A683" t="s">
        <v>2108</v>
      </c>
      <c r="B683" t="s">
        <v>322</v>
      </c>
      <c r="C683" s="5">
        <v>45578</v>
      </c>
      <c r="E683" t="s">
        <v>245</v>
      </c>
      <c r="F683" t="s">
        <v>696</v>
      </c>
      <c r="G683" t="s">
        <v>243</v>
      </c>
      <c r="H683" t="s">
        <v>797</v>
      </c>
      <c r="I683" t="s">
        <v>14</v>
      </c>
      <c r="J683" t="s">
        <v>209</v>
      </c>
      <c r="K683" t="s">
        <v>786</v>
      </c>
      <c r="L683" t="s">
        <v>793</v>
      </c>
      <c r="M683" t="s">
        <v>800</v>
      </c>
      <c r="N683">
        <v>12</v>
      </c>
      <c r="O683" s="3">
        <v>24.18</v>
      </c>
      <c r="P683" s="3">
        <v>33.85</v>
      </c>
      <c r="Q683" s="6">
        <v>0</v>
      </c>
      <c r="R683" s="3">
        <v>406.20000000000005</v>
      </c>
      <c r="S683" t="s">
        <v>919</v>
      </c>
    </row>
    <row r="684" spans="1:19" x14ac:dyDescent="0.35">
      <c r="A684" t="s">
        <v>2109</v>
      </c>
      <c r="B684" t="s">
        <v>580</v>
      </c>
      <c r="C684" s="5">
        <v>45977</v>
      </c>
      <c r="E684" t="s">
        <v>581</v>
      </c>
      <c r="F684" t="s">
        <v>627</v>
      </c>
      <c r="G684" t="s">
        <v>235</v>
      </c>
      <c r="H684" t="s">
        <v>20</v>
      </c>
      <c r="I684" t="s">
        <v>8</v>
      </c>
      <c r="J684" t="s">
        <v>65</v>
      </c>
      <c r="K684" t="s">
        <v>813</v>
      </c>
      <c r="L684" t="s">
        <v>793</v>
      </c>
      <c r="M684" t="s">
        <v>800</v>
      </c>
      <c r="N684">
        <v>10</v>
      </c>
      <c r="O684" s="3">
        <v>30.16</v>
      </c>
      <c r="P684" s="3">
        <v>40.72</v>
      </c>
      <c r="Q684" s="6">
        <v>0.15</v>
      </c>
      <c r="R684" s="3">
        <v>346.12</v>
      </c>
      <c r="S684" t="s">
        <v>803</v>
      </c>
    </row>
    <row r="685" spans="1:19" x14ac:dyDescent="0.35">
      <c r="A685" t="s">
        <v>2110</v>
      </c>
      <c r="B685" t="s">
        <v>455</v>
      </c>
      <c r="C685" s="5">
        <v>45833</v>
      </c>
      <c r="E685" t="s">
        <v>456</v>
      </c>
      <c r="F685" t="s">
        <v>674</v>
      </c>
      <c r="G685" t="s">
        <v>264</v>
      </c>
      <c r="H685" t="s">
        <v>14</v>
      </c>
      <c r="I685" t="s">
        <v>14</v>
      </c>
      <c r="J685" t="s">
        <v>214</v>
      </c>
      <c r="K685" t="s">
        <v>798</v>
      </c>
      <c r="L685" t="s">
        <v>793</v>
      </c>
      <c r="M685" t="s">
        <v>842</v>
      </c>
      <c r="N685">
        <v>1</v>
      </c>
      <c r="O685" s="3">
        <v>22.07</v>
      </c>
      <c r="P685" s="3">
        <v>27.59</v>
      </c>
      <c r="Q685" s="6">
        <v>0</v>
      </c>
      <c r="R685" s="3">
        <v>27.59</v>
      </c>
      <c r="S685" t="s">
        <v>869</v>
      </c>
    </row>
    <row r="686" spans="1:19" x14ac:dyDescent="0.35">
      <c r="A686" t="s">
        <v>2112</v>
      </c>
      <c r="B686" t="s">
        <v>334</v>
      </c>
      <c r="C686" s="5">
        <v>46052</v>
      </c>
      <c r="D686" s="5">
        <v>46060</v>
      </c>
      <c r="E686" t="s">
        <v>335</v>
      </c>
      <c r="F686" t="s">
        <v>254</v>
      </c>
      <c r="G686" t="s">
        <v>243</v>
      </c>
      <c r="H686" t="s">
        <v>14</v>
      </c>
      <c r="I686" t="s">
        <v>20</v>
      </c>
      <c r="J686" t="s">
        <v>159</v>
      </c>
      <c r="K686" t="s">
        <v>786</v>
      </c>
      <c r="L686" t="s">
        <v>799</v>
      </c>
      <c r="M686" t="s">
        <v>788</v>
      </c>
      <c r="N686">
        <v>10</v>
      </c>
      <c r="O686" s="3">
        <v>8.2200000000000006</v>
      </c>
      <c r="P686" s="3">
        <v>11.1</v>
      </c>
      <c r="Q686" s="6">
        <v>0</v>
      </c>
      <c r="R686" s="3">
        <v>111</v>
      </c>
      <c r="S686" t="s">
        <v>1001</v>
      </c>
    </row>
    <row r="687" spans="1:19" x14ac:dyDescent="0.35">
      <c r="A687" t="s">
        <v>2113</v>
      </c>
      <c r="B687" t="s">
        <v>529</v>
      </c>
      <c r="C687" s="5">
        <v>45393</v>
      </c>
      <c r="E687" t="s">
        <v>253</v>
      </c>
      <c r="F687" t="s">
        <v>627</v>
      </c>
      <c r="G687" t="s">
        <v>235</v>
      </c>
      <c r="H687" t="s">
        <v>797</v>
      </c>
      <c r="I687" t="s">
        <v>8</v>
      </c>
      <c r="J687" t="s">
        <v>207</v>
      </c>
      <c r="K687" t="s">
        <v>798</v>
      </c>
      <c r="L687" t="s">
        <v>817</v>
      </c>
      <c r="M687" t="s">
        <v>788</v>
      </c>
      <c r="N687">
        <v>10</v>
      </c>
      <c r="O687" s="3">
        <v>8.5399999999999991</v>
      </c>
      <c r="P687" s="3">
        <v>10.67</v>
      </c>
      <c r="Q687" s="6">
        <v>0.1</v>
      </c>
      <c r="R687" s="3">
        <v>96.03</v>
      </c>
      <c r="S687" t="s">
        <v>888</v>
      </c>
    </row>
    <row r="688" spans="1:19" x14ac:dyDescent="0.35">
      <c r="A688" t="s">
        <v>2115</v>
      </c>
      <c r="B688" t="s">
        <v>372</v>
      </c>
      <c r="C688" s="5">
        <v>45336</v>
      </c>
      <c r="D688" s="5">
        <v>45338</v>
      </c>
      <c r="E688" t="s">
        <v>373</v>
      </c>
      <c r="F688" t="s">
        <v>696</v>
      </c>
      <c r="G688" t="s">
        <v>235</v>
      </c>
      <c r="H688" t="s">
        <v>14</v>
      </c>
      <c r="I688" t="s">
        <v>43</v>
      </c>
      <c r="J688" t="s">
        <v>99</v>
      </c>
      <c r="K688" t="s">
        <v>798</v>
      </c>
      <c r="L688" t="s">
        <v>799</v>
      </c>
      <c r="M688" t="s">
        <v>800</v>
      </c>
      <c r="N688">
        <v>5</v>
      </c>
      <c r="O688" s="3">
        <v>10.88</v>
      </c>
      <c r="P688" s="3">
        <v>15.78</v>
      </c>
      <c r="Q688" s="6">
        <v>0</v>
      </c>
      <c r="R688" s="3">
        <v>78.899999999999991</v>
      </c>
      <c r="S688" t="s">
        <v>845</v>
      </c>
    </row>
    <row r="689" spans="1:19" x14ac:dyDescent="0.35">
      <c r="A689" t="s">
        <v>2117</v>
      </c>
      <c r="B689" t="s">
        <v>502</v>
      </c>
      <c r="C689" s="5">
        <v>45738</v>
      </c>
      <c r="D689" s="5">
        <v>45741</v>
      </c>
      <c r="E689" t="s">
        <v>503</v>
      </c>
      <c r="F689" t="s">
        <v>696</v>
      </c>
      <c r="G689" t="s">
        <v>235</v>
      </c>
      <c r="H689" t="s">
        <v>14</v>
      </c>
      <c r="I689" t="s">
        <v>79</v>
      </c>
      <c r="J689" t="s">
        <v>77</v>
      </c>
      <c r="K689" t="s">
        <v>786</v>
      </c>
      <c r="L689" t="s">
        <v>799</v>
      </c>
      <c r="M689" t="s">
        <v>788</v>
      </c>
      <c r="N689">
        <v>2</v>
      </c>
      <c r="O689" s="3">
        <v>13.71</v>
      </c>
      <c r="P689" s="3">
        <v>17.82</v>
      </c>
      <c r="Q689" s="6">
        <v>0.1</v>
      </c>
      <c r="R689" s="3">
        <v>32.076000000000001</v>
      </c>
      <c r="S689" t="s">
        <v>1017</v>
      </c>
    </row>
    <row r="690" spans="1:19" x14ac:dyDescent="0.35">
      <c r="A690" t="s">
        <v>2118</v>
      </c>
      <c r="B690" t="s">
        <v>538</v>
      </c>
      <c r="C690" s="5">
        <v>45588</v>
      </c>
      <c r="D690" s="5">
        <v>45597</v>
      </c>
      <c r="E690" t="s">
        <v>539</v>
      </c>
      <c r="F690" t="s">
        <v>254</v>
      </c>
      <c r="G690" t="s">
        <v>264</v>
      </c>
      <c r="H690" t="s">
        <v>20</v>
      </c>
      <c r="I690" t="s">
        <v>14</v>
      </c>
      <c r="J690" t="s">
        <v>111</v>
      </c>
      <c r="K690" t="s">
        <v>798</v>
      </c>
      <c r="L690" t="s">
        <v>799</v>
      </c>
      <c r="M690" t="s">
        <v>818</v>
      </c>
      <c r="N690">
        <v>1</v>
      </c>
      <c r="O690" s="3">
        <v>19.850000000000001</v>
      </c>
      <c r="P690" s="3">
        <v>28.78</v>
      </c>
      <c r="Q690" s="6">
        <v>0.05</v>
      </c>
      <c r="R690" s="3">
        <v>27.341000000000001</v>
      </c>
      <c r="S690" t="s">
        <v>825</v>
      </c>
    </row>
    <row r="691" spans="1:19" x14ac:dyDescent="0.35">
      <c r="A691" t="s">
        <v>2119</v>
      </c>
      <c r="B691" t="s">
        <v>359</v>
      </c>
      <c r="C691" s="5">
        <v>45817</v>
      </c>
      <c r="D691" s="5">
        <v>45821</v>
      </c>
      <c r="E691" t="s">
        <v>360</v>
      </c>
      <c r="F691" t="s">
        <v>696</v>
      </c>
      <c r="G691" t="s">
        <v>235</v>
      </c>
      <c r="H691" t="s">
        <v>20</v>
      </c>
      <c r="I691" t="s">
        <v>14</v>
      </c>
      <c r="J691" t="s">
        <v>111</v>
      </c>
      <c r="K691" t="s">
        <v>798</v>
      </c>
      <c r="L691" t="s">
        <v>799</v>
      </c>
      <c r="M691" t="s">
        <v>818</v>
      </c>
      <c r="N691">
        <v>1</v>
      </c>
      <c r="O691" s="3">
        <v>19.850000000000001</v>
      </c>
      <c r="P691" s="3">
        <v>28.78</v>
      </c>
      <c r="Q691" s="6">
        <v>0.1</v>
      </c>
      <c r="R691" s="3">
        <v>25.902000000000001</v>
      </c>
      <c r="S691" t="s">
        <v>1017</v>
      </c>
    </row>
    <row r="692" spans="1:19" x14ac:dyDescent="0.35">
      <c r="A692" t="s">
        <v>2120</v>
      </c>
      <c r="B692" t="s">
        <v>355</v>
      </c>
      <c r="C692" s="5">
        <v>45480</v>
      </c>
      <c r="D692" s="5">
        <v>45489</v>
      </c>
      <c r="E692" t="s">
        <v>356</v>
      </c>
      <c r="F692" t="s">
        <v>627</v>
      </c>
      <c r="G692" t="s">
        <v>264</v>
      </c>
      <c r="H692" t="s">
        <v>797</v>
      </c>
      <c r="I692" t="s">
        <v>43</v>
      </c>
      <c r="J692" t="s">
        <v>146</v>
      </c>
      <c r="K692" t="s">
        <v>798</v>
      </c>
      <c r="L692" t="s">
        <v>799</v>
      </c>
      <c r="M692" t="s">
        <v>818</v>
      </c>
      <c r="N692">
        <v>10</v>
      </c>
      <c r="O692" s="3">
        <v>24.05</v>
      </c>
      <c r="P692" s="3">
        <v>31.27</v>
      </c>
      <c r="Q692" s="6">
        <v>0.1</v>
      </c>
      <c r="R692" s="3">
        <v>281.43</v>
      </c>
      <c r="S692" t="s">
        <v>1001</v>
      </c>
    </row>
    <row r="693" spans="1:19" x14ac:dyDescent="0.35">
      <c r="A693" t="s">
        <v>2122</v>
      </c>
      <c r="B693" t="s">
        <v>386</v>
      </c>
      <c r="C693" s="5">
        <v>45557</v>
      </c>
      <c r="E693" t="s">
        <v>387</v>
      </c>
      <c r="F693" t="s">
        <v>633</v>
      </c>
      <c r="G693" t="s">
        <v>243</v>
      </c>
      <c r="H693" t="s">
        <v>20</v>
      </c>
      <c r="I693" t="s">
        <v>79</v>
      </c>
      <c r="J693" t="s">
        <v>88</v>
      </c>
      <c r="K693" t="s">
        <v>798</v>
      </c>
      <c r="L693" t="s">
        <v>787</v>
      </c>
      <c r="M693" t="s">
        <v>842</v>
      </c>
      <c r="N693">
        <v>3</v>
      </c>
      <c r="O693" s="3">
        <v>11.82</v>
      </c>
      <c r="P693" s="3">
        <v>17.14</v>
      </c>
      <c r="Q693" s="6">
        <v>0.1</v>
      </c>
      <c r="R693" s="3">
        <v>46.277999999999999</v>
      </c>
      <c r="S693" t="s">
        <v>794</v>
      </c>
    </row>
    <row r="694" spans="1:19" x14ac:dyDescent="0.35">
      <c r="A694" t="s">
        <v>2123</v>
      </c>
      <c r="B694" t="s">
        <v>565</v>
      </c>
      <c r="C694" s="5">
        <v>45590</v>
      </c>
      <c r="E694" t="s">
        <v>566</v>
      </c>
      <c r="F694" t="s">
        <v>674</v>
      </c>
      <c r="H694" t="s">
        <v>48</v>
      </c>
      <c r="I694" t="s">
        <v>79</v>
      </c>
      <c r="J694" t="s">
        <v>77</v>
      </c>
      <c r="K694" t="s">
        <v>798</v>
      </c>
      <c r="L694" t="s">
        <v>787</v>
      </c>
      <c r="M694" t="s">
        <v>842</v>
      </c>
      <c r="N694">
        <v>3</v>
      </c>
      <c r="O694" s="3">
        <v>13.71</v>
      </c>
      <c r="P694" s="3">
        <v>17.82</v>
      </c>
      <c r="Q694" s="6">
        <v>0.15</v>
      </c>
      <c r="R694" s="3">
        <v>45.441000000000003</v>
      </c>
      <c r="S694" t="s">
        <v>794</v>
      </c>
    </row>
    <row r="695" spans="1:19" x14ac:dyDescent="0.35">
      <c r="A695" t="s">
        <v>2124</v>
      </c>
      <c r="B695" t="s">
        <v>331</v>
      </c>
      <c r="C695" s="5">
        <v>45507</v>
      </c>
      <c r="E695" t="s">
        <v>332</v>
      </c>
      <c r="F695" t="s">
        <v>254</v>
      </c>
      <c r="G695" t="s">
        <v>264</v>
      </c>
      <c r="H695" t="s">
        <v>14</v>
      </c>
      <c r="I695" t="s">
        <v>14</v>
      </c>
      <c r="J695" t="s">
        <v>60</v>
      </c>
      <c r="K695" t="s">
        <v>798</v>
      </c>
      <c r="L695" t="s">
        <v>817</v>
      </c>
      <c r="M695" t="s">
        <v>800</v>
      </c>
      <c r="N695">
        <v>3</v>
      </c>
      <c r="O695" s="3">
        <v>18.18</v>
      </c>
      <c r="P695" s="3">
        <v>24.54</v>
      </c>
      <c r="Q695" s="6">
        <v>0</v>
      </c>
      <c r="R695" s="3">
        <v>73.62</v>
      </c>
      <c r="S695" t="s">
        <v>1001</v>
      </c>
    </row>
    <row r="696" spans="1:19" x14ac:dyDescent="0.35">
      <c r="A696" t="s">
        <v>2125</v>
      </c>
      <c r="B696" t="s">
        <v>595</v>
      </c>
      <c r="C696" s="5">
        <v>45854</v>
      </c>
      <c r="E696" t="s">
        <v>253</v>
      </c>
      <c r="F696" t="s">
        <v>674</v>
      </c>
      <c r="G696" t="s">
        <v>235</v>
      </c>
      <c r="H696" t="s">
        <v>797</v>
      </c>
      <c r="I696" t="s">
        <v>38</v>
      </c>
      <c r="J696" t="s">
        <v>36</v>
      </c>
      <c r="K696" t="s">
        <v>798</v>
      </c>
      <c r="L696" t="s">
        <v>793</v>
      </c>
      <c r="M696" t="s">
        <v>842</v>
      </c>
      <c r="N696">
        <v>3</v>
      </c>
      <c r="O696" s="3">
        <v>8.57</v>
      </c>
      <c r="P696" s="3">
        <v>11.14</v>
      </c>
      <c r="Q696" s="6">
        <v>0.15</v>
      </c>
      <c r="R696" s="3">
        <v>28.407000000000004</v>
      </c>
      <c r="S696" t="s">
        <v>839</v>
      </c>
    </row>
    <row r="697" spans="1:19" x14ac:dyDescent="0.35">
      <c r="A697" t="s">
        <v>2126</v>
      </c>
      <c r="B697" t="s">
        <v>599</v>
      </c>
      <c r="C697" s="5">
        <v>45656</v>
      </c>
      <c r="D697" s="5">
        <v>45663</v>
      </c>
      <c r="E697" t="s">
        <v>600</v>
      </c>
      <c r="F697" t="s">
        <v>633</v>
      </c>
      <c r="G697" t="s">
        <v>243</v>
      </c>
      <c r="H697" t="s">
        <v>797</v>
      </c>
      <c r="I697" t="s">
        <v>29</v>
      </c>
      <c r="J697" t="s">
        <v>49</v>
      </c>
      <c r="K697" t="s">
        <v>786</v>
      </c>
      <c r="L697" t="s">
        <v>799</v>
      </c>
      <c r="M697" t="s">
        <v>842</v>
      </c>
      <c r="N697">
        <v>10</v>
      </c>
      <c r="O697" s="3">
        <v>14.89</v>
      </c>
      <c r="P697" s="3">
        <v>20.85</v>
      </c>
      <c r="Q697" s="6">
        <v>0.15</v>
      </c>
      <c r="R697" s="3">
        <v>177.22499999999999</v>
      </c>
      <c r="S697" t="s">
        <v>1001</v>
      </c>
    </row>
    <row r="698" spans="1:19" x14ac:dyDescent="0.35">
      <c r="A698" t="s">
        <v>2127</v>
      </c>
      <c r="B698" t="s">
        <v>561</v>
      </c>
      <c r="C698" s="5">
        <v>45961</v>
      </c>
      <c r="D698" s="5">
        <v>45971</v>
      </c>
      <c r="E698" t="s">
        <v>562</v>
      </c>
      <c r="F698" t="s">
        <v>681</v>
      </c>
      <c r="G698" t="s">
        <v>243</v>
      </c>
      <c r="H698" t="s">
        <v>14</v>
      </c>
      <c r="I698" t="s">
        <v>43</v>
      </c>
      <c r="J698" t="s">
        <v>171</v>
      </c>
      <c r="K698" t="s">
        <v>798</v>
      </c>
      <c r="L698" t="s">
        <v>799</v>
      </c>
      <c r="M698" t="s">
        <v>800</v>
      </c>
      <c r="N698">
        <v>1</v>
      </c>
      <c r="O698" s="3">
        <v>29.39</v>
      </c>
      <c r="P698" s="3">
        <v>39.68</v>
      </c>
      <c r="Q698" s="6">
        <v>0</v>
      </c>
      <c r="R698" s="3">
        <v>39.68</v>
      </c>
      <c r="S698" t="s">
        <v>963</v>
      </c>
    </row>
    <row r="699" spans="1:19" x14ac:dyDescent="0.35">
      <c r="A699" t="s">
        <v>2128</v>
      </c>
      <c r="B699" t="s">
        <v>354</v>
      </c>
      <c r="C699" s="5">
        <v>45936</v>
      </c>
      <c r="E699" t="s">
        <v>321</v>
      </c>
      <c r="F699" t="s">
        <v>696</v>
      </c>
      <c r="G699" t="s">
        <v>243</v>
      </c>
      <c r="H699" t="s">
        <v>797</v>
      </c>
      <c r="I699" t="s">
        <v>14</v>
      </c>
      <c r="J699" t="s">
        <v>12</v>
      </c>
      <c r="K699" t="s">
        <v>798</v>
      </c>
      <c r="L699" t="s">
        <v>793</v>
      </c>
      <c r="M699" t="s">
        <v>818</v>
      </c>
      <c r="N699">
        <v>5</v>
      </c>
      <c r="O699" s="3">
        <v>35.03</v>
      </c>
      <c r="P699" s="3">
        <v>50.79</v>
      </c>
      <c r="Q699" s="6">
        <v>0</v>
      </c>
      <c r="R699" s="3">
        <v>253.95</v>
      </c>
      <c r="S699" t="s">
        <v>819</v>
      </c>
    </row>
    <row r="700" spans="1:19" x14ac:dyDescent="0.35">
      <c r="A700" t="s">
        <v>2129</v>
      </c>
      <c r="B700" t="s">
        <v>369</v>
      </c>
      <c r="C700" s="5">
        <v>45477</v>
      </c>
      <c r="D700" s="5">
        <v>45478</v>
      </c>
      <c r="E700" t="s">
        <v>282</v>
      </c>
      <c r="F700" t="s">
        <v>637</v>
      </c>
      <c r="G700" t="s">
        <v>243</v>
      </c>
      <c r="H700" t="s">
        <v>20</v>
      </c>
      <c r="I700" t="s">
        <v>20</v>
      </c>
      <c r="J700" t="s">
        <v>159</v>
      </c>
      <c r="K700" t="s">
        <v>813</v>
      </c>
      <c r="L700" t="s">
        <v>799</v>
      </c>
      <c r="M700" t="s">
        <v>788</v>
      </c>
      <c r="N700">
        <v>10</v>
      </c>
      <c r="O700" s="3">
        <v>8.2200000000000006</v>
      </c>
      <c r="P700" s="3">
        <v>11.1</v>
      </c>
      <c r="Q700" s="6">
        <v>0.15</v>
      </c>
      <c r="R700" s="3">
        <v>94.35</v>
      </c>
      <c r="S700" t="s">
        <v>859</v>
      </c>
    </row>
    <row r="701" spans="1:19" x14ac:dyDescent="0.35">
      <c r="A701" t="s">
        <v>2131</v>
      </c>
      <c r="B701" t="s">
        <v>366</v>
      </c>
      <c r="C701" s="5">
        <v>45609</v>
      </c>
      <c r="E701" t="s">
        <v>245</v>
      </c>
      <c r="F701" t="s">
        <v>637</v>
      </c>
      <c r="G701" t="s">
        <v>243</v>
      </c>
      <c r="H701" t="s">
        <v>797</v>
      </c>
      <c r="I701" t="s">
        <v>43</v>
      </c>
      <c r="J701" t="s">
        <v>44</v>
      </c>
      <c r="K701" t="s">
        <v>798</v>
      </c>
      <c r="L701" t="s">
        <v>787</v>
      </c>
      <c r="M701" t="s">
        <v>842</v>
      </c>
      <c r="N701">
        <v>3</v>
      </c>
      <c r="O701" s="3">
        <v>14.05</v>
      </c>
      <c r="P701" s="3">
        <v>19.670000000000002</v>
      </c>
      <c r="Q701" s="6">
        <v>0.05</v>
      </c>
      <c r="R701" s="3">
        <v>56.059500000000007</v>
      </c>
      <c r="S701" t="s">
        <v>794</v>
      </c>
    </row>
    <row r="702" spans="1:19" x14ac:dyDescent="0.35">
      <c r="A702" t="s">
        <v>2132</v>
      </c>
      <c r="B702" t="s">
        <v>469</v>
      </c>
      <c r="C702" s="5">
        <v>45757</v>
      </c>
      <c r="D702" s="5">
        <v>45764</v>
      </c>
      <c r="E702" t="s">
        <v>470</v>
      </c>
      <c r="F702" t="s">
        <v>254</v>
      </c>
      <c r="G702" t="s">
        <v>235</v>
      </c>
      <c r="H702" t="s">
        <v>20</v>
      </c>
      <c r="I702" t="s">
        <v>29</v>
      </c>
      <c r="J702" t="s">
        <v>191</v>
      </c>
      <c r="K702" t="s">
        <v>813</v>
      </c>
      <c r="L702" t="s">
        <v>799</v>
      </c>
      <c r="M702" t="s">
        <v>842</v>
      </c>
      <c r="N702">
        <v>5</v>
      </c>
      <c r="O702" s="3">
        <v>11.26</v>
      </c>
      <c r="P702" s="3">
        <v>15.2</v>
      </c>
      <c r="Q702" s="6">
        <v>0.1</v>
      </c>
      <c r="R702" s="3">
        <v>68.400000000000006</v>
      </c>
      <c r="S702" t="s">
        <v>919</v>
      </c>
    </row>
    <row r="703" spans="1:19" x14ac:dyDescent="0.35">
      <c r="A703" t="s">
        <v>2133</v>
      </c>
      <c r="B703" t="s">
        <v>329</v>
      </c>
      <c r="C703" s="5">
        <v>45685</v>
      </c>
      <c r="D703" s="5">
        <v>45690</v>
      </c>
      <c r="E703" t="s">
        <v>330</v>
      </c>
      <c r="F703" t="s">
        <v>637</v>
      </c>
      <c r="G703" t="s">
        <v>235</v>
      </c>
      <c r="H703" t="s">
        <v>797</v>
      </c>
      <c r="I703" t="s">
        <v>20</v>
      </c>
      <c r="J703" t="s">
        <v>159</v>
      </c>
      <c r="K703" t="s">
        <v>786</v>
      </c>
      <c r="L703" t="s">
        <v>822</v>
      </c>
      <c r="M703" t="s">
        <v>788</v>
      </c>
      <c r="N703">
        <v>10</v>
      </c>
      <c r="O703" s="3">
        <v>8.2200000000000006</v>
      </c>
      <c r="P703" s="3">
        <v>11.1</v>
      </c>
      <c r="Q703" s="6">
        <v>0</v>
      </c>
      <c r="R703" s="3">
        <v>111</v>
      </c>
      <c r="S703" t="s">
        <v>834</v>
      </c>
    </row>
    <row r="704" spans="1:19" x14ac:dyDescent="0.35">
      <c r="A704" t="s">
        <v>2134</v>
      </c>
      <c r="B704" t="s">
        <v>552</v>
      </c>
      <c r="C704" s="5">
        <v>45438</v>
      </c>
      <c r="D704" s="5">
        <v>45442</v>
      </c>
      <c r="E704" t="s">
        <v>553</v>
      </c>
      <c r="F704" t="s">
        <v>254</v>
      </c>
      <c r="G704" t="s">
        <v>235</v>
      </c>
      <c r="H704" t="s">
        <v>20</v>
      </c>
      <c r="I704" t="s">
        <v>48</v>
      </c>
      <c r="J704" t="s">
        <v>217</v>
      </c>
      <c r="K704" t="s">
        <v>813</v>
      </c>
      <c r="L704" t="s">
        <v>799</v>
      </c>
      <c r="M704" t="s">
        <v>800</v>
      </c>
      <c r="N704">
        <v>10</v>
      </c>
      <c r="O704" s="3">
        <v>24.07</v>
      </c>
      <c r="P704" s="3">
        <v>34.9</v>
      </c>
      <c r="Q704" s="6">
        <v>0.15</v>
      </c>
      <c r="R704" s="3">
        <v>296.64999999999998</v>
      </c>
      <c r="S704" t="s">
        <v>834</v>
      </c>
    </row>
    <row r="705" spans="1:19" x14ac:dyDescent="0.35">
      <c r="A705" t="s">
        <v>2137</v>
      </c>
      <c r="B705" t="s">
        <v>609</v>
      </c>
      <c r="C705" s="5">
        <v>45434</v>
      </c>
      <c r="E705" t="s">
        <v>610</v>
      </c>
      <c r="F705" t="s">
        <v>627</v>
      </c>
      <c r="H705" t="s">
        <v>20</v>
      </c>
      <c r="I705" t="s">
        <v>43</v>
      </c>
      <c r="J705" t="s">
        <v>113</v>
      </c>
      <c r="K705" t="s">
        <v>786</v>
      </c>
      <c r="L705" t="s">
        <v>793</v>
      </c>
      <c r="M705" t="s">
        <v>818</v>
      </c>
      <c r="N705">
        <v>10</v>
      </c>
      <c r="O705" s="3">
        <v>16.91</v>
      </c>
      <c r="P705" s="3">
        <v>21.14</v>
      </c>
      <c r="Q705" s="6">
        <v>0</v>
      </c>
      <c r="R705" s="3">
        <v>211.4</v>
      </c>
      <c r="S705" t="s">
        <v>794</v>
      </c>
    </row>
    <row r="706" spans="1:19" x14ac:dyDescent="0.35">
      <c r="A706" t="s">
        <v>2138</v>
      </c>
      <c r="B706" t="s">
        <v>585</v>
      </c>
      <c r="C706" s="5">
        <v>45349</v>
      </c>
      <c r="D706" s="5">
        <v>45351</v>
      </c>
      <c r="E706" t="s">
        <v>586</v>
      </c>
      <c r="F706" t="s">
        <v>633</v>
      </c>
      <c r="G706" t="s">
        <v>235</v>
      </c>
      <c r="H706" t="s">
        <v>14</v>
      </c>
      <c r="I706" t="s">
        <v>20</v>
      </c>
      <c r="J706" t="s">
        <v>119</v>
      </c>
      <c r="K706" t="s">
        <v>813</v>
      </c>
      <c r="L706" t="s">
        <v>799</v>
      </c>
      <c r="M706" t="s">
        <v>842</v>
      </c>
      <c r="N706">
        <v>5</v>
      </c>
      <c r="O706" s="3">
        <v>40.94</v>
      </c>
      <c r="P706" s="3">
        <v>53.22</v>
      </c>
      <c r="Q706" s="6">
        <v>0.1</v>
      </c>
      <c r="R706" s="3">
        <v>239.49</v>
      </c>
      <c r="S706" t="s">
        <v>859</v>
      </c>
    </row>
    <row r="707" spans="1:19" x14ac:dyDescent="0.35">
      <c r="A707" t="s">
        <v>2139</v>
      </c>
      <c r="B707" t="s">
        <v>347</v>
      </c>
      <c r="C707" s="5">
        <v>45815</v>
      </c>
      <c r="E707" t="s">
        <v>348</v>
      </c>
      <c r="F707" t="s">
        <v>254</v>
      </c>
      <c r="G707" t="s">
        <v>243</v>
      </c>
      <c r="H707" t="s">
        <v>48</v>
      </c>
      <c r="I707" t="s">
        <v>8</v>
      </c>
      <c r="J707" t="s">
        <v>21</v>
      </c>
      <c r="K707" t="s">
        <v>813</v>
      </c>
      <c r="L707" t="s">
        <v>793</v>
      </c>
      <c r="M707" t="s">
        <v>788</v>
      </c>
      <c r="N707">
        <v>2</v>
      </c>
      <c r="O707" s="3">
        <v>21.57</v>
      </c>
      <c r="P707" s="3">
        <v>26.96</v>
      </c>
      <c r="Q707" s="6">
        <v>0</v>
      </c>
      <c r="R707" s="3">
        <v>53.92</v>
      </c>
      <c r="S707" t="s">
        <v>869</v>
      </c>
    </row>
    <row r="708" spans="1:19" x14ac:dyDescent="0.35">
      <c r="A708" t="s">
        <v>2140</v>
      </c>
      <c r="B708" t="s">
        <v>582</v>
      </c>
      <c r="C708" s="5">
        <v>45585</v>
      </c>
      <c r="D708" s="5">
        <v>45589</v>
      </c>
      <c r="E708" t="s">
        <v>583</v>
      </c>
      <c r="F708" t="s">
        <v>696</v>
      </c>
      <c r="G708" t="s">
        <v>264</v>
      </c>
      <c r="H708" t="s">
        <v>14</v>
      </c>
      <c r="I708" t="s">
        <v>48</v>
      </c>
      <c r="J708" t="s">
        <v>148</v>
      </c>
      <c r="K708" t="s">
        <v>798</v>
      </c>
      <c r="L708" t="s">
        <v>822</v>
      </c>
      <c r="M708" t="s">
        <v>818</v>
      </c>
      <c r="N708">
        <v>10</v>
      </c>
      <c r="O708" s="3">
        <v>58.01</v>
      </c>
      <c r="P708" s="3">
        <v>72.510000000000005</v>
      </c>
      <c r="Q708" s="6">
        <v>0</v>
      </c>
      <c r="R708" s="3">
        <v>725.1</v>
      </c>
      <c r="S708" t="s">
        <v>919</v>
      </c>
    </row>
    <row r="709" spans="1:19" x14ac:dyDescent="0.35">
      <c r="A709" t="s">
        <v>2141</v>
      </c>
      <c r="B709" t="s">
        <v>449</v>
      </c>
      <c r="C709" s="5">
        <v>45396</v>
      </c>
      <c r="D709" s="5">
        <v>45399</v>
      </c>
      <c r="E709" t="s">
        <v>450</v>
      </c>
      <c r="F709" t="s">
        <v>254</v>
      </c>
      <c r="G709" t="s">
        <v>235</v>
      </c>
      <c r="H709" t="s">
        <v>14</v>
      </c>
      <c r="I709" t="s">
        <v>8</v>
      </c>
      <c r="J709" t="s">
        <v>181</v>
      </c>
      <c r="K709" t="s">
        <v>813</v>
      </c>
      <c r="L709" t="s">
        <v>822</v>
      </c>
      <c r="M709" t="s">
        <v>842</v>
      </c>
      <c r="N709">
        <v>2</v>
      </c>
      <c r="O709" s="3">
        <v>20.49</v>
      </c>
      <c r="P709" s="3">
        <v>29.71</v>
      </c>
      <c r="Q709" s="6">
        <v>0</v>
      </c>
      <c r="R709" s="3">
        <v>59.42</v>
      </c>
      <c r="S709" t="s">
        <v>946</v>
      </c>
    </row>
    <row r="710" spans="1:19" x14ac:dyDescent="0.35">
      <c r="A710" t="s">
        <v>2142</v>
      </c>
      <c r="B710" t="s">
        <v>524</v>
      </c>
      <c r="C710" s="5">
        <v>45474</v>
      </c>
      <c r="E710" t="s">
        <v>484</v>
      </c>
      <c r="F710" t="s">
        <v>633</v>
      </c>
      <c r="H710" t="s">
        <v>14</v>
      </c>
      <c r="I710" t="s">
        <v>48</v>
      </c>
      <c r="J710" t="s">
        <v>54</v>
      </c>
      <c r="K710" t="s">
        <v>798</v>
      </c>
      <c r="L710" t="s">
        <v>787</v>
      </c>
      <c r="M710" t="s">
        <v>800</v>
      </c>
      <c r="N710">
        <v>10</v>
      </c>
      <c r="O710" s="3">
        <v>21.67</v>
      </c>
      <c r="P710" s="3">
        <v>28.17</v>
      </c>
      <c r="Q710" s="6">
        <v>0.1</v>
      </c>
      <c r="R710" s="3">
        <v>253.53000000000003</v>
      </c>
      <c r="S710" t="s">
        <v>859</v>
      </c>
    </row>
    <row r="711" spans="1:19" x14ac:dyDescent="0.35">
      <c r="A711" t="s">
        <v>2143</v>
      </c>
      <c r="B711" t="s">
        <v>409</v>
      </c>
      <c r="C711" s="5">
        <v>45648</v>
      </c>
      <c r="D711" s="5">
        <v>45651</v>
      </c>
      <c r="E711" t="s">
        <v>410</v>
      </c>
      <c r="F711" t="s">
        <v>696</v>
      </c>
      <c r="G711" t="s">
        <v>235</v>
      </c>
      <c r="H711" t="s">
        <v>14</v>
      </c>
      <c r="I711" t="s">
        <v>14</v>
      </c>
      <c r="J711" t="s">
        <v>60</v>
      </c>
      <c r="K711" t="s">
        <v>786</v>
      </c>
      <c r="L711" t="s">
        <v>799</v>
      </c>
      <c r="M711" t="s">
        <v>842</v>
      </c>
      <c r="N711">
        <v>1</v>
      </c>
      <c r="O711" s="3">
        <v>18.18</v>
      </c>
      <c r="P711" s="3">
        <v>24.54</v>
      </c>
      <c r="Q711" s="6">
        <v>0</v>
      </c>
      <c r="R711" s="3">
        <v>24.54</v>
      </c>
      <c r="S711" t="s">
        <v>888</v>
      </c>
    </row>
    <row r="712" spans="1:19" x14ac:dyDescent="0.35">
      <c r="A712" t="s">
        <v>2144</v>
      </c>
      <c r="B712" t="s">
        <v>463</v>
      </c>
      <c r="C712" s="5">
        <v>45619</v>
      </c>
      <c r="D712" s="5">
        <v>45626</v>
      </c>
      <c r="E712" t="s">
        <v>464</v>
      </c>
      <c r="F712" t="s">
        <v>696</v>
      </c>
      <c r="G712" t="s">
        <v>264</v>
      </c>
      <c r="H712" t="s">
        <v>20</v>
      </c>
      <c r="I712" t="s">
        <v>48</v>
      </c>
      <c r="J712" t="s">
        <v>135</v>
      </c>
      <c r="K712" t="s">
        <v>786</v>
      </c>
      <c r="L712" t="s">
        <v>799</v>
      </c>
      <c r="M712" t="s">
        <v>842</v>
      </c>
      <c r="N712">
        <v>10</v>
      </c>
      <c r="O712" s="3">
        <v>51.72</v>
      </c>
      <c r="P712" s="3">
        <v>67.239999999999995</v>
      </c>
      <c r="Q712" s="6">
        <v>0</v>
      </c>
      <c r="R712" s="3">
        <v>672.4</v>
      </c>
      <c r="S712" t="s">
        <v>803</v>
      </c>
    </row>
    <row r="713" spans="1:19" x14ac:dyDescent="0.35">
      <c r="A713" t="s">
        <v>2146</v>
      </c>
      <c r="B713" t="s">
        <v>351</v>
      </c>
      <c r="C713" s="5">
        <v>46036</v>
      </c>
      <c r="D713" s="5">
        <v>46043</v>
      </c>
      <c r="E713" t="s">
        <v>352</v>
      </c>
      <c r="F713" t="s">
        <v>254</v>
      </c>
      <c r="G713" t="s">
        <v>264</v>
      </c>
      <c r="H713" t="s">
        <v>797</v>
      </c>
      <c r="I713" t="s">
        <v>14</v>
      </c>
      <c r="J713" t="s">
        <v>12</v>
      </c>
      <c r="K713" t="s">
        <v>813</v>
      </c>
      <c r="L713" t="s">
        <v>799</v>
      </c>
      <c r="M713" t="s">
        <v>800</v>
      </c>
      <c r="N713">
        <v>1</v>
      </c>
      <c r="O713" s="3">
        <v>35.03</v>
      </c>
      <c r="P713" s="3">
        <v>50.79</v>
      </c>
      <c r="Q713" s="6">
        <v>0</v>
      </c>
      <c r="R713" s="3">
        <v>50.79</v>
      </c>
      <c r="S713" t="s">
        <v>819</v>
      </c>
    </row>
    <row r="714" spans="1:19" x14ac:dyDescent="0.35">
      <c r="A714" t="s">
        <v>2147</v>
      </c>
      <c r="B714" t="s">
        <v>554</v>
      </c>
      <c r="C714" s="5">
        <v>45784</v>
      </c>
      <c r="D714" s="5">
        <v>45793</v>
      </c>
      <c r="E714" t="s">
        <v>445</v>
      </c>
      <c r="F714" t="s">
        <v>637</v>
      </c>
      <c r="G714" t="s">
        <v>235</v>
      </c>
      <c r="H714" t="s">
        <v>14</v>
      </c>
      <c r="I714" t="s">
        <v>14</v>
      </c>
      <c r="J714" t="s">
        <v>167</v>
      </c>
      <c r="K714" t="s">
        <v>813</v>
      </c>
      <c r="L714" t="s">
        <v>822</v>
      </c>
      <c r="M714" t="s">
        <v>788</v>
      </c>
      <c r="N714">
        <v>5</v>
      </c>
      <c r="O714" s="3">
        <v>18.62</v>
      </c>
      <c r="P714" s="3">
        <v>26.07</v>
      </c>
      <c r="Q714" s="6">
        <v>0.05</v>
      </c>
      <c r="R714" s="3">
        <v>123.8325</v>
      </c>
      <c r="S714" t="s">
        <v>876</v>
      </c>
    </row>
    <row r="715" spans="1:19" x14ac:dyDescent="0.35">
      <c r="A715" t="s">
        <v>2148</v>
      </c>
      <c r="B715" t="s">
        <v>525</v>
      </c>
      <c r="C715" s="5">
        <v>45801</v>
      </c>
      <c r="E715" t="s">
        <v>526</v>
      </c>
      <c r="F715" t="s">
        <v>696</v>
      </c>
      <c r="G715" t="s">
        <v>243</v>
      </c>
      <c r="H715" t="s">
        <v>14</v>
      </c>
      <c r="I715" t="s">
        <v>43</v>
      </c>
      <c r="J715" t="s">
        <v>222</v>
      </c>
      <c r="K715" t="s">
        <v>786</v>
      </c>
      <c r="L715" t="s">
        <v>793</v>
      </c>
      <c r="M715" t="s">
        <v>818</v>
      </c>
      <c r="N715">
        <v>1</v>
      </c>
      <c r="O715" s="3">
        <v>37.1</v>
      </c>
      <c r="P715" s="3">
        <v>48.23</v>
      </c>
      <c r="Q715" s="6">
        <v>0.1</v>
      </c>
      <c r="R715" s="3">
        <v>43.406999999999996</v>
      </c>
      <c r="S715" t="s">
        <v>803</v>
      </c>
    </row>
    <row r="716" spans="1:19" x14ac:dyDescent="0.35">
      <c r="A716" t="s">
        <v>2149</v>
      </c>
      <c r="B716" t="s">
        <v>588</v>
      </c>
      <c r="C716" s="5">
        <v>46002</v>
      </c>
      <c r="E716" t="s">
        <v>435</v>
      </c>
      <c r="F716" t="s">
        <v>254</v>
      </c>
      <c r="G716" t="s">
        <v>264</v>
      </c>
      <c r="H716" t="s">
        <v>797</v>
      </c>
      <c r="I716" t="s">
        <v>38</v>
      </c>
      <c r="J716" t="s">
        <v>69</v>
      </c>
      <c r="K716" t="s">
        <v>813</v>
      </c>
      <c r="L716" t="s">
        <v>817</v>
      </c>
      <c r="M716" t="s">
        <v>842</v>
      </c>
      <c r="N716">
        <v>3</v>
      </c>
      <c r="O716" s="3">
        <v>20.9</v>
      </c>
      <c r="P716" s="3">
        <v>28.21</v>
      </c>
      <c r="Q716" s="6">
        <v>0</v>
      </c>
      <c r="R716" s="3">
        <v>84.63</v>
      </c>
      <c r="S716" t="s">
        <v>790</v>
      </c>
    </row>
    <row r="717" spans="1:19" x14ac:dyDescent="0.35">
      <c r="A717" t="s">
        <v>2150</v>
      </c>
      <c r="B717" t="s">
        <v>329</v>
      </c>
      <c r="C717" s="5">
        <v>45777</v>
      </c>
      <c r="D717" s="5">
        <v>45780</v>
      </c>
      <c r="E717" t="s">
        <v>330</v>
      </c>
      <c r="F717" t="s">
        <v>254</v>
      </c>
      <c r="G717" t="s">
        <v>235</v>
      </c>
      <c r="H717" t="s">
        <v>48</v>
      </c>
      <c r="I717" t="s">
        <v>38</v>
      </c>
      <c r="J717" t="s">
        <v>126</v>
      </c>
      <c r="K717" t="s">
        <v>798</v>
      </c>
      <c r="L717" t="s">
        <v>799</v>
      </c>
      <c r="M717" t="s">
        <v>788</v>
      </c>
      <c r="N717">
        <v>10</v>
      </c>
      <c r="O717" s="3">
        <v>41.95</v>
      </c>
      <c r="P717" s="3">
        <v>58.73</v>
      </c>
      <c r="Q717" s="6">
        <v>0</v>
      </c>
      <c r="R717" s="3">
        <v>587.29999999999995</v>
      </c>
      <c r="S717" t="s">
        <v>845</v>
      </c>
    </row>
    <row r="718" spans="1:19" x14ac:dyDescent="0.35">
      <c r="A718" t="s">
        <v>2151</v>
      </c>
      <c r="B718" t="s">
        <v>398</v>
      </c>
      <c r="C718" s="5">
        <v>45856</v>
      </c>
      <c r="E718" t="s">
        <v>399</v>
      </c>
      <c r="F718" t="s">
        <v>674</v>
      </c>
      <c r="G718" t="s">
        <v>264</v>
      </c>
      <c r="H718" t="s">
        <v>20</v>
      </c>
      <c r="I718" t="s">
        <v>38</v>
      </c>
      <c r="J718" t="s">
        <v>165</v>
      </c>
      <c r="K718" t="s">
        <v>813</v>
      </c>
      <c r="L718" t="s">
        <v>787</v>
      </c>
      <c r="M718" t="s">
        <v>788</v>
      </c>
      <c r="N718">
        <v>12</v>
      </c>
      <c r="O718" s="3">
        <v>18.45</v>
      </c>
      <c r="P718" s="3">
        <v>25.83</v>
      </c>
      <c r="Q718" s="6">
        <v>0.05</v>
      </c>
      <c r="R718" s="3">
        <v>294.46199999999999</v>
      </c>
      <c r="S718" t="s">
        <v>839</v>
      </c>
    </row>
    <row r="719" spans="1:19" x14ac:dyDescent="0.35">
      <c r="A719" t="s">
        <v>2152</v>
      </c>
      <c r="B719" t="s">
        <v>455</v>
      </c>
      <c r="C719" s="5">
        <v>46004</v>
      </c>
      <c r="E719" t="s">
        <v>456</v>
      </c>
      <c r="F719" t="s">
        <v>254</v>
      </c>
      <c r="G719" t="s">
        <v>264</v>
      </c>
      <c r="H719" t="s">
        <v>20</v>
      </c>
      <c r="I719" t="s">
        <v>43</v>
      </c>
      <c r="J719" t="s">
        <v>222</v>
      </c>
      <c r="K719" t="s">
        <v>798</v>
      </c>
      <c r="L719" t="s">
        <v>787</v>
      </c>
      <c r="M719" t="s">
        <v>788</v>
      </c>
      <c r="N719">
        <v>10</v>
      </c>
      <c r="O719" s="3">
        <v>37.1</v>
      </c>
      <c r="P719" s="3">
        <v>48.23</v>
      </c>
      <c r="Q719" s="6">
        <v>0</v>
      </c>
      <c r="R719" s="3">
        <v>482.29999999999995</v>
      </c>
      <c r="S719" t="s">
        <v>888</v>
      </c>
    </row>
    <row r="720" spans="1:19" x14ac:dyDescent="0.35">
      <c r="A720" t="s">
        <v>2153</v>
      </c>
      <c r="B720" t="s">
        <v>310</v>
      </c>
      <c r="C720" s="5">
        <v>45666</v>
      </c>
      <c r="D720" s="5">
        <v>45669</v>
      </c>
      <c r="E720" t="s">
        <v>311</v>
      </c>
      <c r="F720" t="s">
        <v>674</v>
      </c>
      <c r="G720" t="s">
        <v>264</v>
      </c>
      <c r="H720" t="s">
        <v>797</v>
      </c>
      <c r="I720" t="s">
        <v>48</v>
      </c>
      <c r="J720" t="s">
        <v>148</v>
      </c>
      <c r="K720" t="s">
        <v>798</v>
      </c>
      <c r="L720" t="s">
        <v>799</v>
      </c>
      <c r="M720" t="s">
        <v>788</v>
      </c>
      <c r="N720">
        <v>12</v>
      </c>
      <c r="O720" s="3">
        <v>58.01</v>
      </c>
      <c r="P720" s="3">
        <v>72.510000000000005</v>
      </c>
      <c r="Q720" s="6">
        <v>0</v>
      </c>
      <c r="R720" s="3">
        <v>870.12000000000012</v>
      </c>
      <c r="S720" t="s">
        <v>819</v>
      </c>
    </row>
    <row r="721" spans="1:19" x14ac:dyDescent="0.35">
      <c r="A721" t="s">
        <v>2154</v>
      </c>
      <c r="B721" t="s">
        <v>498</v>
      </c>
      <c r="C721" s="5">
        <v>45832</v>
      </c>
      <c r="D721" s="5">
        <v>45835</v>
      </c>
      <c r="E721" t="s">
        <v>499</v>
      </c>
      <c r="F721" t="s">
        <v>696</v>
      </c>
      <c r="G721" t="s">
        <v>235</v>
      </c>
      <c r="H721" t="s">
        <v>20</v>
      </c>
      <c r="I721" t="s">
        <v>38</v>
      </c>
      <c r="J721" t="s">
        <v>132</v>
      </c>
      <c r="K721" t="s">
        <v>798</v>
      </c>
      <c r="L721" t="s">
        <v>799</v>
      </c>
      <c r="M721" t="s">
        <v>842</v>
      </c>
      <c r="N721">
        <v>2</v>
      </c>
      <c r="O721" s="3">
        <v>12.71</v>
      </c>
      <c r="P721" s="3">
        <v>17.79</v>
      </c>
      <c r="Q721" s="6">
        <v>0</v>
      </c>
      <c r="R721" s="3">
        <v>35.58</v>
      </c>
      <c r="S721" t="s">
        <v>919</v>
      </c>
    </row>
    <row r="722" spans="1:19" x14ac:dyDescent="0.35">
      <c r="A722" t="s">
        <v>2155</v>
      </c>
      <c r="B722" t="s">
        <v>270</v>
      </c>
      <c r="C722" s="5">
        <v>45353</v>
      </c>
      <c r="E722" t="s">
        <v>231</v>
      </c>
      <c r="F722" t="s">
        <v>627</v>
      </c>
      <c r="G722" t="s">
        <v>235</v>
      </c>
      <c r="H722" t="s">
        <v>20</v>
      </c>
      <c r="I722" t="s">
        <v>8</v>
      </c>
      <c r="J722" t="s">
        <v>10</v>
      </c>
      <c r="K722" t="s">
        <v>798</v>
      </c>
      <c r="L722" t="s">
        <v>787</v>
      </c>
      <c r="M722" t="s">
        <v>818</v>
      </c>
      <c r="N722">
        <v>3</v>
      </c>
      <c r="O722" s="3">
        <v>22.74</v>
      </c>
      <c r="P722" s="3">
        <v>28.42</v>
      </c>
      <c r="Q722" s="6">
        <v>0.15</v>
      </c>
      <c r="R722" s="3">
        <v>72.471000000000004</v>
      </c>
      <c r="S722" t="s">
        <v>845</v>
      </c>
    </row>
    <row r="723" spans="1:19" x14ac:dyDescent="0.35">
      <c r="A723" t="s">
        <v>2156</v>
      </c>
      <c r="B723" t="s">
        <v>541</v>
      </c>
      <c r="C723" s="5">
        <v>45859</v>
      </c>
      <c r="D723" s="5">
        <v>45866</v>
      </c>
      <c r="E723" t="s">
        <v>542</v>
      </c>
      <c r="F723" t="s">
        <v>627</v>
      </c>
      <c r="G723" t="s">
        <v>235</v>
      </c>
      <c r="H723" t="s">
        <v>797</v>
      </c>
      <c r="I723" t="s">
        <v>38</v>
      </c>
      <c r="J723" t="s">
        <v>109</v>
      </c>
      <c r="K723" t="s">
        <v>798</v>
      </c>
      <c r="L723" t="s">
        <v>822</v>
      </c>
      <c r="M723" t="s">
        <v>800</v>
      </c>
      <c r="N723">
        <v>1</v>
      </c>
      <c r="O723" s="3">
        <v>29.32</v>
      </c>
      <c r="P723" s="3">
        <v>36.65</v>
      </c>
      <c r="Q723" s="6">
        <v>0</v>
      </c>
      <c r="R723" s="3">
        <v>36.65</v>
      </c>
      <c r="S723" t="s">
        <v>892</v>
      </c>
    </row>
    <row r="724" spans="1:19" x14ac:dyDescent="0.35">
      <c r="A724" t="s">
        <v>2157</v>
      </c>
      <c r="B724" t="s">
        <v>467</v>
      </c>
      <c r="C724" s="5">
        <v>45420</v>
      </c>
      <c r="D724" s="5">
        <v>45428</v>
      </c>
      <c r="E724" t="s">
        <v>468</v>
      </c>
      <c r="F724" t="s">
        <v>627</v>
      </c>
      <c r="G724" t="s">
        <v>235</v>
      </c>
      <c r="H724" t="s">
        <v>797</v>
      </c>
      <c r="I724" t="s">
        <v>43</v>
      </c>
      <c r="J724" t="s">
        <v>215</v>
      </c>
      <c r="K724" t="s">
        <v>798</v>
      </c>
      <c r="L724" t="s">
        <v>799</v>
      </c>
      <c r="M724" t="s">
        <v>842</v>
      </c>
      <c r="N724">
        <v>20</v>
      </c>
      <c r="O724" s="3">
        <v>28.96</v>
      </c>
      <c r="P724" s="3">
        <v>40.54</v>
      </c>
      <c r="Q724" s="6">
        <v>0.15</v>
      </c>
      <c r="R724" s="3">
        <v>689.18</v>
      </c>
      <c r="S724" t="s">
        <v>845</v>
      </c>
    </row>
    <row r="725" spans="1:19" x14ac:dyDescent="0.35">
      <c r="A725" t="s">
        <v>2158</v>
      </c>
      <c r="B725" t="s">
        <v>568</v>
      </c>
      <c r="C725" s="5">
        <v>45612</v>
      </c>
      <c r="D725" s="5">
        <v>45614</v>
      </c>
      <c r="E725" t="s">
        <v>360</v>
      </c>
      <c r="F725" t="s">
        <v>696</v>
      </c>
      <c r="H725" t="s">
        <v>20</v>
      </c>
      <c r="I725" t="s">
        <v>29</v>
      </c>
      <c r="J725" t="s">
        <v>27</v>
      </c>
      <c r="K725" t="s">
        <v>813</v>
      </c>
      <c r="L725" t="s">
        <v>799</v>
      </c>
      <c r="M725" t="s">
        <v>818</v>
      </c>
      <c r="N725">
        <v>20</v>
      </c>
      <c r="O725" s="3">
        <v>33.06</v>
      </c>
      <c r="P725" s="3">
        <v>47.94</v>
      </c>
      <c r="Q725" s="6">
        <v>0</v>
      </c>
      <c r="R725" s="3">
        <v>958.8</v>
      </c>
      <c r="S725" t="s">
        <v>1017</v>
      </c>
    </row>
    <row r="726" spans="1:19" x14ac:dyDescent="0.35">
      <c r="A726" t="s">
        <v>2159</v>
      </c>
      <c r="B726" t="s">
        <v>451</v>
      </c>
      <c r="C726" s="5">
        <v>45398</v>
      </c>
      <c r="E726" t="s">
        <v>368</v>
      </c>
      <c r="F726" t="s">
        <v>627</v>
      </c>
      <c r="G726" t="s">
        <v>264</v>
      </c>
      <c r="H726" t="s">
        <v>20</v>
      </c>
      <c r="I726" t="s">
        <v>8</v>
      </c>
      <c r="J726" t="s">
        <v>6</v>
      </c>
      <c r="K726" t="s">
        <v>798</v>
      </c>
      <c r="L726" t="s">
        <v>793</v>
      </c>
      <c r="M726" t="s">
        <v>788</v>
      </c>
      <c r="N726">
        <v>3</v>
      </c>
      <c r="O726" s="3">
        <v>32.24</v>
      </c>
      <c r="P726" s="3">
        <v>41.91</v>
      </c>
      <c r="Q726" s="6">
        <v>0.1</v>
      </c>
      <c r="R726" s="3">
        <v>113.15699999999998</v>
      </c>
      <c r="S726" t="s">
        <v>919</v>
      </c>
    </row>
    <row r="727" spans="1:19" x14ac:dyDescent="0.35">
      <c r="A727" t="s">
        <v>2161</v>
      </c>
      <c r="B727" t="s">
        <v>551</v>
      </c>
      <c r="C727" s="5">
        <v>45358</v>
      </c>
      <c r="D727" s="5">
        <v>45360</v>
      </c>
      <c r="E727" t="s">
        <v>304</v>
      </c>
      <c r="F727" t="s">
        <v>254</v>
      </c>
      <c r="G727" t="s">
        <v>264</v>
      </c>
      <c r="H727" t="s">
        <v>20</v>
      </c>
      <c r="I727" t="s">
        <v>8</v>
      </c>
      <c r="J727" t="s">
        <v>65</v>
      </c>
      <c r="K727" t="s">
        <v>798</v>
      </c>
      <c r="L727" t="s">
        <v>799</v>
      </c>
      <c r="M727" t="s">
        <v>842</v>
      </c>
      <c r="N727">
        <v>12</v>
      </c>
      <c r="O727" s="3">
        <v>30.16</v>
      </c>
      <c r="P727" s="3">
        <v>40.72</v>
      </c>
      <c r="Q727" s="6">
        <v>0</v>
      </c>
      <c r="R727" s="3">
        <v>488.64</v>
      </c>
      <c r="S727" t="s">
        <v>1017</v>
      </c>
    </row>
    <row r="728" spans="1:19" x14ac:dyDescent="0.35">
      <c r="A728" t="s">
        <v>2162</v>
      </c>
      <c r="B728" t="s">
        <v>278</v>
      </c>
      <c r="C728" s="5">
        <v>45875</v>
      </c>
      <c r="E728" t="s">
        <v>279</v>
      </c>
      <c r="F728" t="s">
        <v>627</v>
      </c>
      <c r="G728" t="s">
        <v>235</v>
      </c>
      <c r="H728" t="s">
        <v>48</v>
      </c>
      <c r="I728" t="s">
        <v>38</v>
      </c>
      <c r="J728" t="s">
        <v>82</v>
      </c>
      <c r="K728" t="s">
        <v>798</v>
      </c>
      <c r="L728" t="s">
        <v>787</v>
      </c>
      <c r="M728" t="s">
        <v>842</v>
      </c>
      <c r="N728">
        <v>5</v>
      </c>
      <c r="O728" s="3">
        <v>12.54</v>
      </c>
      <c r="P728" s="3">
        <v>16.93</v>
      </c>
      <c r="Q728" s="6">
        <v>0</v>
      </c>
      <c r="R728" s="3">
        <v>84.65</v>
      </c>
      <c r="S728" t="s">
        <v>839</v>
      </c>
    </row>
    <row r="729" spans="1:19" x14ac:dyDescent="0.35">
      <c r="A729" t="s">
        <v>2163</v>
      </c>
      <c r="B729" t="s">
        <v>466</v>
      </c>
      <c r="C729" s="5">
        <v>45657</v>
      </c>
      <c r="D729" s="5">
        <v>45659</v>
      </c>
      <c r="E729" t="s">
        <v>441</v>
      </c>
      <c r="F729" t="s">
        <v>627</v>
      </c>
      <c r="G729" t="s">
        <v>235</v>
      </c>
      <c r="H729" t="s">
        <v>797</v>
      </c>
      <c r="I729" t="s">
        <v>48</v>
      </c>
      <c r="J729" t="s">
        <v>148</v>
      </c>
      <c r="K729" t="s">
        <v>786</v>
      </c>
      <c r="L729" t="s">
        <v>799</v>
      </c>
      <c r="M729" t="s">
        <v>788</v>
      </c>
      <c r="N729">
        <v>5</v>
      </c>
      <c r="O729" s="3">
        <v>58.01</v>
      </c>
      <c r="P729" s="3">
        <v>72.510000000000005</v>
      </c>
      <c r="Q729" s="6">
        <v>0.15</v>
      </c>
      <c r="R729" s="3">
        <v>308.16750000000002</v>
      </c>
      <c r="S729" t="s">
        <v>825</v>
      </c>
    </row>
    <row r="730" spans="1:19" x14ac:dyDescent="0.35">
      <c r="A730" t="s">
        <v>2164</v>
      </c>
      <c r="B730" t="s">
        <v>603</v>
      </c>
      <c r="C730" s="5">
        <v>45631</v>
      </c>
      <c r="E730" t="s">
        <v>508</v>
      </c>
      <c r="F730" t="s">
        <v>627</v>
      </c>
      <c r="G730" t="s">
        <v>264</v>
      </c>
      <c r="H730" t="s">
        <v>797</v>
      </c>
      <c r="I730" t="s">
        <v>43</v>
      </c>
      <c r="J730" t="s">
        <v>99</v>
      </c>
      <c r="K730" t="s">
        <v>786</v>
      </c>
      <c r="L730" t="s">
        <v>787</v>
      </c>
      <c r="M730" t="s">
        <v>818</v>
      </c>
      <c r="N730">
        <v>1</v>
      </c>
      <c r="O730" s="3">
        <v>10.88</v>
      </c>
      <c r="P730" s="3">
        <v>15.78</v>
      </c>
      <c r="Q730" s="6">
        <v>0.05</v>
      </c>
      <c r="R730" s="3">
        <v>14.991</v>
      </c>
      <c r="S730" t="s">
        <v>803</v>
      </c>
    </row>
    <row r="731" spans="1:19" x14ac:dyDescent="0.35">
      <c r="A731" t="s">
        <v>2165</v>
      </c>
      <c r="B731" t="s">
        <v>358</v>
      </c>
      <c r="C731" s="5">
        <v>45330</v>
      </c>
      <c r="D731" s="5">
        <v>45333</v>
      </c>
      <c r="E731" t="s">
        <v>287</v>
      </c>
      <c r="F731" t="s">
        <v>674</v>
      </c>
      <c r="G731" t="s">
        <v>243</v>
      </c>
      <c r="H731" t="s">
        <v>14</v>
      </c>
      <c r="I731" t="s">
        <v>14</v>
      </c>
      <c r="J731" t="s">
        <v>90</v>
      </c>
      <c r="K731" t="s">
        <v>813</v>
      </c>
      <c r="L731" t="s">
        <v>799</v>
      </c>
      <c r="M731" t="s">
        <v>788</v>
      </c>
      <c r="N731">
        <v>2</v>
      </c>
      <c r="O731" s="3">
        <v>27.34</v>
      </c>
      <c r="P731" s="3">
        <v>39.64</v>
      </c>
      <c r="Q731" s="6">
        <v>0</v>
      </c>
      <c r="R731" s="3">
        <v>79.28</v>
      </c>
      <c r="S731" t="s">
        <v>825</v>
      </c>
    </row>
    <row r="732" spans="1:19" x14ac:dyDescent="0.35">
      <c r="A732" t="s">
        <v>2166</v>
      </c>
      <c r="B732" t="s">
        <v>511</v>
      </c>
      <c r="C732" s="5">
        <v>46027</v>
      </c>
      <c r="D732" s="5">
        <v>46033</v>
      </c>
      <c r="E732" t="s">
        <v>512</v>
      </c>
      <c r="F732" t="s">
        <v>627</v>
      </c>
      <c r="G732" t="s">
        <v>264</v>
      </c>
      <c r="H732" t="s">
        <v>48</v>
      </c>
      <c r="I732" t="s">
        <v>38</v>
      </c>
      <c r="J732" t="s">
        <v>126</v>
      </c>
      <c r="K732" t="s">
        <v>798</v>
      </c>
      <c r="L732" t="s">
        <v>799</v>
      </c>
      <c r="M732" t="s">
        <v>800</v>
      </c>
      <c r="N732">
        <v>5</v>
      </c>
      <c r="O732" s="3">
        <v>41.95</v>
      </c>
      <c r="P732" s="3">
        <v>58.73</v>
      </c>
      <c r="Q732" s="6">
        <v>0.05</v>
      </c>
      <c r="R732" s="3">
        <v>278.96749999999997</v>
      </c>
      <c r="S732" t="s">
        <v>888</v>
      </c>
    </row>
    <row r="733" spans="1:19" x14ac:dyDescent="0.35">
      <c r="A733" t="s">
        <v>2167</v>
      </c>
      <c r="B733" t="s">
        <v>560</v>
      </c>
      <c r="C733" s="5">
        <v>45589</v>
      </c>
      <c r="D733" s="5">
        <v>45599</v>
      </c>
      <c r="E733" t="s">
        <v>292</v>
      </c>
      <c r="F733" t="s">
        <v>637</v>
      </c>
      <c r="G733" t="s">
        <v>264</v>
      </c>
      <c r="H733" t="s">
        <v>48</v>
      </c>
      <c r="I733" t="s">
        <v>43</v>
      </c>
      <c r="J733" t="s">
        <v>41</v>
      </c>
      <c r="K733" t="s">
        <v>813</v>
      </c>
      <c r="L733" t="s">
        <v>799</v>
      </c>
      <c r="M733" t="s">
        <v>818</v>
      </c>
      <c r="N733">
        <v>2</v>
      </c>
      <c r="O733" s="3">
        <v>18.010000000000002</v>
      </c>
      <c r="P733" s="3">
        <v>22.51</v>
      </c>
      <c r="Q733" s="6">
        <v>0</v>
      </c>
      <c r="R733" s="3">
        <v>45.02</v>
      </c>
      <c r="S733" t="s">
        <v>963</v>
      </c>
    </row>
    <row r="734" spans="1:19" x14ac:dyDescent="0.35">
      <c r="A734" t="s">
        <v>2168</v>
      </c>
      <c r="B734" t="s">
        <v>354</v>
      </c>
      <c r="C734" s="5">
        <v>45913</v>
      </c>
      <c r="D734" s="5">
        <v>45915</v>
      </c>
      <c r="E734" t="s">
        <v>321</v>
      </c>
      <c r="F734" t="s">
        <v>627</v>
      </c>
      <c r="G734" t="s">
        <v>243</v>
      </c>
      <c r="H734" t="s">
        <v>14</v>
      </c>
      <c r="I734" t="s">
        <v>29</v>
      </c>
      <c r="J734" t="s">
        <v>86</v>
      </c>
      <c r="K734" t="s">
        <v>798</v>
      </c>
      <c r="L734" t="s">
        <v>799</v>
      </c>
      <c r="M734" t="s">
        <v>788</v>
      </c>
      <c r="N734">
        <v>2</v>
      </c>
      <c r="O734" s="3">
        <v>8.35</v>
      </c>
      <c r="P734" s="3">
        <v>12.11</v>
      </c>
      <c r="Q734" s="6">
        <v>0</v>
      </c>
      <c r="R734" s="3">
        <v>24.22</v>
      </c>
      <c r="S734" t="s">
        <v>790</v>
      </c>
    </row>
    <row r="735" spans="1:19" x14ac:dyDescent="0.35">
      <c r="A735" t="s">
        <v>2169</v>
      </c>
      <c r="B735" t="s">
        <v>493</v>
      </c>
      <c r="C735" s="5">
        <v>45802</v>
      </c>
      <c r="E735" t="s">
        <v>311</v>
      </c>
      <c r="F735" t="s">
        <v>633</v>
      </c>
      <c r="G735" t="s">
        <v>243</v>
      </c>
      <c r="H735" t="s">
        <v>797</v>
      </c>
      <c r="I735" t="s">
        <v>14</v>
      </c>
      <c r="J735" t="s">
        <v>25</v>
      </c>
      <c r="K735" t="s">
        <v>798</v>
      </c>
      <c r="L735" t="s">
        <v>787</v>
      </c>
      <c r="M735" t="s">
        <v>800</v>
      </c>
      <c r="N735">
        <v>2</v>
      </c>
      <c r="O735" s="3">
        <v>18.95</v>
      </c>
      <c r="P735" s="3">
        <v>25.58</v>
      </c>
      <c r="Q735" s="6">
        <v>0</v>
      </c>
      <c r="R735" s="3">
        <v>51.16</v>
      </c>
      <c r="S735" t="s">
        <v>834</v>
      </c>
    </row>
    <row r="736" spans="1:19" x14ac:dyDescent="0.35">
      <c r="A736" t="s">
        <v>2170</v>
      </c>
      <c r="B736" t="s">
        <v>590</v>
      </c>
      <c r="C736" s="5">
        <v>45364</v>
      </c>
      <c r="E736" t="s">
        <v>591</v>
      </c>
      <c r="F736" t="s">
        <v>637</v>
      </c>
      <c r="G736" t="s">
        <v>235</v>
      </c>
      <c r="H736" t="s">
        <v>14</v>
      </c>
      <c r="I736" t="s">
        <v>38</v>
      </c>
      <c r="J736" t="s">
        <v>132</v>
      </c>
      <c r="K736" t="s">
        <v>786</v>
      </c>
      <c r="L736" t="s">
        <v>817</v>
      </c>
      <c r="M736" t="s">
        <v>818</v>
      </c>
      <c r="N736">
        <v>1</v>
      </c>
      <c r="O736" s="3">
        <v>12.71</v>
      </c>
      <c r="P736" s="3">
        <v>17.79</v>
      </c>
      <c r="Q736" s="6">
        <v>0.15</v>
      </c>
      <c r="R736" s="3">
        <v>15.121499999999999</v>
      </c>
      <c r="S736" t="s">
        <v>888</v>
      </c>
    </row>
    <row r="737" spans="1:19" x14ac:dyDescent="0.35">
      <c r="A737" t="s">
        <v>2171</v>
      </c>
      <c r="B737" t="s">
        <v>504</v>
      </c>
      <c r="C737" s="5">
        <v>45418</v>
      </c>
      <c r="E737" t="s">
        <v>505</v>
      </c>
      <c r="F737" t="s">
        <v>254</v>
      </c>
      <c r="G737" t="s">
        <v>264</v>
      </c>
      <c r="H737" t="s">
        <v>797</v>
      </c>
      <c r="I737" t="s">
        <v>48</v>
      </c>
      <c r="J737" t="s">
        <v>217</v>
      </c>
      <c r="K737" t="s">
        <v>798</v>
      </c>
      <c r="L737" t="s">
        <v>793</v>
      </c>
      <c r="M737" t="s">
        <v>788</v>
      </c>
      <c r="N737">
        <v>2</v>
      </c>
      <c r="O737" s="3">
        <v>24.07</v>
      </c>
      <c r="P737" s="3">
        <v>34.9</v>
      </c>
      <c r="Q737" s="6">
        <v>0.05</v>
      </c>
      <c r="R737" s="3">
        <v>66.31</v>
      </c>
      <c r="S737" t="s">
        <v>814</v>
      </c>
    </row>
    <row r="738" spans="1:19" x14ac:dyDescent="0.35">
      <c r="A738" t="s">
        <v>2172</v>
      </c>
      <c r="B738" t="s">
        <v>430</v>
      </c>
      <c r="C738" s="5">
        <v>45816</v>
      </c>
      <c r="D738" s="5">
        <v>45817</v>
      </c>
      <c r="E738" t="s">
        <v>431</v>
      </c>
      <c r="F738" t="s">
        <v>633</v>
      </c>
      <c r="G738" t="s">
        <v>264</v>
      </c>
      <c r="H738" t="s">
        <v>797</v>
      </c>
      <c r="I738" t="s">
        <v>14</v>
      </c>
      <c r="J738" t="s">
        <v>56</v>
      </c>
      <c r="K738" t="s">
        <v>798</v>
      </c>
      <c r="L738" t="s">
        <v>799</v>
      </c>
      <c r="M738" t="s">
        <v>842</v>
      </c>
      <c r="N738">
        <v>3</v>
      </c>
      <c r="O738" s="3">
        <v>25.46</v>
      </c>
      <c r="P738" s="3">
        <v>31.83</v>
      </c>
      <c r="Q738" s="6">
        <v>0.1</v>
      </c>
      <c r="R738" s="3">
        <v>85.941000000000003</v>
      </c>
      <c r="S738" t="s">
        <v>869</v>
      </c>
    </row>
    <row r="739" spans="1:19" x14ac:dyDescent="0.35">
      <c r="A739" t="s">
        <v>2173</v>
      </c>
      <c r="B739" t="s">
        <v>588</v>
      </c>
      <c r="C739" s="5">
        <v>46050</v>
      </c>
      <c r="E739" t="s">
        <v>435</v>
      </c>
      <c r="F739" t="s">
        <v>637</v>
      </c>
      <c r="G739" t="s">
        <v>264</v>
      </c>
      <c r="H739" t="s">
        <v>14</v>
      </c>
      <c r="I739" t="s">
        <v>29</v>
      </c>
      <c r="J739" t="s">
        <v>145</v>
      </c>
      <c r="K739" t="s">
        <v>813</v>
      </c>
      <c r="L739" t="s">
        <v>787</v>
      </c>
      <c r="M739" t="s">
        <v>818</v>
      </c>
      <c r="N739">
        <v>5</v>
      </c>
      <c r="O739" s="3">
        <v>57.16</v>
      </c>
      <c r="P739" s="3">
        <v>82.88</v>
      </c>
      <c r="Q739" s="6">
        <v>0</v>
      </c>
      <c r="R739" s="3">
        <v>414.4</v>
      </c>
      <c r="S739" t="s">
        <v>803</v>
      </c>
    </row>
    <row r="740" spans="1:19" x14ac:dyDescent="0.35">
      <c r="A740" t="s">
        <v>2174</v>
      </c>
      <c r="B740" t="s">
        <v>388</v>
      </c>
      <c r="C740" s="5">
        <v>45700</v>
      </c>
      <c r="E740" t="s">
        <v>389</v>
      </c>
      <c r="F740" t="s">
        <v>696</v>
      </c>
      <c r="G740" t="s">
        <v>243</v>
      </c>
      <c r="H740" t="s">
        <v>20</v>
      </c>
      <c r="I740" t="s">
        <v>43</v>
      </c>
      <c r="J740" t="s">
        <v>113</v>
      </c>
      <c r="K740" t="s">
        <v>798</v>
      </c>
      <c r="L740" t="s">
        <v>793</v>
      </c>
      <c r="M740" t="s">
        <v>818</v>
      </c>
      <c r="N740">
        <v>2</v>
      </c>
      <c r="O740" s="3">
        <v>16.91</v>
      </c>
      <c r="P740" s="3">
        <v>21.14</v>
      </c>
      <c r="Q740" s="6">
        <v>0.15</v>
      </c>
      <c r="R740" s="3">
        <v>35.938000000000002</v>
      </c>
      <c r="S740" t="s">
        <v>790</v>
      </c>
    </row>
    <row r="741" spans="1:19" x14ac:dyDescent="0.35">
      <c r="A741" t="s">
        <v>2175</v>
      </c>
      <c r="B741" t="s">
        <v>312</v>
      </c>
      <c r="C741" s="5">
        <v>45768</v>
      </c>
      <c r="D741" s="5">
        <v>45774</v>
      </c>
      <c r="E741" t="s">
        <v>313</v>
      </c>
      <c r="F741" t="s">
        <v>674</v>
      </c>
      <c r="G741" t="s">
        <v>235</v>
      </c>
      <c r="H741" t="s">
        <v>20</v>
      </c>
      <c r="I741" t="s">
        <v>8</v>
      </c>
      <c r="J741" t="s">
        <v>181</v>
      </c>
      <c r="K741" t="s">
        <v>786</v>
      </c>
      <c r="L741" t="s">
        <v>822</v>
      </c>
      <c r="M741" t="s">
        <v>818</v>
      </c>
      <c r="N741">
        <v>3</v>
      </c>
      <c r="O741" s="3">
        <v>20.49</v>
      </c>
      <c r="P741" s="3">
        <v>29.71</v>
      </c>
      <c r="Q741" s="6">
        <v>0</v>
      </c>
      <c r="R741" s="3">
        <v>89.13</v>
      </c>
      <c r="S741" t="s">
        <v>935</v>
      </c>
    </row>
    <row r="742" spans="1:19" x14ac:dyDescent="0.35">
      <c r="A742" t="s">
        <v>2176</v>
      </c>
      <c r="B742" t="s">
        <v>442</v>
      </c>
      <c r="C742" s="5">
        <v>45358</v>
      </c>
      <c r="D742" s="5">
        <v>45367</v>
      </c>
      <c r="E742" t="s">
        <v>443</v>
      </c>
      <c r="F742" t="s">
        <v>627</v>
      </c>
      <c r="G742" t="s">
        <v>235</v>
      </c>
      <c r="H742" t="s">
        <v>14</v>
      </c>
      <c r="I742" t="s">
        <v>14</v>
      </c>
      <c r="J742" t="s">
        <v>25</v>
      </c>
      <c r="K742" t="s">
        <v>798</v>
      </c>
      <c r="L742" t="s">
        <v>799</v>
      </c>
      <c r="M742" t="s">
        <v>800</v>
      </c>
      <c r="N742">
        <v>12</v>
      </c>
      <c r="O742" s="3">
        <v>18.95</v>
      </c>
      <c r="P742" s="3">
        <v>25.58</v>
      </c>
      <c r="Q742" s="6">
        <v>0.05</v>
      </c>
      <c r="R742" s="3">
        <v>291.61199999999997</v>
      </c>
      <c r="S742" t="s">
        <v>829</v>
      </c>
    </row>
    <row r="743" spans="1:19" x14ac:dyDescent="0.35">
      <c r="A743" t="s">
        <v>2177</v>
      </c>
      <c r="B743" t="s">
        <v>351</v>
      </c>
      <c r="C743" s="5">
        <v>45451</v>
      </c>
      <c r="E743" t="s">
        <v>352</v>
      </c>
      <c r="F743" t="s">
        <v>681</v>
      </c>
      <c r="G743" t="s">
        <v>264</v>
      </c>
      <c r="H743" t="s">
        <v>797</v>
      </c>
      <c r="I743" t="s">
        <v>29</v>
      </c>
      <c r="J743" t="s">
        <v>32</v>
      </c>
      <c r="K743" t="s">
        <v>798</v>
      </c>
      <c r="L743" t="s">
        <v>817</v>
      </c>
      <c r="M743" t="s">
        <v>818</v>
      </c>
      <c r="N743">
        <v>1</v>
      </c>
      <c r="O743" s="3">
        <v>18.989999999999998</v>
      </c>
      <c r="P743" s="3">
        <v>25.64</v>
      </c>
      <c r="Q743" s="6">
        <v>0</v>
      </c>
      <c r="R743" s="3">
        <v>25.64</v>
      </c>
      <c r="S743" t="s">
        <v>814</v>
      </c>
    </row>
    <row r="744" spans="1:19" x14ac:dyDescent="0.35">
      <c r="A744" t="s">
        <v>2178</v>
      </c>
      <c r="B744" t="s">
        <v>382</v>
      </c>
      <c r="C744" s="5">
        <v>45732</v>
      </c>
      <c r="D744" s="5">
        <v>45735</v>
      </c>
      <c r="E744" t="s">
        <v>383</v>
      </c>
      <c r="F744" t="s">
        <v>254</v>
      </c>
      <c r="G744" t="s">
        <v>264</v>
      </c>
      <c r="H744" t="s">
        <v>797</v>
      </c>
      <c r="I744" t="s">
        <v>43</v>
      </c>
      <c r="J744" t="s">
        <v>99</v>
      </c>
      <c r="K744" t="s">
        <v>813</v>
      </c>
      <c r="L744" t="s">
        <v>799</v>
      </c>
      <c r="M744" t="s">
        <v>818</v>
      </c>
      <c r="N744">
        <v>10</v>
      </c>
      <c r="O744" s="3">
        <v>10.88</v>
      </c>
      <c r="P744" s="3">
        <v>15.78</v>
      </c>
      <c r="Q744" s="6">
        <v>0</v>
      </c>
      <c r="R744" s="3">
        <v>157.79999999999998</v>
      </c>
      <c r="S744" t="s">
        <v>1017</v>
      </c>
    </row>
    <row r="745" spans="1:19" x14ac:dyDescent="0.35">
      <c r="A745" t="s">
        <v>2179</v>
      </c>
      <c r="B745" t="s">
        <v>299</v>
      </c>
      <c r="C745" s="5">
        <v>45377</v>
      </c>
      <c r="D745" s="5">
        <v>45382</v>
      </c>
      <c r="E745" t="s">
        <v>300</v>
      </c>
      <c r="F745" t="s">
        <v>633</v>
      </c>
      <c r="G745" t="s">
        <v>264</v>
      </c>
      <c r="H745" t="s">
        <v>797</v>
      </c>
      <c r="I745" t="s">
        <v>14</v>
      </c>
      <c r="J745" t="s">
        <v>56</v>
      </c>
      <c r="K745" t="s">
        <v>798</v>
      </c>
      <c r="L745" t="s">
        <v>799</v>
      </c>
      <c r="M745" t="s">
        <v>818</v>
      </c>
      <c r="N745">
        <v>10</v>
      </c>
      <c r="O745" s="3">
        <v>25.46</v>
      </c>
      <c r="P745" s="3">
        <v>31.83</v>
      </c>
      <c r="Q745" s="6">
        <v>0.1</v>
      </c>
      <c r="R745" s="3">
        <v>286.46999999999997</v>
      </c>
      <c r="S745" t="s">
        <v>963</v>
      </c>
    </row>
    <row r="746" spans="1:19" x14ac:dyDescent="0.35">
      <c r="A746" t="s">
        <v>2180</v>
      </c>
      <c r="B746" t="s">
        <v>317</v>
      </c>
      <c r="C746" s="5">
        <v>45480</v>
      </c>
      <c r="E746" t="s">
        <v>318</v>
      </c>
      <c r="F746" t="s">
        <v>696</v>
      </c>
      <c r="G746" t="s">
        <v>264</v>
      </c>
      <c r="H746" t="s">
        <v>797</v>
      </c>
      <c r="I746" t="s">
        <v>8</v>
      </c>
      <c r="J746" t="s">
        <v>129</v>
      </c>
      <c r="K746" t="s">
        <v>786</v>
      </c>
      <c r="L746" t="s">
        <v>787</v>
      </c>
      <c r="M746" t="s">
        <v>800</v>
      </c>
      <c r="N746">
        <v>5</v>
      </c>
      <c r="O746" s="3">
        <v>22.15</v>
      </c>
      <c r="P746" s="3">
        <v>31.01</v>
      </c>
      <c r="Q746" s="6">
        <v>0.05</v>
      </c>
      <c r="R746" s="3">
        <v>147.29750000000001</v>
      </c>
      <c r="S746" t="s">
        <v>819</v>
      </c>
    </row>
    <row r="747" spans="1:19" x14ac:dyDescent="0.35">
      <c r="A747" t="s">
        <v>2181</v>
      </c>
      <c r="B747" t="s">
        <v>584</v>
      </c>
      <c r="C747" s="5">
        <v>45778</v>
      </c>
      <c r="E747" t="s">
        <v>562</v>
      </c>
      <c r="F747" t="s">
        <v>637</v>
      </c>
      <c r="G747" t="s">
        <v>264</v>
      </c>
      <c r="H747" t="s">
        <v>797</v>
      </c>
      <c r="I747" t="s">
        <v>14</v>
      </c>
      <c r="J747" t="s">
        <v>150</v>
      </c>
      <c r="K747" t="s">
        <v>798</v>
      </c>
      <c r="L747" t="s">
        <v>793</v>
      </c>
      <c r="M747" t="s">
        <v>818</v>
      </c>
      <c r="N747">
        <v>10</v>
      </c>
      <c r="O747" s="3">
        <v>5.81</v>
      </c>
      <c r="P747" s="3">
        <v>7.55</v>
      </c>
      <c r="Q747" s="6">
        <v>0</v>
      </c>
      <c r="R747" s="3">
        <v>75.5</v>
      </c>
      <c r="S747" t="s">
        <v>790</v>
      </c>
    </row>
    <row r="748" spans="1:19" x14ac:dyDescent="0.35">
      <c r="A748" t="s">
        <v>2183</v>
      </c>
      <c r="B748" t="s">
        <v>306</v>
      </c>
      <c r="C748" s="5">
        <v>45903</v>
      </c>
      <c r="E748" t="s">
        <v>307</v>
      </c>
      <c r="F748" t="s">
        <v>681</v>
      </c>
      <c r="H748" t="s">
        <v>14</v>
      </c>
      <c r="I748" t="s">
        <v>38</v>
      </c>
      <c r="J748" t="s">
        <v>156</v>
      </c>
      <c r="K748" t="s">
        <v>798</v>
      </c>
      <c r="L748" t="s">
        <v>793</v>
      </c>
      <c r="M748" t="s">
        <v>800</v>
      </c>
      <c r="N748">
        <v>1</v>
      </c>
      <c r="O748" s="3">
        <v>20.81</v>
      </c>
      <c r="P748" s="3">
        <v>29.13</v>
      </c>
      <c r="Q748" s="6">
        <v>0</v>
      </c>
      <c r="R748" s="3">
        <v>29.13</v>
      </c>
      <c r="S748" t="s">
        <v>888</v>
      </c>
    </row>
    <row r="749" spans="1:19" x14ac:dyDescent="0.35">
      <c r="A749" t="s">
        <v>2184</v>
      </c>
      <c r="B749" t="s">
        <v>509</v>
      </c>
      <c r="C749" s="5">
        <v>45761</v>
      </c>
      <c r="D749" s="5">
        <v>45769</v>
      </c>
      <c r="E749" t="s">
        <v>510</v>
      </c>
      <c r="F749" t="s">
        <v>637</v>
      </c>
      <c r="G749" t="s">
        <v>235</v>
      </c>
      <c r="H749" t="s">
        <v>797</v>
      </c>
      <c r="I749" t="s">
        <v>20</v>
      </c>
      <c r="J749" t="s">
        <v>39</v>
      </c>
      <c r="K749" t="s">
        <v>786</v>
      </c>
      <c r="L749" t="s">
        <v>799</v>
      </c>
      <c r="M749" t="s">
        <v>800</v>
      </c>
      <c r="N749">
        <v>2</v>
      </c>
      <c r="O749" s="3">
        <v>9.5</v>
      </c>
      <c r="P749" s="3">
        <v>12.83</v>
      </c>
      <c r="Q749" s="6">
        <v>0.1</v>
      </c>
      <c r="R749" s="3">
        <v>23.094000000000001</v>
      </c>
      <c r="S749" t="s">
        <v>839</v>
      </c>
    </row>
    <row r="750" spans="1:19" x14ac:dyDescent="0.35">
      <c r="A750" t="s">
        <v>2185</v>
      </c>
      <c r="B750" t="s">
        <v>491</v>
      </c>
      <c r="C750" s="5">
        <v>45420</v>
      </c>
      <c r="E750" t="s">
        <v>492</v>
      </c>
      <c r="F750" t="s">
        <v>681</v>
      </c>
      <c r="G750" t="s">
        <v>264</v>
      </c>
      <c r="H750" t="s">
        <v>48</v>
      </c>
      <c r="I750" t="s">
        <v>38</v>
      </c>
      <c r="J750" t="s">
        <v>172</v>
      </c>
      <c r="K750" t="s">
        <v>813</v>
      </c>
      <c r="L750" t="s">
        <v>793</v>
      </c>
      <c r="M750" t="s">
        <v>788</v>
      </c>
      <c r="N750">
        <v>3</v>
      </c>
      <c r="O750" s="3">
        <v>18.329999999999998</v>
      </c>
      <c r="P750" s="3">
        <v>22.91</v>
      </c>
      <c r="Q750" s="6">
        <v>0.05</v>
      </c>
      <c r="R750" s="3">
        <v>65.293500000000009</v>
      </c>
      <c r="S750" t="s">
        <v>1001</v>
      </c>
    </row>
    <row r="751" spans="1:19" x14ac:dyDescent="0.35">
      <c r="A751" t="s">
        <v>2186</v>
      </c>
      <c r="B751" t="s">
        <v>552</v>
      </c>
      <c r="C751" s="5">
        <v>45851</v>
      </c>
      <c r="E751" t="s">
        <v>553</v>
      </c>
      <c r="F751" t="s">
        <v>696</v>
      </c>
      <c r="G751" t="s">
        <v>235</v>
      </c>
      <c r="H751" t="s">
        <v>797</v>
      </c>
      <c r="I751" t="s">
        <v>38</v>
      </c>
      <c r="J751" t="s">
        <v>109</v>
      </c>
      <c r="K751" t="s">
        <v>798</v>
      </c>
      <c r="L751" t="s">
        <v>793</v>
      </c>
      <c r="M751" t="s">
        <v>842</v>
      </c>
      <c r="N751">
        <v>10</v>
      </c>
      <c r="O751" s="3">
        <v>29.32</v>
      </c>
      <c r="P751" s="3">
        <v>36.65</v>
      </c>
      <c r="Q751" s="6">
        <v>0</v>
      </c>
      <c r="R751" s="3">
        <v>366.5</v>
      </c>
      <c r="S751" t="s">
        <v>814</v>
      </c>
    </row>
    <row r="752" spans="1:19" x14ac:dyDescent="0.35">
      <c r="A752" t="s">
        <v>2189</v>
      </c>
      <c r="B752" t="s">
        <v>426</v>
      </c>
      <c r="C752" s="5">
        <v>45308</v>
      </c>
      <c r="D752" s="5">
        <v>45314</v>
      </c>
      <c r="E752" t="s">
        <v>427</v>
      </c>
      <c r="F752" t="s">
        <v>627</v>
      </c>
      <c r="G752" t="s">
        <v>264</v>
      </c>
      <c r="H752" t="s">
        <v>20</v>
      </c>
      <c r="I752" t="s">
        <v>29</v>
      </c>
      <c r="J752" t="s">
        <v>154</v>
      </c>
      <c r="K752" t="s">
        <v>813</v>
      </c>
      <c r="L752" t="s">
        <v>799</v>
      </c>
      <c r="M752" t="s">
        <v>818</v>
      </c>
      <c r="N752">
        <v>5</v>
      </c>
      <c r="O752" s="3">
        <v>25.74</v>
      </c>
      <c r="P752" s="3">
        <v>33.46</v>
      </c>
      <c r="Q752" s="6">
        <v>0.05</v>
      </c>
      <c r="R752" s="3">
        <v>158.935</v>
      </c>
      <c r="S752" t="s">
        <v>876</v>
      </c>
    </row>
    <row r="753" spans="1:19" x14ac:dyDescent="0.35">
      <c r="A753" t="s">
        <v>2190</v>
      </c>
      <c r="B753" t="s">
        <v>479</v>
      </c>
      <c r="C753" s="5">
        <v>45652</v>
      </c>
      <c r="D753" s="5">
        <v>45655</v>
      </c>
      <c r="E753" t="s">
        <v>480</v>
      </c>
      <c r="F753" t="s">
        <v>627</v>
      </c>
      <c r="G753" t="s">
        <v>243</v>
      </c>
      <c r="H753" t="s">
        <v>48</v>
      </c>
      <c r="I753" t="s">
        <v>48</v>
      </c>
      <c r="J753" t="s">
        <v>148</v>
      </c>
      <c r="K753" t="s">
        <v>798</v>
      </c>
      <c r="L753" t="s">
        <v>822</v>
      </c>
      <c r="M753" t="s">
        <v>818</v>
      </c>
      <c r="N753">
        <v>2</v>
      </c>
      <c r="O753" s="3">
        <v>58.01</v>
      </c>
      <c r="P753" s="3">
        <v>72.510000000000005</v>
      </c>
      <c r="Q753" s="6">
        <v>0.05</v>
      </c>
      <c r="R753" s="3">
        <v>137.76900000000001</v>
      </c>
      <c r="S753" t="s">
        <v>814</v>
      </c>
    </row>
    <row r="754" spans="1:19" x14ac:dyDescent="0.35">
      <c r="A754" t="s">
        <v>2191</v>
      </c>
      <c r="B754" t="s">
        <v>358</v>
      </c>
      <c r="C754" s="5">
        <v>45858</v>
      </c>
      <c r="D754" s="5">
        <v>45868</v>
      </c>
      <c r="E754" t="s">
        <v>287</v>
      </c>
      <c r="F754" t="s">
        <v>627</v>
      </c>
      <c r="G754" t="s">
        <v>243</v>
      </c>
      <c r="H754" t="s">
        <v>797</v>
      </c>
      <c r="I754" t="s">
        <v>43</v>
      </c>
      <c r="J754" t="s">
        <v>58</v>
      </c>
      <c r="K754" t="s">
        <v>798</v>
      </c>
      <c r="L754" t="s">
        <v>799</v>
      </c>
      <c r="M754" t="s">
        <v>818</v>
      </c>
      <c r="N754">
        <v>5</v>
      </c>
      <c r="O754" s="3">
        <v>11.21</v>
      </c>
      <c r="P754" s="3">
        <v>15.13</v>
      </c>
      <c r="Q754" s="6">
        <v>0.15</v>
      </c>
      <c r="R754" s="3">
        <v>64.302500000000009</v>
      </c>
      <c r="S754" t="s">
        <v>859</v>
      </c>
    </row>
    <row r="755" spans="1:19" x14ac:dyDescent="0.35">
      <c r="A755" t="s">
        <v>2193</v>
      </c>
      <c r="B755" t="s">
        <v>324</v>
      </c>
      <c r="C755" s="5">
        <v>45393</v>
      </c>
      <c r="E755" t="s">
        <v>296</v>
      </c>
      <c r="F755" t="s">
        <v>254</v>
      </c>
      <c r="G755" t="s">
        <v>264</v>
      </c>
      <c r="H755" t="s">
        <v>14</v>
      </c>
      <c r="I755" t="s">
        <v>8</v>
      </c>
      <c r="J755" t="s">
        <v>91</v>
      </c>
      <c r="K755" t="s">
        <v>798</v>
      </c>
      <c r="L755" t="s">
        <v>793</v>
      </c>
      <c r="M755" t="s">
        <v>818</v>
      </c>
      <c r="N755">
        <v>2</v>
      </c>
      <c r="O755" s="3">
        <v>36.82</v>
      </c>
      <c r="P755" s="3">
        <v>47.87</v>
      </c>
      <c r="Q755" s="6">
        <v>0.15</v>
      </c>
      <c r="R755" s="3">
        <v>81.378999999999991</v>
      </c>
      <c r="S755" t="s">
        <v>946</v>
      </c>
    </row>
    <row r="756" spans="1:19" x14ac:dyDescent="0.35">
      <c r="A756" t="s">
        <v>2194</v>
      </c>
      <c r="B756" t="s">
        <v>564</v>
      </c>
      <c r="C756" s="5">
        <v>45849</v>
      </c>
      <c r="D756" s="5">
        <v>45857</v>
      </c>
      <c r="E756" t="s">
        <v>526</v>
      </c>
      <c r="F756" t="s">
        <v>696</v>
      </c>
      <c r="G756" t="s">
        <v>243</v>
      </c>
      <c r="H756" t="s">
        <v>14</v>
      </c>
      <c r="I756" t="s">
        <v>48</v>
      </c>
      <c r="J756" t="s">
        <v>61</v>
      </c>
      <c r="K756" t="s">
        <v>786</v>
      </c>
      <c r="L756" t="s">
        <v>799</v>
      </c>
      <c r="M756" t="s">
        <v>818</v>
      </c>
      <c r="N756">
        <v>20</v>
      </c>
      <c r="O756" s="3">
        <v>26.08</v>
      </c>
      <c r="P756" s="3">
        <v>35.21</v>
      </c>
      <c r="Q756" s="6">
        <v>0</v>
      </c>
      <c r="R756" s="3">
        <v>704.2</v>
      </c>
      <c r="S756" t="s">
        <v>794</v>
      </c>
    </row>
    <row r="757" spans="1:19" x14ac:dyDescent="0.35">
      <c r="A757" t="s">
        <v>2196</v>
      </c>
      <c r="B757" t="s">
        <v>331</v>
      </c>
      <c r="C757" s="5">
        <v>45856</v>
      </c>
      <c r="E757" t="s">
        <v>332</v>
      </c>
      <c r="F757" t="s">
        <v>674</v>
      </c>
      <c r="G757" t="s">
        <v>264</v>
      </c>
      <c r="H757" t="s">
        <v>20</v>
      </c>
      <c r="I757" t="s">
        <v>20</v>
      </c>
      <c r="J757" t="s">
        <v>197</v>
      </c>
      <c r="K757" t="s">
        <v>786</v>
      </c>
      <c r="L757" t="s">
        <v>793</v>
      </c>
      <c r="M757" t="s">
        <v>818</v>
      </c>
      <c r="N757">
        <v>2</v>
      </c>
      <c r="O757" s="3">
        <v>22.45</v>
      </c>
      <c r="P757" s="3">
        <v>29.18</v>
      </c>
      <c r="Q757" s="6">
        <v>0.05</v>
      </c>
      <c r="R757" s="3">
        <v>55.442</v>
      </c>
      <c r="S757" t="s">
        <v>869</v>
      </c>
    </row>
    <row r="758" spans="1:19" x14ac:dyDescent="0.35">
      <c r="A758" t="s">
        <v>2197</v>
      </c>
      <c r="B758" t="s">
        <v>238</v>
      </c>
      <c r="C758" s="5">
        <v>46012</v>
      </c>
      <c r="E758" t="s">
        <v>239</v>
      </c>
      <c r="F758" t="s">
        <v>633</v>
      </c>
      <c r="G758" t="s">
        <v>243</v>
      </c>
      <c r="H758" t="s">
        <v>20</v>
      </c>
      <c r="I758" t="s">
        <v>14</v>
      </c>
      <c r="J758" t="s">
        <v>30</v>
      </c>
      <c r="K758" t="s">
        <v>798</v>
      </c>
      <c r="L758" t="s">
        <v>793</v>
      </c>
      <c r="M758" t="s">
        <v>800</v>
      </c>
      <c r="N758">
        <v>12</v>
      </c>
      <c r="O758" s="3">
        <v>19.010000000000002</v>
      </c>
      <c r="P758" s="3">
        <v>27.56</v>
      </c>
      <c r="Q758" s="6">
        <v>0</v>
      </c>
      <c r="R758" s="3">
        <v>330.71999999999997</v>
      </c>
      <c r="S758" t="s">
        <v>876</v>
      </c>
    </row>
    <row r="759" spans="1:19" x14ac:dyDescent="0.35">
      <c r="A759" t="s">
        <v>2198</v>
      </c>
      <c r="B759" t="s">
        <v>238</v>
      </c>
      <c r="C759" s="5">
        <v>45981</v>
      </c>
      <c r="D759" s="5">
        <v>45991</v>
      </c>
      <c r="E759" t="s">
        <v>239</v>
      </c>
      <c r="F759" t="s">
        <v>696</v>
      </c>
      <c r="G759" t="s">
        <v>243</v>
      </c>
      <c r="H759" t="s">
        <v>797</v>
      </c>
      <c r="I759" t="s">
        <v>20</v>
      </c>
      <c r="J759" t="s">
        <v>104</v>
      </c>
      <c r="K759" t="s">
        <v>813</v>
      </c>
      <c r="L759" t="s">
        <v>799</v>
      </c>
      <c r="M759" t="s">
        <v>800</v>
      </c>
      <c r="N759">
        <v>10</v>
      </c>
      <c r="O759" s="3">
        <v>43.88</v>
      </c>
      <c r="P759" s="3">
        <v>54.85</v>
      </c>
      <c r="Q759" s="6">
        <v>0</v>
      </c>
      <c r="R759" s="3">
        <v>548.5</v>
      </c>
      <c r="S759" t="s">
        <v>810</v>
      </c>
    </row>
    <row r="760" spans="1:19" x14ac:dyDescent="0.35">
      <c r="A760" t="s">
        <v>2199</v>
      </c>
      <c r="B760" t="s">
        <v>534</v>
      </c>
      <c r="C760" s="5">
        <v>45732</v>
      </c>
      <c r="D760" s="5">
        <v>45739</v>
      </c>
      <c r="E760" t="s">
        <v>535</v>
      </c>
      <c r="F760" t="s">
        <v>696</v>
      </c>
      <c r="H760" t="s">
        <v>797</v>
      </c>
      <c r="I760" t="s">
        <v>20</v>
      </c>
      <c r="J760" t="s">
        <v>197</v>
      </c>
      <c r="K760" t="s">
        <v>798</v>
      </c>
      <c r="L760" t="s">
        <v>799</v>
      </c>
      <c r="M760" t="s">
        <v>818</v>
      </c>
      <c r="N760">
        <v>5</v>
      </c>
      <c r="O760" s="3">
        <v>22.45</v>
      </c>
      <c r="P760" s="3">
        <v>29.18</v>
      </c>
      <c r="Q760" s="6">
        <v>0</v>
      </c>
      <c r="R760" s="3">
        <v>145.9</v>
      </c>
      <c r="S760" t="s">
        <v>869</v>
      </c>
    </row>
    <row r="761" spans="1:19" x14ac:dyDescent="0.35">
      <c r="A761" t="s">
        <v>2201</v>
      </c>
      <c r="B761" t="s">
        <v>469</v>
      </c>
      <c r="C761" s="5">
        <v>46037</v>
      </c>
      <c r="E761" t="s">
        <v>470</v>
      </c>
      <c r="F761" t="s">
        <v>633</v>
      </c>
      <c r="G761" t="s">
        <v>235</v>
      </c>
      <c r="H761" t="s">
        <v>14</v>
      </c>
      <c r="I761" t="s">
        <v>48</v>
      </c>
      <c r="J761" t="s">
        <v>139</v>
      </c>
      <c r="K761" t="s">
        <v>798</v>
      </c>
      <c r="L761" t="s">
        <v>787</v>
      </c>
      <c r="M761" t="s">
        <v>788</v>
      </c>
      <c r="N761">
        <v>2</v>
      </c>
      <c r="O761" s="3">
        <v>29.93</v>
      </c>
      <c r="P761" s="3">
        <v>41.9</v>
      </c>
      <c r="Q761" s="6">
        <v>0.1</v>
      </c>
      <c r="R761" s="3">
        <v>75.42</v>
      </c>
      <c r="S761" t="s">
        <v>919</v>
      </c>
    </row>
    <row r="762" spans="1:19" x14ac:dyDescent="0.35">
      <c r="A762" t="s">
        <v>2202</v>
      </c>
      <c r="B762" t="s">
        <v>465</v>
      </c>
      <c r="C762" s="5">
        <v>45938</v>
      </c>
      <c r="D762" s="5">
        <v>45940</v>
      </c>
      <c r="E762" t="s">
        <v>348</v>
      </c>
      <c r="F762" t="s">
        <v>637</v>
      </c>
      <c r="G762" t="s">
        <v>264</v>
      </c>
      <c r="H762" t="s">
        <v>20</v>
      </c>
      <c r="I762" t="s">
        <v>29</v>
      </c>
      <c r="J762" t="s">
        <v>86</v>
      </c>
      <c r="K762" t="s">
        <v>786</v>
      </c>
      <c r="L762" t="s">
        <v>799</v>
      </c>
      <c r="M762" t="s">
        <v>788</v>
      </c>
      <c r="N762">
        <v>5</v>
      </c>
      <c r="O762" s="3">
        <v>8.35</v>
      </c>
      <c r="P762" s="3">
        <v>12.11</v>
      </c>
      <c r="Q762" s="6">
        <v>0</v>
      </c>
      <c r="R762" s="3">
        <v>60.55</v>
      </c>
      <c r="S762" t="s">
        <v>963</v>
      </c>
    </row>
    <row r="763" spans="1:19" x14ac:dyDescent="0.35">
      <c r="A763" t="s">
        <v>2203</v>
      </c>
      <c r="B763" t="s">
        <v>483</v>
      </c>
      <c r="C763" s="5">
        <v>45387</v>
      </c>
      <c r="E763" t="s">
        <v>484</v>
      </c>
      <c r="F763" t="s">
        <v>254</v>
      </c>
      <c r="G763" t="s">
        <v>264</v>
      </c>
      <c r="H763" t="s">
        <v>14</v>
      </c>
      <c r="I763" t="s">
        <v>43</v>
      </c>
      <c r="J763" t="s">
        <v>161</v>
      </c>
      <c r="K763" t="s">
        <v>798</v>
      </c>
      <c r="L763" t="s">
        <v>787</v>
      </c>
      <c r="M763" t="s">
        <v>842</v>
      </c>
      <c r="N763">
        <v>3</v>
      </c>
      <c r="O763" s="3">
        <v>21.74</v>
      </c>
      <c r="P763" s="3">
        <v>30.44</v>
      </c>
      <c r="Q763" s="6">
        <v>0.1</v>
      </c>
      <c r="R763" s="3">
        <v>82.188000000000002</v>
      </c>
      <c r="S763" t="s">
        <v>935</v>
      </c>
    </row>
    <row r="764" spans="1:19" x14ac:dyDescent="0.35">
      <c r="A764" t="s">
        <v>2204</v>
      </c>
      <c r="B764" t="s">
        <v>493</v>
      </c>
      <c r="C764" s="5">
        <v>45317</v>
      </c>
      <c r="E764" t="s">
        <v>311</v>
      </c>
      <c r="F764" t="s">
        <v>681</v>
      </c>
      <c r="G764" t="s">
        <v>243</v>
      </c>
      <c r="H764" t="s">
        <v>14</v>
      </c>
      <c r="I764" t="s">
        <v>29</v>
      </c>
      <c r="J764" t="s">
        <v>176</v>
      </c>
      <c r="K764" t="s">
        <v>798</v>
      </c>
      <c r="L764" t="s">
        <v>793</v>
      </c>
      <c r="M764" t="s">
        <v>788</v>
      </c>
      <c r="N764">
        <v>10</v>
      </c>
      <c r="O764" s="3">
        <v>25.88</v>
      </c>
      <c r="P764" s="3">
        <v>36.229999999999997</v>
      </c>
      <c r="Q764" s="6">
        <v>0</v>
      </c>
      <c r="R764" s="3">
        <v>362.29999999999995</v>
      </c>
      <c r="S764" t="s">
        <v>963</v>
      </c>
    </row>
    <row r="765" spans="1:19" x14ac:dyDescent="0.35">
      <c r="A765" t="s">
        <v>2205</v>
      </c>
      <c r="B765" t="s">
        <v>596</v>
      </c>
      <c r="C765" s="5">
        <v>45840</v>
      </c>
      <c r="E765" t="s">
        <v>443</v>
      </c>
      <c r="F765" t="s">
        <v>637</v>
      </c>
      <c r="G765" t="s">
        <v>264</v>
      </c>
      <c r="H765" t="s">
        <v>20</v>
      </c>
      <c r="I765" t="s">
        <v>20</v>
      </c>
      <c r="J765" t="s">
        <v>134</v>
      </c>
      <c r="K765" t="s">
        <v>798</v>
      </c>
      <c r="L765" t="s">
        <v>793</v>
      </c>
      <c r="M765" t="s">
        <v>842</v>
      </c>
      <c r="N765">
        <v>5</v>
      </c>
      <c r="O765" s="3">
        <v>38.36</v>
      </c>
      <c r="P765" s="3">
        <v>53.7</v>
      </c>
      <c r="Q765" s="6">
        <v>0</v>
      </c>
      <c r="R765" s="3">
        <v>268.5</v>
      </c>
      <c r="S765" t="s">
        <v>834</v>
      </c>
    </row>
    <row r="766" spans="1:19" x14ac:dyDescent="0.35">
      <c r="A766" t="s">
        <v>2206</v>
      </c>
      <c r="B766" t="s">
        <v>257</v>
      </c>
      <c r="C766" s="5">
        <v>45439</v>
      </c>
      <c r="E766" t="s">
        <v>258</v>
      </c>
      <c r="F766" t="s">
        <v>681</v>
      </c>
      <c r="G766" t="s">
        <v>235</v>
      </c>
      <c r="H766" t="s">
        <v>48</v>
      </c>
      <c r="I766" t="s">
        <v>8</v>
      </c>
      <c r="J766" t="s">
        <v>181</v>
      </c>
      <c r="K766" t="s">
        <v>786</v>
      </c>
      <c r="L766" t="s">
        <v>787</v>
      </c>
      <c r="M766" t="s">
        <v>842</v>
      </c>
      <c r="N766">
        <v>3</v>
      </c>
      <c r="O766" s="3">
        <v>20.49</v>
      </c>
      <c r="P766" s="3">
        <v>29.71</v>
      </c>
      <c r="Q766" s="6">
        <v>0</v>
      </c>
      <c r="R766" s="3">
        <v>89.13</v>
      </c>
      <c r="S766" t="s">
        <v>888</v>
      </c>
    </row>
    <row r="767" spans="1:19" x14ac:dyDescent="0.35">
      <c r="A767" t="s">
        <v>2207</v>
      </c>
      <c r="B767" t="s">
        <v>367</v>
      </c>
      <c r="C767" s="5">
        <v>45581</v>
      </c>
      <c r="D767" s="5">
        <v>45589</v>
      </c>
      <c r="E767" t="s">
        <v>368</v>
      </c>
      <c r="F767" t="s">
        <v>254</v>
      </c>
      <c r="G767" t="s">
        <v>264</v>
      </c>
      <c r="H767" t="s">
        <v>797</v>
      </c>
      <c r="I767" t="s">
        <v>8</v>
      </c>
      <c r="J767" t="s">
        <v>95</v>
      </c>
      <c r="K767" t="s">
        <v>786</v>
      </c>
      <c r="L767" t="s">
        <v>822</v>
      </c>
      <c r="M767" t="s">
        <v>788</v>
      </c>
      <c r="N767">
        <v>3</v>
      </c>
      <c r="O767" s="3">
        <v>23.02</v>
      </c>
      <c r="P767" s="3">
        <v>28.77</v>
      </c>
      <c r="Q767" s="6">
        <v>0.05</v>
      </c>
      <c r="R767" s="3">
        <v>81.994500000000002</v>
      </c>
      <c r="S767" t="s">
        <v>919</v>
      </c>
    </row>
    <row r="768" spans="1:19" x14ac:dyDescent="0.35">
      <c r="A768" t="s">
        <v>2208</v>
      </c>
      <c r="B768" t="s">
        <v>303</v>
      </c>
      <c r="C768" s="5">
        <v>45314</v>
      </c>
      <c r="D768" s="5">
        <v>45322</v>
      </c>
      <c r="E768" t="s">
        <v>304</v>
      </c>
      <c r="F768" t="s">
        <v>696</v>
      </c>
      <c r="G768" t="s">
        <v>243</v>
      </c>
      <c r="H768" t="s">
        <v>48</v>
      </c>
      <c r="I768" t="s">
        <v>29</v>
      </c>
      <c r="J768" t="s">
        <v>191</v>
      </c>
      <c r="K768" t="s">
        <v>813</v>
      </c>
      <c r="L768" t="s">
        <v>799</v>
      </c>
      <c r="M768" t="s">
        <v>818</v>
      </c>
      <c r="N768">
        <v>10</v>
      </c>
      <c r="O768" s="3">
        <v>11.26</v>
      </c>
      <c r="P768" s="3">
        <v>15.2</v>
      </c>
      <c r="Q768" s="6">
        <v>0</v>
      </c>
      <c r="R768" s="3">
        <v>152</v>
      </c>
      <c r="S768" t="s">
        <v>869</v>
      </c>
    </row>
    <row r="769" spans="1:19" x14ac:dyDescent="0.35">
      <c r="A769" t="s">
        <v>2209</v>
      </c>
      <c r="B769" t="s">
        <v>423</v>
      </c>
      <c r="C769" s="5">
        <v>45456</v>
      </c>
      <c r="D769" s="5">
        <v>45462</v>
      </c>
      <c r="E769" t="s">
        <v>424</v>
      </c>
      <c r="F769" t="s">
        <v>254</v>
      </c>
      <c r="G769" t="s">
        <v>235</v>
      </c>
      <c r="H769" t="s">
        <v>48</v>
      </c>
      <c r="I769" t="s">
        <v>8</v>
      </c>
      <c r="J769" t="s">
        <v>21</v>
      </c>
      <c r="K769" t="s">
        <v>798</v>
      </c>
      <c r="L769" t="s">
        <v>799</v>
      </c>
      <c r="M769" t="s">
        <v>842</v>
      </c>
      <c r="N769">
        <v>12</v>
      </c>
      <c r="O769" s="3">
        <v>21.57</v>
      </c>
      <c r="P769" s="3">
        <v>26.96</v>
      </c>
      <c r="Q769" s="6">
        <v>0</v>
      </c>
      <c r="R769" s="3">
        <v>323.52</v>
      </c>
      <c r="S769" t="s">
        <v>1134</v>
      </c>
    </row>
    <row r="770" spans="1:19" x14ac:dyDescent="0.35">
      <c r="A770" t="s">
        <v>2210</v>
      </c>
      <c r="B770" t="s">
        <v>552</v>
      </c>
      <c r="C770" s="5">
        <v>45787</v>
      </c>
      <c r="E770" t="s">
        <v>553</v>
      </c>
      <c r="F770" t="s">
        <v>627</v>
      </c>
      <c r="G770" t="s">
        <v>235</v>
      </c>
      <c r="H770" t="s">
        <v>797</v>
      </c>
      <c r="I770" t="s">
        <v>29</v>
      </c>
      <c r="J770" t="s">
        <v>158</v>
      </c>
      <c r="K770" t="s">
        <v>798</v>
      </c>
      <c r="L770" t="s">
        <v>793</v>
      </c>
      <c r="M770" t="s">
        <v>842</v>
      </c>
      <c r="N770">
        <v>2</v>
      </c>
      <c r="O770" s="3">
        <v>25.8</v>
      </c>
      <c r="P770" s="3">
        <v>36.119999999999997</v>
      </c>
      <c r="Q770" s="6">
        <v>0</v>
      </c>
      <c r="R770" s="3">
        <v>72.239999999999995</v>
      </c>
      <c r="S770" t="s">
        <v>946</v>
      </c>
    </row>
    <row r="771" spans="1:19" x14ac:dyDescent="0.35">
      <c r="A771" t="s">
        <v>2211</v>
      </c>
      <c r="B771" t="s">
        <v>257</v>
      </c>
      <c r="C771" s="5">
        <v>45322</v>
      </c>
      <c r="D771" s="5">
        <v>45328</v>
      </c>
      <c r="E771" t="s">
        <v>258</v>
      </c>
      <c r="F771" t="s">
        <v>627</v>
      </c>
      <c r="G771" t="s">
        <v>235</v>
      </c>
      <c r="H771" t="s">
        <v>14</v>
      </c>
      <c r="I771" t="s">
        <v>48</v>
      </c>
      <c r="J771" t="s">
        <v>202</v>
      </c>
      <c r="K771" t="s">
        <v>813</v>
      </c>
      <c r="L771" t="s">
        <v>799</v>
      </c>
      <c r="M771" t="s">
        <v>842</v>
      </c>
      <c r="N771">
        <v>10</v>
      </c>
      <c r="O771" s="3">
        <v>27</v>
      </c>
      <c r="P771" s="3">
        <v>39.15</v>
      </c>
      <c r="Q771" s="6">
        <v>0</v>
      </c>
      <c r="R771" s="3">
        <v>391.5</v>
      </c>
      <c r="S771" t="s">
        <v>839</v>
      </c>
    </row>
    <row r="772" spans="1:19" x14ac:dyDescent="0.35">
      <c r="A772" t="s">
        <v>2212</v>
      </c>
      <c r="B772" t="s">
        <v>312</v>
      </c>
      <c r="C772" s="5">
        <v>45433</v>
      </c>
      <c r="E772" t="s">
        <v>313</v>
      </c>
      <c r="F772" t="s">
        <v>681</v>
      </c>
      <c r="G772" t="s">
        <v>235</v>
      </c>
      <c r="H772" t="s">
        <v>14</v>
      </c>
      <c r="I772" t="s">
        <v>48</v>
      </c>
      <c r="J772" t="s">
        <v>143</v>
      </c>
      <c r="K772" t="s">
        <v>813</v>
      </c>
      <c r="L772" t="s">
        <v>793</v>
      </c>
      <c r="M772" t="s">
        <v>788</v>
      </c>
      <c r="N772">
        <v>10</v>
      </c>
      <c r="O772" s="3">
        <v>29.93</v>
      </c>
      <c r="P772" s="3">
        <v>38.909999999999997</v>
      </c>
      <c r="Q772" s="6">
        <v>0</v>
      </c>
      <c r="R772" s="3">
        <v>389.09999999999997</v>
      </c>
      <c r="S772" t="s">
        <v>814</v>
      </c>
    </row>
    <row r="773" spans="1:19" x14ac:dyDescent="0.35">
      <c r="A773" t="s">
        <v>2214</v>
      </c>
      <c r="B773" t="s">
        <v>570</v>
      </c>
      <c r="C773" s="5">
        <v>46017</v>
      </c>
      <c r="D773" s="5">
        <v>46020</v>
      </c>
      <c r="E773" t="s">
        <v>435</v>
      </c>
      <c r="F773" t="s">
        <v>633</v>
      </c>
      <c r="G773" t="s">
        <v>264</v>
      </c>
      <c r="H773" t="s">
        <v>14</v>
      </c>
      <c r="I773" t="s">
        <v>14</v>
      </c>
      <c r="J773" t="s">
        <v>67</v>
      </c>
      <c r="K773" t="s">
        <v>786</v>
      </c>
      <c r="L773" t="s">
        <v>799</v>
      </c>
      <c r="M773" t="s">
        <v>818</v>
      </c>
      <c r="N773">
        <v>20</v>
      </c>
      <c r="O773" s="3">
        <v>17.63</v>
      </c>
      <c r="P773" s="3">
        <v>22.92</v>
      </c>
      <c r="Q773" s="6">
        <v>0</v>
      </c>
      <c r="R773" s="3">
        <v>458.40000000000003</v>
      </c>
      <c r="S773" t="s">
        <v>1017</v>
      </c>
    </row>
    <row r="774" spans="1:19" x14ac:dyDescent="0.35">
      <c r="A774" t="s">
        <v>2215</v>
      </c>
      <c r="B774" t="s">
        <v>465</v>
      </c>
      <c r="C774" s="5">
        <v>45494</v>
      </c>
      <c r="E774" t="s">
        <v>348</v>
      </c>
      <c r="F774" t="s">
        <v>254</v>
      </c>
      <c r="G774" t="s">
        <v>264</v>
      </c>
      <c r="H774" t="s">
        <v>14</v>
      </c>
      <c r="I774" t="s">
        <v>48</v>
      </c>
      <c r="J774" t="s">
        <v>135</v>
      </c>
      <c r="K774" t="s">
        <v>786</v>
      </c>
      <c r="L774" t="s">
        <v>793</v>
      </c>
      <c r="M774" t="s">
        <v>788</v>
      </c>
      <c r="N774">
        <v>5</v>
      </c>
      <c r="O774" s="3">
        <v>51.72</v>
      </c>
      <c r="P774" s="3">
        <v>67.239999999999995</v>
      </c>
      <c r="Q774" s="6">
        <v>0.15</v>
      </c>
      <c r="R774" s="3">
        <v>285.77</v>
      </c>
      <c r="S774" t="s">
        <v>819</v>
      </c>
    </row>
    <row r="775" spans="1:19" x14ac:dyDescent="0.35">
      <c r="A775" t="s">
        <v>2216</v>
      </c>
      <c r="B775" t="s">
        <v>477</v>
      </c>
      <c r="C775" s="5">
        <v>45735</v>
      </c>
      <c r="D775" s="5">
        <v>45745</v>
      </c>
      <c r="E775" t="s">
        <v>478</v>
      </c>
      <c r="F775" t="s">
        <v>627</v>
      </c>
      <c r="G775" t="s">
        <v>243</v>
      </c>
      <c r="H775" t="s">
        <v>20</v>
      </c>
      <c r="I775" t="s">
        <v>8</v>
      </c>
      <c r="J775" t="s">
        <v>65</v>
      </c>
      <c r="K775" t="s">
        <v>786</v>
      </c>
      <c r="L775" t="s">
        <v>799</v>
      </c>
      <c r="M775" t="s">
        <v>818</v>
      </c>
      <c r="N775">
        <v>5</v>
      </c>
      <c r="O775" s="3">
        <v>30.16</v>
      </c>
      <c r="P775" s="3">
        <v>40.72</v>
      </c>
      <c r="Q775" s="6">
        <v>0.05</v>
      </c>
      <c r="R775" s="3">
        <v>193.42</v>
      </c>
      <c r="S775" t="s">
        <v>963</v>
      </c>
    </row>
    <row r="776" spans="1:19" x14ac:dyDescent="0.35">
      <c r="A776" t="s">
        <v>2217</v>
      </c>
      <c r="B776" t="s">
        <v>563</v>
      </c>
      <c r="C776" s="5">
        <v>45653</v>
      </c>
      <c r="E776" t="s">
        <v>311</v>
      </c>
      <c r="F776" t="s">
        <v>637</v>
      </c>
      <c r="G776" t="s">
        <v>264</v>
      </c>
      <c r="H776" t="s">
        <v>797</v>
      </c>
      <c r="I776" t="s">
        <v>8</v>
      </c>
      <c r="J776" t="s">
        <v>73</v>
      </c>
      <c r="K776" t="s">
        <v>813</v>
      </c>
      <c r="L776" t="s">
        <v>787</v>
      </c>
      <c r="M776" t="s">
        <v>800</v>
      </c>
      <c r="N776">
        <v>10</v>
      </c>
      <c r="O776" s="3">
        <v>67.95</v>
      </c>
      <c r="P776" s="3">
        <v>88.34</v>
      </c>
      <c r="Q776" s="6">
        <v>0.1</v>
      </c>
      <c r="R776" s="3">
        <v>795.06000000000006</v>
      </c>
      <c r="S776" t="s">
        <v>876</v>
      </c>
    </row>
    <row r="777" spans="1:19" x14ac:dyDescent="0.35">
      <c r="A777" t="s">
        <v>2218</v>
      </c>
      <c r="B777" t="s">
        <v>569</v>
      </c>
      <c r="C777" s="5">
        <v>45592</v>
      </c>
      <c r="E777" t="s">
        <v>535</v>
      </c>
      <c r="F777" t="s">
        <v>627</v>
      </c>
      <c r="H777" t="s">
        <v>797</v>
      </c>
      <c r="I777" t="s">
        <v>43</v>
      </c>
      <c r="J777" t="s">
        <v>58</v>
      </c>
      <c r="K777" t="s">
        <v>813</v>
      </c>
      <c r="L777" t="s">
        <v>787</v>
      </c>
      <c r="M777" t="s">
        <v>800</v>
      </c>
      <c r="N777">
        <v>1</v>
      </c>
      <c r="O777" s="3">
        <v>11.21</v>
      </c>
      <c r="P777" s="3">
        <v>15.13</v>
      </c>
      <c r="Q777" s="6">
        <v>0.05</v>
      </c>
      <c r="R777" s="3">
        <v>14.3735</v>
      </c>
      <c r="S777" t="s">
        <v>810</v>
      </c>
    </row>
    <row r="778" spans="1:19" x14ac:dyDescent="0.35">
      <c r="A778" t="s">
        <v>2219</v>
      </c>
      <c r="B778" t="s">
        <v>303</v>
      </c>
      <c r="C778" s="5">
        <v>45658</v>
      </c>
      <c r="D778" s="5">
        <v>45659</v>
      </c>
      <c r="E778" t="s">
        <v>304</v>
      </c>
      <c r="F778" t="s">
        <v>674</v>
      </c>
      <c r="G778" t="s">
        <v>243</v>
      </c>
      <c r="H778" t="s">
        <v>14</v>
      </c>
      <c r="I778" t="s">
        <v>14</v>
      </c>
      <c r="J778" t="s">
        <v>12</v>
      </c>
      <c r="K778" t="s">
        <v>798</v>
      </c>
      <c r="L778" t="s">
        <v>799</v>
      </c>
      <c r="M778" t="s">
        <v>842</v>
      </c>
      <c r="N778">
        <v>5</v>
      </c>
      <c r="O778" s="3">
        <v>35.03</v>
      </c>
      <c r="P778" s="3">
        <v>50.79</v>
      </c>
      <c r="Q778" s="6">
        <v>0</v>
      </c>
      <c r="R778" s="3">
        <v>253.95</v>
      </c>
      <c r="S778" t="s">
        <v>1134</v>
      </c>
    </row>
    <row r="779" spans="1:19" x14ac:dyDescent="0.35">
      <c r="A779" t="s">
        <v>2220</v>
      </c>
      <c r="B779" t="s">
        <v>382</v>
      </c>
      <c r="C779" s="5">
        <v>46026</v>
      </c>
      <c r="E779" t="s">
        <v>383</v>
      </c>
      <c r="F779" t="s">
        <v>696</v>
      </c>
      <c r="G779" t="s">
        <v>264</v>
      </c>
      <c r="H779" t="s">
        <v>14</v>
      </c>
      <c r="I779" t="s">
        <v>29</v>
      </c>
      <c r="J779" t="s">
        <v>191</v>
      </c>
      <c r="K779" t="s">
        <v>798</v>
      </c>
      <c r="L779" t="s">
        <v>793</v>
      </c>
      <c r="M779" t="s">
        <v>842</v>
      </c>
      <c r="N779">
        <v>20</v>
      </c>
      <c r="O779" s="3">
        <v>11.26</v>
      </c>
      <c r="P779" s="3">
        <v>15.2</v>
      </c>
      <c r="Q779" s="6">
        <v>0.05</v>
      </c>
      <c r="R779" s="3">
        <v>288.8</v>
      </c>
      <c r="S779" t="s">
        <v>859</v>
      </c>
    </row>
    <row r="780" spans="1:19" x14ac:dyDescent="0.35">
      <c r="A780" t="s">
        <v>2221</v>
      </c>
      <c r="B780" t="s">
        <v>522</v>
      </c>
      <c r="C780" s="5">
        <v>45908</v>
      </c>
      <c r="D780" s="5">
        <v>45915</v>
      </c>
      <c r="E780" t="s">
        <v>523</v>
      </c>
      <c r="F780" t="s">
        <v>674</v>
      </c>
      <c r="G780" t="s">
        <v>264</v>
      </c>
      <c r="H780" t="s">
        <v>797</v>
      </c>
      <c r="I780" t="s">
        <v>14</v>
      </c>
      <c r="J780" t="s">
        <v>60</v>
      </c>
      <c r="K780" t="s">
        <v>798</v>
      </c>
      <c r="L780" t="s">
        <v>799</v>
      </c>
      <c r="M780" t="s">
        <v>842</v>
      </c>
      <c r="N780">
        <v>3</v>
      </c>
      <c r="O780" s="3">
        <v>18.18</v>
      </c>
      <c r="P780" s="3">
        <v>24.54</v>
      </c>
      <c r="Q780" s="6">
        <v>0.1</v>
      </c>
      <c r="R780" s="3">
        <v>66.25800000000001</v>
      </c>
      <c r="S780" t="s">
        <v>869</v>
      </c>
    </row>
    <row r="781" spans="1:19" x14ac:dyDescent="0.35">
      <c r="A781" t="s">
        <v>2222</v>
      </c>
      <c r="B781" t="s">
        <v>432</v>
      </c>
      <c r="C781" s="5">
        <v>45990</v>
      </c>
      <c r="D781" s="5">
        <v>45997</v>
      </c>
      <c r="E781" t="s">
        <v>433</v>
      </c>
      <c r="F781" t="s">
        <v>637</v>
      </c>
      <c r="G781" t="s">
        <v>243</v>
      </c>
      <c r="H781" t="s">
        <v>797</v>
      </c>
      <c r="I781" t="s">
        <v>79</v>
      </c>
      <c r="J781" t="s">
        <v>77</v>
      </c>
      <c r="K781" t="s">
        <v>813</v>
      </c>
      <c r="L781" t="s">
        <v>799</v>
      </c>
      <c r="M781" t="s">
        <v>818</v>
      </c>
      <c r="N781">
        <v>1</v>
      </c>
      <c r="O781" s="3">
        <v>13.71</v>
      </c>
      <c r="P781" s="3">
        <v>17.82</v>
      </c>
      <c r="Q781" s="6">
        <v>0</v>
      </c>
      <c r="R781" s="3">
        <v>17.82</v>
      </c>
      <c r="S781" t="s">
        <v>1017</v>
      </c>
    </row>
    <row r="782" spans="1:19" x14ac:dyDescent="0.35">
      <c r="A782" t="s">
        <v>2223</v>
      </c>
      <c r="B782" t="s">
        <v>491</v>
      </c>
      <c r="C782" s="5">
        <v>45414</v>
      </c>
      <c r="E782" t="s">
        <v>492</v>
      </c>
      <c r="F782" t="s">
        <v>674</v>
      </c>
      <c r="G782" t="s">
        <v>264</v>
      </c>
      <c r="H782" t="s">
        <v>14</v>
      </c>
      <c r="I782" t="s">
        <v>43</v>
      </c>
      <c r="J782" t="s">
        <v>215</v>
      </c>
      <c r="K782" t="s">
        <v>798</v>
      </c>
      <c r="L782" t="s">
        <v>793</v>
      </c>
      <c r="M782" t="s">
        <v>842</v>
      </c>
      <c r="N782">
        <v>3</v>
      </c>
      <c r="O782" s="3">
        <v>28.96</v>
      </c>
      <c r="P782" s="3">
        <v>40.54</v>
      </c>
      <c r="Q782" s="6">
        <v>0</v>
      </c>
      <c r="R782" s="3">
        <v>121.62</v>
      </c>
      <c r="S782" t="s">
        <v>839</v>
      </c>
    </row>
    <row r="783" spans="1:19" x14ac:dyDescent="0.35">
      <c r="A783" t="s">
        <v>2224</v>
      </c>
      <c r="B783" t="s">
        <v>238</v>
      </c>
      <c r="C783" s="5">
        <v>45951</v>
      </c>
      <c r="E783" t="s">
        <v>239</v>
      </c>
      <c r="F783" t="s">
        <v>696</v>
      </c>
      <c r="G783" t="s">
        <v>243</v>
      </c>
      <c r="H783" t="s">
        <v>797</v>
      </c>
      <c r="I783" t="s">
        <v>43</v>
      </c>
      <c r="J783" t="s">
        <v>99</v>
      </c>
      <c r="K783" t="s">
        <v>786</v>
      </c>
      <c r="L783" t="s">
        <v>793</v>
      </c>
      <c r="M783" t="s">
        <v>842</v>
      </c>
      <c r="N783">
        <v>2</v>
      </c>
      <c r="O783" s="3">
        <v>10.88</v>
      </c>
      <c r="P783" s="3">
        <v>15.78</v>
      </c>
      <c r="Q783" s="6">
        <v>0</v>
      </c>
      <c r="R783" s="3">
        <v>31.56</v>
      </c>
      <c r="S783" t="s">
        <v>869</v>
      </c>
    </row>
    <row r="784" spans="1:19" x14ac:dyDescent="0.35">
      <c r="A784" t="s">
        <v>2225</v>
      </c>
      <c r="B784" t="s">
        <v>498</v>
      </c>
      <c r="C784" s="5">
        <v>45308</v>
      </c>
      <c r="E784" t="s">
        <v>499</v>
      </c>
      <c r="F784" t="s">
        <v>254</v>
      </c>
      <c r="G784" t="s">
        <v>235</v>
      </c>
      <c r="H784" t="s">
        <v>20</v>
      </c>
      <c r="I784" t="s">
        <v>14</v>
      </c>
      <c r="J784" t="s">
        <v>90</v>
      </c>
      <c r="K784" t="s">
        <v>798</v>
      </c>
      <c r="L784" t="s">
        <v>793</v>
      </c>
      <c r="M784" t="s">
        <v>800</v>
      </c>
      <c r="N784">
        <v>5</v>
      </c>
      <c r="O784" s="3">
        <v>27.34</v>
      </c>
      <c r="P784" s="3">
        <v>39.64</v>
      </c>
      <c r="Q784" s="6">
        <v>0</v>
      </c>
      <c r="R784" s="3">
        <v>198.2</v>
      </c>
      <c r="S784" t="s">
        <v>935</v>
      </c>
    </row>
    <row r="785" spans="1:19" x14ac:dyDescent="0.35">
      <c r="A785" t="s">
        <v>2226</v>
      </c>
      <c r="B785" t="s">
        <v>614</v>
      </c>
      <c r="C785" s="5">
        <v>45373</v>
      </c>
      <c r="E785" t="s">
        <v>615</v>
      </c>
      <c r="F785" t="s">
        <v>633</v>
      </c>
      <c r="G785" t="s">
        <v>235</v>
      </c>
      <c r="H785" t="s">
        <v>14</v>
      </c>
      <c r="I785" t="s">
        <v>48</v>
      </c>
      <c r="J785" t="s">
        <v>210</v>
      </c>
      <c r="K785" t="s">
        <v>813</v>
      </c>
      <c r="L785" t="s">
        <v>793</v>
      </c>
      <c r="M785" t="s">
        <v>818</v>
      </c>
      <c r="N785">
        <v>20</v>
      </c>
      <c r="O785" s="3">
        <v>25.36</v>
      </c>
      <c r="P785" s="3">
        <v>34.24</v>
      </c>
      <c r="Q785" s="6">
        <v>0.05</v>
      </c>
      <c r="R785" s="3">
        <v>650.56000000000006</v>
      </c>
      <c r="S785" t="s">
        <v>869</v>
      </c>
    </row>
    <row r="786" spans="1:19" x14ac:dyDescent="0.35">
      <c r="A786" t="s">
        <v>2228</v>
      </c>
      <c r="B786" t="s">
        <v>559</v>
      </c>
      <c r="C786" s="5">
        <v>45416</v>
      </c>
      <c r="E786" t="s">
        <v>311</v>
      </c>
      <c r="F786" t="s">
        <v>254</v>
      </c>
      <c r="G786" t="s">
        <v>235</v>
      </c>
      <c r="H786" t="s">
        <v>797</v>
      </c>
      <c r="I786" t="s">
        <v>14</v>
      </c>
      <c r="J786" t="s">
        <v>90</v>
      </c>
      <c r="K786" t="s">
        <v>813</v>
      </c>
      <c r="L786" t="s">
        <v>787</v>
      </c>
      <c r="M786" t="s">
        <v>842</v>
      </c>
      <c r="N786">
        <v>20</v>
      </c>
      <c r="O786" s="3">
        <v>27.34</v>
      </c>
      <c r="P786" s="3">
        <v>39.64</v>
      </c>
      <c r="Q786" s="6">
        <v>0</v>
      </c>
      <c r="R786" s="3">
        <v>792.8</v>
      </c>
      <c r="S786" t="s">
        <v>1001</v>
      </c>
    </row>
    <row r="787" spans="1:19" x14ac:dyDescent="0.35">
      <c r="A787" t="s">
        <v>2230</v>
      </c>
      <c r="B787" t="s">
        <v>388</v>
      </c>
      <c r="C787" s="5">
        <v>46033</v>
      </c>
      <c r="D787" s="5">
        <v>46038</v>
      </c>
      <c r="E787" t="s">
        <v>389</v>
      </c>
      <c r="F787" t="s">
        <v>674</v>
      </c>
      <c r="G787" t="s">
        <v>243</v>
      </c>
      <c r="H787" t="s">
        <v>797</v>
      </c>
      <c r="I787" t="s">
        <v>43</v>
      </c>
      <c r="J787" t="s">
        <v>215</v>
      </c>
      <c r="K787" t="s">
        <v>798</v>
      </c>
      <c r="L787" t="s">
        <v>799</v>
      </c>
      <c r="M787" t="s">
        <v>842</v>
      </c>
      <c r="N787">
        <v>3</v>
      </c>
      <c r="O787" s="3">
        <v>28.96</v>
      </c>
      <c r="P787" s="3">
        <v>40.54</v>
      </c>
      <c r="Q787" s="6">
        <v>0.15</v>
      </c>
      <c r="R787" s="3">
        <v>103.37700000000001</v>
      </c>
      <c r="S787" t="s">
        <v>829</v>
      </c>
    </row>
    <row r="788" spans="1:19" x14ac:dyDescent="0.35">
      <c r="A788" t="s">
        <v>2231</v>
      </c>
      <c r="B788" t="s">
        <v>281</v>
      </c>
      <c r="C788" s="5">
        <v>45336</v>
      </c>
      <c r="D788" s="5">
        <v>45339</v>
      </c>
      <c r="E788" t="s">
        <v>282</v>
      </c>
      <c r="F788" t="s">
        <v>633</v>
      </c>
      <c r="G788" t="s">
        <v>243</v>
      </c>
      <c r="H788" t="s">
        <v>797</v>
      </c>
      <c r="I788" t="s">
        <v>8</v>
      </c>
      <c r="J788" t="s">
        <v>21</v>
      </c>
      <c r="K788" t="s">
        <v>798</v>
      </c>
      <c r="L788" t="s">
        <v>799</v>
      </c>
      <c r="M788" t="s">
        <v>818</v>
      </c>
      <c r="N788">
        <v>3</v>
      </c>
      <c r="O788" s="3">
        <v>21.57</v>
      </c>
      <c r="P788" s="3">
        <v>26.96</v>
      </c>
      <c r="Q788" s="6">
        <v>0</v>
      </c>
      <c r="R788" s="3">
        <v>80.88</v>
      </c>
      <c r="S788" t="s">
        <v>1001</v>
      </c>
    </row>
    <row r="789" spans="1:19" x14ac:dyDescent="0.35">
      <c r="A789" t="s">
        <v>2232</v>
      </c>
      <c r="B789" t="s">
        <v>494</v>
      </c>
      <c r="C789" s="5">
        <v>45433</v>
      </c>
      <c r="D789" s="5">
        <v>45435</v>
      </c>
      <c r="E789" t="s">
        <v>396</v>
      </c>
      <c r="F789" t="s">
        <v>254</v>
      </c>
      <c r="G789" t="s">
        <v>243</v>
      </c>
      <c r="H789" t="s">
        <v>797</v>
      </c>
      <c r="I789" t="s">
        <v>29</v>
      </c>
      <c r="J789" t="s">
        <v>183</v>
      </c>
      <c r="K789" t="s">
        <v>786</v>
      </c>
      <c r="L789" t="s">
        <v>799</v>
      </c>
      <c r="M789" t="s">
        <v>818</v>
      </c>
      <c r="N789">
        <v>12</v>
      </c>
      <c r="O789" s="3">
        <v>10.97</v>
      </c>
      <c r="P789" s="3">
        <v>15.91</v>
      </c>
      <c r="Q789" s="6">
        <v>0.15</v>
      </c>
      <c r="R789" s="3">
        <v>162.28200000000001</v>
      </c>
      <c r="S789" t="s">
        <v>845</v>
      </c>
    </row>
    <row r="790" spans="1:19" x14ac:dyDescent="0.35">
      <c r="A790" t="s">
        <v>2233</v>
      </c>
      <c r="B790" t="s">
        <v>397</v>
      </c>
      <c r="C790" s="5">
        <v>45826</v>
      </c>
      <c r="E790" t="s">
        <v>360</v>
      </c>
      <c r="F790" t="s">
        <v>627</v>
      </c>
      <c r="H790" t="s">
        <v>14</v>
      </c>
      <c r="I790" t="s">
        <v>79</v>
      </c>
      <c r="J790" t="s">
        <v>220</v>
      </c>
      <c r="K790" t="s">
        <v>798</v>
      </c>
      <c r="L790" t="s">
        <v>793</v>
      </c>
      <c r="M790" t="s">
        <v>818</v>
      </c>
      <c r="N790">
        <v>10</v>
      </c>
      <c r="O790" s="3">
        <v>46</v>
      </c>
      <c r="P790" s="3">
        <v>62.1</v>
      </c>
      <c r="Q790" s="6">
        <v>0</v>
      </c>
      <c r="R790" s="3">
        <v>621</v>
      </c>
      <c r="S790" t="s">
        <v>834</v>
      </c>
    </row>
    <row r="791" spans="1:19" x14ac:dyDescent="0.35">
      <c r="A791" t="s">
        <v>2234</v>
      </c>
      <c r="B791" t="s">
        <v>592</v>
      </c>
      <c r="C791" s="5">
        <v>45562</v>
      </c>
      <c r="E791" t="s">
        <v>478</v>
      </c>
      <c r="F791" t="s">
        <v>254</v>
      </c>
      <c r="G791" t="s">
        <v>243</v>
      </c>
      <c r="H791" t="s">
        <v>797</v>
      </c>
      <c r="I791" t="s">
        <v>48</v>
      </c>
      <c r="J791" t="s">
        <v>54</v>
      </c>
      <c r="K791" t="s">
        <v>786</v>
      </c>
      <c r="L791" t="s">
        <v>793</v>
      </c>
      <c r="M791" t="s">
        <v>788</v>
      </c>
      <c r="N791">
        <v>2</v>
      </c>
      <c r="O791" s="3">
        <v>21.67</v>
      </c>
      <c r="P791" s="3">
        <v>28.17</v>
      </c>
      <c r="Q791" s="6">
        <v>0.15</v>
      </c>
      <c r="R791" s="3">
        <v>47.889000000000003</v>
      </c>
      <c r="S791" t="s">
        <v>834</v>
      </c>
    </row>
    <row r="792" spans="1:19" x14ac:dyDescent="0.35">
      <c r="A792" t="s">
        <v>2235</v>
      </c>
      <c r="B792" t="s">
        <v>291</v>
      </c>
      <c r="C792" s="5">
        <v>45368</v>
      </c>
      <c r="D792" s="5">
        <v>45374</v>
      </c>
      <c r="E792" t="s">
        <v>292</v>
      </c>
      <c r="F792" t="s">
        <v>674</v>
      </c>
      <c r="G792" t="s">
        <v>243</v>
      </c>
      <c r="H792" t="s">
        <v>797</v>
      </c>
      <c r="I792" t="s">
        <v>29</v>
      </c>
      <c r="J792" t="s">
        <v>27</v>
      </c>
      <c r="K792" t="s">
        <v>798</v>
      </c>
      <c r="L792" t="s">
        <v>799</v>
      </c>
      <c r="M792" t="s">
        <v>788</v>
      </c>
      <c r="N792">
        <v>3</v>
      </c>
      <c r="O792" s="3">
        <v>33.06</v>
      </c>
      <c r="P792" s="3">
        <v>47.94</v>
      </c>
      <c r="Q792" s="6">
        <v>0.05</v>
      </c>
      <c r="R792" s="3">
        <v>136.62899999999999</v>
      </c>
      <c r="S792" t="s">
        <v>919</v>
      </c>
    </row>
    <row r="793" spans="1:19" x14ac:dyDescent="0.35">
      <c r="A793" t="s">
        <v>2236</v>
      </c>
      <c r="B793" t="s">
        <v>609</v>
      </c>
      <c r="C793" s="5">
        <v>45505</v>
      </c>
      <c r="D793" s="5">
        <v>45514</v>
      </c>
      <c r="E793" t="s">
        <v>610</v>
      </c>
      <c r="F793" t="s">
        <v>627</v>
      </c>
      <c r="H793" t="s">
        <v>14</v>
      </c>
      <c r="I793" t="s">
        <v>8</v>
      </c>
      <c r="J793" t="s">
        <v>207</v>
      </c>
      <c r="K793" t="s">
        <v>798</v>
      </c>
      <c r="L793" t="s">
        <v>822</v>
      </c>
      <c r="M793" t="s">
        <v>818</v>
      </c>
      <c r="N793">
        <v>1</v>
      </c>
      <c r="O793" s="3">
        <v>8.5399999999999991</v>
      </c>
      <c r="P793" s="3">
        <v>10.67</v>
      </c>
      <c r="Q793" s="6">
        <v>0.15</v>
      </c>
      <c r="R793" s="3">
        <v>9.0694999999999997</v>
      </c>
      <c r="S793" t="s">
        <v>888</v>
      </c>
    </row>
    <row r="794" spans="1:19" x14ac:dyDescent="0.35">
      <c r="A794" t="s">
        <v>2238</v>
      </c>
      <c r="B794" t="s">
        <v>386</v>
      </c>
      <c r="C794" s="5">
        <v>45400</v>
      </c>
      <c r="D794" s="5">
        <v>45402</v>
      </c>
      <c r="E794" t="s">
        <v>387</v>
      </c>
      <c r="F794" t="s">
        <v>633</v>
      </c>
      <c r="G794" t="s">
        <v>243</v>
      </c>
      <c r="H794" t="s">
        <v>797</v>
      </c>
      <c r="I794" t="s">
        <v>20</v>
      </c>
      <c r="J794" t="s">
        <v>119</v>
      </c>
      <c r="K794" t="s">
        <v>798</v>
      </c>
      <c r="L794" t="s">
        <v>799</v>
      </c>
      <c r="M794" t="s">
        <v>788</v>
      </c>
      <c r="N794">
        <v>3</v>
      </c>
      <c r="O794" s="3">
        <v>40.94</v>
      </c>
      <c r="P794" s="3">
        <v>53.22</v>
      </c>
      <c r="Q794" s="6">
        <v>0.05</v>
      </c>
      <c r="R794" s="3">
        <v>151.67699999999999</v>
      </c>
      <c r="S794" t="s">
        <v>963</v>
      </c>
    </row>
    <row r="795" spans="1:19" x14ac:dyDescent="0.35">
      <c r="A795" t="s">
        <v>2239</v>
      </c>
      <c r="B795" t="s">
        <v>359</v>
      </c>
      <c r="C795" s="5">
        <v>45576</v>
      </c>
      <c r="D795" s="5">
        <v>45578</v>
      </c>
      <c r="E795" t="s">
        <v>360</v>
      </c>
      <c r="F795" t="s">
        <v>681</v>
      </c>
      <c r="G795" t="s">
        <v>235</v>
      </c>
      <c r="H795" t="s">
        <v>797</v>
      </c>
      <c r="I795" t="s">
        <v>29</v>
      </c>
      <c r="J795" t="s">
        <v>145</v>
      </c>
      <c r="K795" t="s">
        <v>786</v>
      </c>
      <c r="L795" t="s">
        <v>799</v>
      </c>
      <c r="M795" t="s">
        <v>788</v>
      </c>
      <c r="N795">
        <v>10</v>
      </c>
      <c r="O795" s="3">
        <v>57.16</v>
      </c>
      <c r="P795" s="3">
        <v>82.88</v>
      </c>
      <c r="Q795" s="6">
        <v>0.05</v>
      </c>
      <c r="R795" s="3">
        <v>787.3599999999999</v>
      </c>
      <c r="S795" t="s">
        <v>919</v>
      </c>
    </row>
    <row r="796" spans="1:19" x14ac:dyDescent="0.35">
      <c r="A796" t="s">
        <v>2240</v>
      </c>
      <c r="B796" t="s">
        <v>494</v>
      </c>
      <c r="C796" s="5">
        <v>45538</v>
      </c>
      <c r="D796" s="5">
        <v>45547</v>
      </c>
      <c r="E796" t="s">
        <v>396</v>
      </c>
      <c r="F796" t="s">
        <v>674</v>
      </c>
      <c r="G796" t="s">
        <v>243</v>
      </c>
      <c r="H796" t="s">
        <v>797</v>
      </c>
      <c r="I796" t="s">
        <v>14</v>
      </c>
      <c r="J796" t="s">
        <v>209</v>
      </c>
      <c r="K796" t="s">
        <v>798</v>
      </c>
      <c r="L796" t="s">
        <v>799</v>
      </c>
      <c r="M796" t="s">
        <v>800</v>
      </c>
      <c r="N796">
        <v>10</v>
      </c>
      <c r="O796" s="3">
        <v>24.18</v>
      </c>
      <c r="P796" s="3">
        <v>33.85</v>
      </c>
      <c r="Q796" s="6">
        <v>0</v>
      </c>
      <c r="R796" s="3">
        <v>338.5</v>
      </c>
      <c r="S796" t="s">
        <v>919</v>
      </c>
    </row>
    <row r="797" spans="1:19" x14ac:dyDescent="0.35">
      <c r="A797" t="s">
        <v>2242</v>
      </c>
      <c r="B797" t="s">
        <v>481</v>
      </c>
      <c r="C797" s="5">
        <v>45378</v>
      </c>
      <c r="D797" s="5">
        <v>45384</v>
      </c>
      <c r="E797" t="s">
        <v>482</v>
      </c>
      <c r="F797" t="s">
        <v>674</v>
      </c>
      <c r="G797" t="s">
        <v>264</v>
      </c>
      <c r="H797" t="s">
        <v>797</v>
      </c>
      <c r="I797" t="s">
        <v>29</v>
      </c>
      <c r="J797" t="s">
        <v>106</v>
      </c>
      <c r="K797" t="s">
        <v>798</v>
      </c>
      <c r="L797" t="s">
        <v>799</v>
      </c>
      <c r="M797" t="s">
        <v>842</v>
      </c>
      <c r="N797">
        <v>5</v>
      </c>
      <c r="O797" s="3">
        <v>29.64</v>
      </c>
      <c r="P797" s="3">
        <v>41.5</v>
      </c>
      <c r="Q797" s="6">
        <v>0.05</v>
      </c>
      <c r="R797" s="3">
        <v>197.125</v>
      </c>
      <c r="S797" t="s">
        <v>1017</v>
      </c>
    </row>
    <row r="798" spans="1:19" x14ac:dyDescent="0.35">
      <c r="A798" t="s">
        <v>2243</v>
      </c>
      <c r="B798" t="s">
        <v>570</v>
      </c>
      <c r="C798" s="5">
        <v>45392</v>
      </c>
      <c r="E798" t="s">
        <v>435</v>
      </c>
      <c r="F798" t="s">
        <v>696</v>
      </c>
      <c r="G798" t="s">
        <v>264</v>
      </c>
      <c r="H798" t="s">
        <v>20</v>
      </c>
      <c r="I798" t="s">
        <v>48</v>
      </c>
      <c r="J798" t="s">
        <v>61</v>
      </c>
      <c r="K798" t="s">
        <v>798</v>
      </c>
      <c r="L798" t="s">
        <v>793</v>
      </c>
      <c r="M798" t="s">
        <v>818</v>
      </c>
      <c r="N798">
        <v>10</v>
      </c>
      <c r="O798" s="3">
        <v>26.08</v>
      </c>
      <c r="P798" s="3">
        <v>35.21</v>
      </c>
      <c r="Q798" s="6">
        <v>0</v>
      </c>
      <c r="R798" s="3">
        <v>352.1</v>
      </c>
      <c r="S798" t="s">
        <v>946</v>
      </c>
    </row>
    <row r="799" spans="1:19" x14ac:dyDescent="0.35">
      <c r="A799" t="s">
        <v>2244</v>
      </c>
      <c r="B799" t="s">
        <v>555</v>
      </c>
      <c r="C799" s="5">
        <v>45574</v>
      </c>
      <c r="E799" t="s">
        <v>391</v>
      </c>
      <c r="F799" t="s">
        <v>696</v>
      </c>
      <c r="G799" t="s">
        <v>264</v>
      </c>
      <c r="H799" t="s">
        <v>14</v>
      </c>
      <c r="I799" t="s">
        <v>14</v>
      </c>
      <c r="J799" t="s">
        <v>111</v>
      </c>
      <c r="K799" t="s">
        <v>813</v>
      </c>
      <c r="L799" t="s">
        <v>787</v>
      </c>
      <c r="M799" t="s">
        <v>788</v>
      </c>
      <c r="N799">
        <v>3</v>
      </c>
      <c r="O799" s="3">
        <v>19.850000000000001</v>
      </c>
      <c r="P799" s="3">
        <v>28.78</v>
      </c>
      <c r="Q799" s="6">
        <v>0</v>
      </c>
      <c r="R799" s="3">
        <v>86.34</v>
      </c>
      <c r="S799" t="s">
        <v>794</v>
      </c>
    </row>
    <row r="800" spans="1:19" x14ac:dyDescent="0.35">
      <c r="A800" t="s">
        <v>2245</v>
      </c>
      <c r="B800" t="s">
        <v>272</v>
      </c>
      <c r="C800" s="5">
        <v>45409</v>
      </c>
      <c r="E800" t="s">
        <v>273</v>
      </c>
      <c r="F800" t="s">
        <v>627</v>
      </c>
      <c r="G800" t="s">
        <v>243</v>
      </c>
      <c r="H800" t="s">
        <v>797</v>
      </c>
      <c r="I800" t="s">
        <v>14</v>
      </c>
      <c r="J800" t="s">
        <v>152</v>
      </c>
      <c r="K800" t="s">
        <v>813</v>
      </c>
      <c r="L800" t="s">
        <v>787</v>
      </c>
      <c r="M800" t="s">
        <v>788</v>
      </c>
      <c r="N800">
        <v>1</v>
      </c>
      <c r="O800" s="3">
        <v>38.549999999999997</v>
      </c>
      <c r="P800" s="3">
        <v>53.97</v>
      </c>
      <c r="Q800" s="6">
        <v>0.1</v>
      </c>
      <c r="R800" s="3">
        <v>48.573</v>
      </c>
      <c r="S800" t="s">
        <v>1001</v>
      </c>
    </row>
    <row r="801" spans="1:19" x14ac:dyDescent="0.35">
      <c r="A801" t="s">
        <v>2247</v>
      </c>
      <c r="B801" t="s">
        <v>465</v>
      </c>
      <c r="C801" s="5">
        <v>46025</v>
      </c>
      <c r="D801" s="5">
        <v>46028</v>
      </c>
      <c r="E801" t="s">
        <v>348</v>
      </c>
      <c r="F801" t="s">
        <v>696</v>
      </c>
      <c r="G801" t="s">
        <v>264</v>
      </c>
      <c r="H801" t="s">
        <v>797</v>
      </c>
      <c r="I801" t="s">
        <v>29</v>
      </c>
      <c r="J801" t="s">
        <v>183</v>
      </c>
      <c r="K801" t="s">
        <v>798</v>
      </c>
      <c r="L801" t="s">
        <v>799</v>
      </c>
      <c r="M801" t="s">
        <v>800</v>
      </c>
      <c r="N801">
        <v>3</v>
      </c>
      <c r="O801" s="3">
        <v>10.97</v>
      </c>
      <c r="P801" s="3">
        <v>15.91</v>
      </c>
      <c r="Q801" s="6">
        <v>0.05</v>
      </c>
      <c r="R801" s="3">
        <v>45.343500000000006</v>
      </c>
      <c r="S801" t="s">
        <v>963</v>
      </c>
    </row>
    <row r="802" spans="1:19" x14ac:dyDescent="0.35">
      <c r="A802" t="s">
        <v>2248</v>
      </c>
      <c r="B802" t="s">
        <v>565</v>
      </c>
      <c r="C802" s="5">
        <v>45500</v>
      </c>
      <c r="E802" t="s">
        <v>566</v>
      </c>
      <c r="F802" t="s">
        <v>633</v>
      </c>
      <c r="H802" t="s">
        <v>20</v>
      </c>
      <c r="I802" t="s">
        <v>43</v>
      </c>
      <c r="J802" t="s">
        <v>200</v>
      </c>
      <c r="K802" t="s">
        <v>798</v>
      </c>
      <c r="L802" t="s">
        <v>787</v>
      </c>
      <c r="M802" t="s">
        <v>788</v>
      </c>
      <c r="N802">
        <v>3</v>
      </c>
      <c r="O802" s="3">
        <v>69.23</v>
      </c>
      <c r="P802" s="3">
        <v>86.54</v>
      </c>
      <c r="Q802" s="6">
        <v>0.1</v>
      </c>
      <c r="R802" s="3">
        <v>233.65800000000002</v>
      </c>
      <c r="S802" t="s">
        <v>1001</v>
      </c>
    </row>
    <row r="803" spans="1:19" x14ac:dyDescent="0.35">
      <c r="A803" t="s">
        <v>2249</v>
      </c>
      <c r="B803" t="s">
        <v>603</v>
      </c>
      <c r="C803" s="5">
        <v>45929</v>
      </c>
      <c r="E803" t="s">
        <v>508</v>
      </c>
      <c r="F803" t="s">
        <v>633</v>
      </c>
      <c r="G803" t="s">
        <v>264</v>
      </c>
      <c r="H803" t="s">
        <v>20</v>
      </c>
      <c r="I803" t="s">
        <v>29</v>
      </c>
      <c r="J803" t="s">
        <v>86</v>
      </c>
      <c r="K803" t="s">
        <v>798</v>
      </c>
      <c r="L803" t="s">
        <v>787</v>
      </c>
      <c r="M803" t="s">
        <v>842</v>
      </c>
      <c r="N803">
        <v>20</v>
      </c>
      <c r="O803" s="3">
        <v>8.35</v>
      </c>
      <c r="P803" s="3">
        <v>12.11</v>
      </c>
      <c r="Q803" s="6">
        <v>0</v>
      </c>
      <c r="R803" s="3">
        <v>242.2</v>
      </c>
      <c r="S803" t="s">
        <v>810</v>
      </c>
    </row>
    <row r="804" spans="1:19" x14ac:dyDescent="0.35">
      <c r="A804" t="s">
        <v>2250</v>
      </c>
      <c r="B804" t="s">
        <v>347</v>
      </c>
      <c r="C804" s="5">
        <v>45632</v>
      </c>
      <c r="E804" t="s">
        <v>348</v>
      </c>
      <c r="F804" t="s">
        <v>254</v>
      </c>
      <c r="G804" t="s">
        <v>243</v>
      </c>
      <c r="H804" t="s">
        <v>14</v>
      </c>
      <c r="I804" t="s">
        <v>8</v>
      </c>
      <c r="J804" t="s">
        <v>192</v>
      </c>
      <c r="K804" t="s">
        <v>798</v>
      </c>
      <c r="L804" t="s">
        <v>787</v>
      </c>
      <c r="M804" t="s">
        <v>800</v>
      </c>
      <c r="N804">
        <v>2</v>
      </c>
      <c r="O804" s="3">
        <v>19.47</v>
      </c>
      <c r="P804" s="3">
        <v>28.23</v>
      </c>
      <c r="Q804" s="6">
        <v>0</v>
      </c>
      <c r="R804" s="3">
        <v>56.46</v>
      </c>
      <c r="S804" t="s">
        <v>810</v>
      </c>
    </row>
    <row r="805" spans="1:19" x14ac:dyDescent="0.35">
      <c r="A805" t="s">
        <v>2251</v>
      </c>
      <c r="B805" t="s">
        <v>551</v>
      </c>
      <c r="C805" s="5">
        <v>45987</v>
      </c>
      <c r="D805" s="5">
        <v>45988</v>
      </c>
      <c r="E805" t="s">
        <v>304</v>
      </c>
      <c r="F805" t="s">
        <v>633</v>
      </c>
      <c r="G805" t="s">
        <v>264</v>
      </c>
      <c r="H805" t="s">
        <v>48</v>
      </c>
      <c r="I805" t="s">
        <v>29</v>
      </c>
      <c r="J805" t="s">
        <v>158</v>
      </c>
      <c r="K805" t="s">
        <v>798</v>
      </c>
      <c r="L805" t="s">
        <v>799</v>
      </c>
      <c r="M805" t="s">
        <v>788</v>
      </c>
      <c r="N805">
        <v>10</v>
      </c>
      <c r="O805" s="3">
        <v>25.8</v>
      </c>
      <c r="P805" s="3">
        <v>36.119999999999997</v>
      </c>
      <c r="Q805" s="6">
        <v>0.05</v>
      </c>
      <c r="R805" s="3">
        <v>343.14</v>
      </c>
      <c r="S805" t="s">
        <v>919</v>
      </c>
    </row>
    <row r="806" spans="1:19" x14ac:dyDescent="0.35">
      <c r="A806" t="s">
        <v>2252</v>
      </c>
      <c r="B806" t="s">
        <v>580</v>
      </c>
      <c r="C806" s="5">
        <v>45309</v>
      </c>
      <c r="E806" t="s">
        <v>581</v>
      </c>
      <c r="F806" t="s">
        <v>633</v>
      </c>
      <c r="G806" t="s">
        <v>235</v>
      </c>
      <c r="H806" t="s">
        <v>20</v>
      </c>
      <c r="I806" t="s">
        <v>48</v>
      </c>
      <c r="J806" t="s">
        <v>148</v>
      </c>
      <c r="K806" t="s">
        <v>798</v>
      </c>
      <c r="L806" t="s">
        <v>787</v>
      </c>
      <c r="M806" t="s">
        <v>788</v>
      </c>
      <c r="N806">
        <v>12</v>
      </c>
      <c r="O806" s="3">
        <v>58.01</v>
      </c>
      <c r="P806" s="3">
        <v>72.510000000000005</v>
      </c>
      <c r="Q806" s="6">
        <v>0</v>
      </c>
      <c r="R806" s="3">
        <v>870.12000000000012</v>
      </c>
      <c r="S806" t="s">
        <v>919</v>
      </c>
    </row>
    <row r="807" spans="1:19" x14ac:dyDescent="0.35">
      <c r="A807" t="s">
        <v>2253</v>
      </c>
      <c r="B807" t="s">
        <v>491</v>
      </c>
      <c r="C807" s="5">
        <v>45603</v>
      </c>
      <c r="E807" t="s">
        <v>492</v>
      </c>
      <c r="F807" t="s">
        <v>696</v>
      </c>
      <c r="G807" t="s">
        <v>264</v>
      </c>
      <c r="H807" t="s">
        <v>20</v>
      </c>
      <c r="I807" t="s">
        <v>14</v>
      </c>
      <c r="J807" t="s">
        <v>16</v>
      </c>
      <c r="K807" t="s">
        <v>786</v>
      </c>
      <c r="L807" t="s">
        <v>793</v>
      </c>
      <c r="M807" t="s">
        <v>818</v>
      </c>
      <c r="N807">
        <v>2</v>
      </c>
      <c r="O807" s="3">
        <v>56.69</v>
      </c>
      <c r="P807" s="3">
        <v>79.37</v>
      </c>
      <c r="Q807" s="6">
        <v>0</v>
      </c>
      <c r="R807" s="3">
        <v>158.74</v>
      </c>
      <c r="S807" t="s">
        <v>814</v>
      </c>
    </row>
    <row r="808" spans="1:19" x14ac:dyDescent="0.35">
      <c r="A808" t="s">
        <v>2254</v>
      </c>
      <c r="B808" t="s">
        <v>448</v>
      </c>
      <c r="C808" s="5">
        <v>45761</v>
      </c>
      <c r="D808" s="5">
        <v>45770</v>
      </c>
      <c r="E808" t="s">
        <v>427</v>
      </c>
      <c r="F808" t="s">
        <v>633</v>
      </c>
      <c r="G808" t="s">
        <v>243</v>
      </c>
      <c r="H808" t="s">
        <v>20</v>
      </c>
      <c r="I808" t="s">
        <v>8</v>
      </c>
      <c r="J808" t="s">
        <v>207</v>
      </c>
      <c r="K808" t="s">
        <v>786</v>
      </c>
      <c r="L808" t="s">
        <v>799</v>
      </c>
      <c r="M808" t="s">
        <v>818</v>
      </c>
      <c r="N808">
        <v>20</v>
      </c>
      <c r="O808" s="3">
        <v>8.5399999999999991</v>
      </c>
      <c r="P808" s="3">
        <v>10.67</v>
      </c>
      <c r="Q808" s="6">
        <v>0</v>
      </c>
      <c r="R808" s="3">
        <v>213.4</v>
      </c>
      <c r="S808" t="s">
        <v>1017</v>
      </c>
    </row>
    <row r="809" spans="1:19" x14ac:dyDescent="0.35">
      <c r="A809" t="s">
        <v>2255</v>
      </c>
      <c r="B809" t="s">
        <v>257</v>
      </c>
      <c r="C809" s="5">
        <v>46037</v>
      </c>
      <c r="D809" s="5">
        <v>46038</v>
      </c>
      <c r="E809" t="s">
        <v>258</v>
      </c>
      <c r="F809" t="s">
        <v>674</v>
      </c>
      <c r="G809" t="s">
        <v>235</v>
      </c>
      <c r="H809" t="s">
        <v>48</v>
      </c>
      <c r="I809" t="s">
        <v>29</v>
      </c>
      <c r="J809" t="s">
        <v>182</v>
      </c>
      <c r="K809" t="s">
        <v>786</v>
      </c>
      <c r="L809" t="s">
        <v>799</v>
      </c>
      <c r="M809" t="s">
        <v>788</v>
      </c>
      <c r="N809">
        <v>12</v>
      </c>
      <c r="O809" s="3">
        <v>19.77</v>
      </c>
      <c r="P809" s="3">
        <v>27.68</v>
      </c>
      <c r="Q809" s="6">
        <v>0</v>
      </c>
      <c r="R809" s="3">
        <v>332.15999999999997</v>
      </c>
      <c r="S809" t="s">
        <v>819</v>
      </c>
    </row>
    <row r="810" spans="1:19" x14ac:dyDescent="0.35">
      <c r="A810" t="s">
        <v>2256</v>
      </c>
      <c r="B810" t="s">
        <v>603</v>
      </c>
      <c r="C810" s="5">
        <v>45542</v>
      </c>
      <c r="D810" s="5">
        <v>45544</v>
      </c>
      <c r="E810" t="s">
        <v>508</v>
      </c>
      <c r="F810" t="s">
        <v>681</v>
      </c>
      <c r="G810" t="s">
        <v>264</v>
      </c>
      <c r="H810" t="s">
        <v>48</v>
      </c>
      <c r="I810" t="s">
        <v>43</v>
      </c>
      <c r="J810" t="s">
        <v>215</v>
      </c>
      <c r="K810" t="s">
        <v>798</v>
      </c>
      <c r="L810" t="s">
        <v>799</v>
      </c>
      <c r="M810" t="s">
        <v>788</v>
      </c>
      <c r="N810">
        <v>12</v>
      </c>
      <c r="O810" s="3">
        <v>28.96</v>
      </c>
      <c r="P810" s="3">
        <v>40.54</v>
      </c>
      <c r="Q810" s="6">
        <v>0.05</v>
      </c>
      <c r="R810" s="3">
        <v>462.15600000000001</v>
      </c>
      <c r="S810" t="s">
        <v>869</v>
      </c>
    </row>
    <row r="811" spans="1:19" x14ac:dyDescent="0.35">
      <c r="A811" t="s">
        <v>2258</v>
      </c>
      <c r="B811" t="s">
        <v>579</v>
      </c>
      <c r="C811" s="5">
        <v>45572</v>
      </c>
      <c r="D811" s="5">
        <v>45578</v>
      </c>
      <c r="E811" t="s">
        <v>514</v>
      </c>
      <c r="F811" t="s">
        <v>627</v>
      </c>
      <c r="G811" t="s">
        <v>243</v>
      </c>
      <c r="H811" t="s">
        <v>20</v>
      </c>
      <c r="I811" t="s">
        <v>38</v>
      </c>
      <c r="J811" t="s">
        <v>117</v>
      </c>
      <c r="K811" t="s">
        <v>798</v>
      </c>
      <c r="L811" t="s">
        <v>822</v>
      </c>
      <c r="M811" t="s">
        <v>788</v>
      </c>
      <c r="N811">
        <v>10</v>
      </c>
      <c r="O811" s="3">
        <v>43.25</v>
      </c>
      <c r="P811" s="3">
        <v>60.55</v>
      </c>
      <c r="Q811" s="6">
        <v>0</v>
      </c>
      <c r="R811" s="3">
        <v>605.5</v>
      </c>
      <c r="S811" t="s">
        <v>825</v>
      </c>
    </row>
    <row r="812" spans="1:19" x14ac:dyDescent="0.35">
      <c r="A812" t="s">
        <v>2259</v>
      </c>
      <c r="B812" t="s">
        <v>548</v>
      </c>
      <c r="C812" s="5">
        <v>45631</v>
      </c>
      <c r="E812" t="s">
        <v>549</v>
      </c>
      <c r="F812" t="s">
        <v>696</v>
      </c>
      <c r="G812" t="s">
        <v>264</v>
      </c>
      <c r="H812" t="s">
        <v>48</v>
      </c>
      <c r="I812" t="s">
        <v>48</v>
      </c>
      <c r="J812" t="s">
        <v>84</v>
      </c>
      <c r="K812" t="s">
        <v>798</v>
      </c>
      <c r="L812" t="s">
        <v>793</v>
      </c>
      <c r="M812" t="s">
        <v>800</v>
      </c>
      <c r="N812">
        <v>2</v>
      </c>
      <c r="O812" s="3">
        <v>27.52</v>
      </c>
      <c r="P812" s="3">
        <v>34.4</v>
      </c>
      <c r="Q812" s="6">
        <v>0.1</v>
      </c>
      <c r="R812" s="3">
        <v>61.919999999999995</v>
      </c>
      <c r="S812" t="s">
        <v>919</v>
      </c>
    </row>
    <row r="813" spans="1:19" x14ac:dyDescent="0.35">
      <c r="A813" t="s">
        <v>2260</v>
      </c>
      <c r="B813" t="s">
        <v>540</v>
      </c>
      <c r="C813" s="5">
        <v>45735</v>
      </c>
      <c r="E813" t="s">
        <v>458</v>
      </c>
      <c r="F813" t="s">
        <v>637</v>
      </c>
      <c r="G813" t="s">
        <v>264</v>
      </c>
      <c r="H813" t="s">
        <v>20</v>
      </c>
      <c r="I813" t="s">
        <v>8</v>
      </c>
      <c r="J813" t="s">
        <v>65</v>
      </c>
      <c r="K813" t="s">
        <v>798</v>
      </c>
      <c r="L813" t="s">
        <v>817</v>
      </c>
      <c r="M813" t="s">
        <v>818</v>
      </c>
      <c r="N813">
        <v>10</v>
      </c>
      <c r="O813" s="3">
        <v>30.16</v>
      </c>
      <c r="P813" s="3">
        <v>40.72</v>
      </c>
      <c r="Q813" s="6">
        <v>0.15</v>
      </c>
      <c r="R813" s="3">
        <v>346.12</v>
      </c>
      <c r="S813" t="s">
        <v>888</v>
      </c>
    </row>
    <row r="814" spans="1:19" x14ac:dyDescent="0.35">
      <c r="A814" t="s">
        <v>2262</v>
      </c>
      <c r="B814" t="s">
        <v>520</v>
      </c>
      <c r="C814" s="5">
        <v>45769</v>
      </c>
      <c r="E814" t="s">
        <v>521</v>
      </c>
      <c r="F814" t="s">
        <v>633</v>
      </c>
      <c r="G814" t="s">
        <v>243</v>
      </c>
      <c r="H814" t="s">
        <v>14</v>
      </c>
      <c r="I814" t="s">
        <v>43</v>
      </c>
      <c r="J814" t="s">
        <v>99</v>
      </c>
      <c r="K814" t="s">
        <v>798</v>
      </c>
      <c r="L814" t="s">
        <v>793</v>
      </c>
      <c r="M814" t="s">
        <v>800</v>
      </c>
      <c r="N814">
        <v>2</v>
      </c>
      <c r="O814" s="3">
        <v>10.88</v>
      </c>
      <c r="P814" s="3">
        <v>15.78</v>
      </c>
      <c r="Q814" s="6">
        <v>0</v>
      </c>
      <c r="R814" s="3">
        <v>31.56</v>
      </c>
      <c r="S814" t="s">
        <v>859</v>
      </c>
    </row>
    <row r="815" spans="1:19" x14ac:dyDescent="0.35">
      <c r="A815" t="s">
        <v>2263</v>
      </c>
      <c r="B815" t="s">
        <v>276</v>
      </c>
      <c r="C815" s="5">
        <v>45307</v>
      </c>
      <c r="E815" t="s">
        <v>277</v>
      </c>
      <c r="F815" t="s">
        <v>674</v>
      </c>
      <c r="G815" t="s">
        <v>243</v>
      </c>
      <c r="H815" t="s">
        <v>797</v>
      </c>
      <c r="I815" t="s">
        <v>20</v>
      </c>
      <c r="J815" t="s">
        <v>196</v>
      </c>
      <c r="K815" t="s">
        <v>798</v>
      </c>
      <c r="L815" t="s">
        <v>787</v>
      </c>
      <c r="M815" t="s">
        <v>800</v>
      </c>
      <c r="N815">
        <v>10</v>
      </c>
      <c r="O815" s="3">
        <v>15.78</v>
      </c>
      <c r="P815" s="3">
        <v>19.72</v>
      </c>
      <c r="Q815" s="6">
        <v>0</v>
      </c>
      <c r="R815" s="3">
        <v>197.2</v>
      </c>
      <c r="S815" t="s">
        <v>876</v>
      </c>
    </row>
    <row r="816" spans="1:19" x14ac:dyDescent="0.35">
      <c r="A816" t="s">
        <v>2264</v>
      </c>
      <c r="B816" t="s">
        <v>281</v>
      </c>
      <c r="C816" s="5">
        <v>45652</v>
      </c>
      <c r="D816" s="5">
        <v>45657</v>
      </c>
      <c r="E816" t="s">
        <v>282</v>
      </c>
      <c r="F816" t="s">
        <v>633</v>
      </c>
      <c r="G816" t="s">
        <v>243</v>
      </c>
      <c r="H816" t="s">
        <v>797</v>
      </c>
      <c r="I816" t="s">
        <v>14</v>
      </c>
      <c r="J816" t="s">
        <v>24</v>
      </c>
      <c r="K816" t="s">
        <v>786</v>
      </c>
      <c r="L816" t="s">
        <v>799</v>
      </c>
      <c r="M816" t="s">
        <v>788</v>
      </c>
      <c r="N816">
        <v>3</v>
      </c>
      <c r="O816" s="3">
        <v>37.42</v>
      </c>
      <c r="P816" s="3">
        <v>50.52</v>
      </c>
      <c r="Q816" s="6">
        <v>0</v>
      </c>
      <c r="R816" s="3">
        <v>151.56</v>
      </c>
      <c r="S816" t="s">
        <v>1001</v>
      </c>
    </row>
    <row r="817" spans="1:19" x14ac:dyDescent="0.35">
      <c r="A817" t="s">
        <v>2265</v>
      </c>
      <c r="B817" t="s">
        <v>481</v>
      </c>
      <c r="C817" s="5">
        <v>45438</v>
      </c>
      <c r="E817" t="s">
        <v>482</v>
      </c>
      <c r="F817" t="s">
        <v>627</v>
      </c>
      <c r="G817" t="s">
        <v>264</v>
      </c>
      <c r="H817" t="s">
        <v>48</v>
      </c>
      <c r="I817" t="s">
        <v>48</v>
      </c>
      <c r="J817" t="s">
        <v>143</v>
      </c>
      <c r="K817" t="s">
        <v>798</v>
      </c>
      <c r="L817" t="s">
        <v>787</v>
      </c>
      <c r="M817" t="s">
        <v>800</v>
      </c>
      <c r="N817">
        <v>2</v>
      </c>
      <c r="O817" s="3">
        <v>29.93</v>
      </c>
      <c r="P817" s="3">
        <v>38.909999999999997</v>
      </c>
      <c r="Q817" s="6">
        <v>0</v>
      </c>
      <c r="R817" s="3">
        <v>77.819999999999993</v>
      </c>
      <c r="S817" t="s">
        <v>825</v>
      </c>
    </row>
    <row r="818" spans="1:19" x14ac:dyDescent="0.35">
      <c r="A818" t="s">
        <v>2267</v>
      </c>
      <c r="B818" t="s">
        <v>477</v>
      </c>
      <c r="C818" s="5">
        <v>45944</v>
      </c>
      <c r="E818" t="s">
        <v>478</v>
      </c>
      <c r="F818" t="s">
        <v>696</v>
      </c>
      <c r="G818" t="s">
        <v>243</v>
      </c>
      <c r="H818" t="s">
        <v>48</v>
      </c>
      <c r="I818" t="s">
        <v>8</v>
      </c>
      <c r="J818" t="s">
        <v>73</v>
      </c>
      <c r="K818" t="s">
        <v>813</v>
      </c>
      <c r="L818" t="s">
        <v>793</v>
      </c>
      <c r="M818" t="s">
        <v>800</v>
      </c>
      <c r="N818">
        <v>3</v>
      </c>
      <c r="O818" s="3">
        <v>67.95</v>
      </c>
      <c r="P818" s="3">
        <v>88.34</v>
      </c>
      <c r="Q818" s="6">
        <v>0.1</v>
      </c>
      <c r="R818" s="3">
        <v>238.51799999999997</v>
      </c>
      <c r="S818" t="s">
        <v>859</v>
      </c>
    </row>
    <row r="819" spans="1:19" x14ac:dyDescent="0.35">
      <c r="A819" t="s">
        <v>2268</v>
      </c>
      <c r="B819" t="s">
        <v>483</v>
      </c>
      <c r="C819" s="5">
        <v>45469</v>
      </c>
      <c r="E819" t="s">
        <v>484</v>
      </c>
      <c r="F819" t="s">
        <v>681</v>
      </c>
      <c r="G819" t="s">
        <v>264</v>
      </c>
      <c r="H819" t="s">
        <v>20</v>
      </c>
      <c r="I819" t="s">
        <v>43</v>
      </c>
      <c r="J819" t="s">
        <v>44</v>
      </c>
      <c r="K819" t="s">
        <v>786</v>
      </c>
      <c r="L819" t="s">
        <v>787</v>
      </c>
      <c r="M819" t="s">
        <v>788</v>
      </c>
      <c r="N819">
        <v>2</v>
      </c>
      <c r="O819" s="3">
        <v>14.05</v>
      </c>
      <c r="P819" s="3">
        <v>19.670000000000002</v>
      </c>
      <c r="Q819" s="6">
        <v>0</v>
      </c>
      <c r="R819" s="3">
        <v>39.340000000000003</v>
      </c>
      <c r="S819" t="s">
        <v>888</v>
      </c>
    </row>
    <row r="820" spans="1:19" x14ac:dyDescent="0.35">
      <c r="A820" t="s">
        <v>2269</v>
      </c>
      <c r="B820" t="s">
        <v>376</v>
      </c>
      <c r="C820" s="5">
        <v>45718</v>
      </c>
      <c r="D820" s="5">
        <v>45725</v>
      </c>
      <c r="E820" t="s">
        <v>253</v>
      </c>
      <c r="F820" t="s">
        <v>633</v>
      </c>
      <c r="G820" t="s">
        <v>264</v>
      </c>
      <c r="H820" t="s">
        <v>797</v>
      </c>
      <c r="I820" t="s">
        <v>38</v>
      </c>
      <c r="J820" t="s">
        <v>36</v>
      </c>
      <c r="K820" t="s">
        <v>798</v>
      </c>
      <c r="L820" t="s">
        <v>822</v>
      </c>
      <c r="M820" t="s">
        <v>818</v>
      </c>
      <c r="N820">
        <v>3</v>
      </c>
      <c r="O820" s="3">
        <v>8.57</v>
      </c>
      <c r="P820" s="3">
        <v>11.14</v>
      </c>
      <c r="Q820" s="6">
        <v>0.1</v>
      </c>
      <c r="R820" s="3">
        <v>30.078000000000003</v>
      </c>
      <c r="S820" t="s">
        <v>810</v>
      </c>
    </row>
    <row r="821" spans="1:19" x14ac:dyDescent="0.35">
      <c r="A821" t="s">
        <v>2270</v>
      </c>
      <c r="B821" t="s">
        <v>345</v>
      </c>
      <c r="C821" s="5">
        <v>45739</v>
      </c>
      <c r="D821" s="5">
        <v>45746</v>
      </c>
      <c r="E821" t="s">
        <v>346</v>
      </c>
      <c r="F821" t="s">
        <v>627</v>
      </c>
      <c r="G821" t="s">
        <v>264</v>
      </c>
      <c r="H821" t="s">
        <v>797</v>
      </c>
      <c r="I821" t="s">
        <v>8</v>
      </c>
      <c r="J821" t="s">
        <v>192</v>
      </c>
      <c r="K821" t="s">
        <v>798</v>
      </c>
      <c r="L821" t="s">
        <v>822</v>
      </c>
      <c r="M821" t="s">
        <v>800</v>
      </c>
      <c r="N821">
        <v>5</v>
      </c>
      <c r="O821" s="3">
        <v>19.47</v>
      </c>
      <c r="P821" s="3">
        <v>28.23</v>
      </c>
      <c r="Q821" s="6">
        <v>0.05</v>
      </c>
      <c r="R821" s="3">
        <v>134.0925</v>
      </c>
      <c r="S821" t="s">
        <v>814</v>
      </c>
    </row>
    <row r="822" spans="1:19" x14ac:dyDescent="0.35">
      <c r="A822" t="s">
        <v>2271</v>
      </c>
      <c r="B822" t="s">
        <v>473</v>
      </c>
      <c r="C822" s="5">
        <v>45769</v>
      </c>
      <c r="D822" s="5">
        <v>45779</v>
      </c>
      <c r="E822" t="s">
        <v>368</v>
      </c>
      <c r="F822" t="s">
        <v>696</v>
      </c>
      <c r="G822" t="s">
        <v>235</v>
      </c>
      <c r="H822" t="s">
        <v>797</v>
      </c>
      <c r="I822" t="s">
        <v>8</v>
      </c>
      <c r="J822" t="s">
        <v>10</v>
      </c>
      <c r="K822" t="s">
        <v>798</v>
      </c>
      <c r="L822" t="s">
        <v>822</v>
      </c>
      <c r="M822" t="s">
        <v>818</v>
      </c>
      <c r="N822">
        <v>3</v>
      </c>
      <c r="O822" s="3">
        <v>22.74</v>
      </c>
      <c r="P822" s="3">
        <v>28.42</v>
      </c>
      <c r="Q822" s="6">
        <v>0</v>
      </c>
      <c r="R822" s="3">
        <v>85.26</v>
      </c>
      <c r="S822" t="s">
        <v>888</v>
      </c>
    </row>
    <row r="823" spans="1:19" x14ac:dyDescent="0.35">
      <c r="A823" t="s">
        <v>2272</v>
      </c>
      <c r="B823" t="s">
        <v>545</v>
      </c>
      <c r="C823" s="5">
        <v>45601</v>
      </c>
      <c r="D823" s="5">
        <v>45604</v>
      </c>
      <c r="E823" t="s">
        <v>546</v>
      </c>
      <c r="F823" t="s">
        <v>627</v>
      </c>
      <c r="G823" t="s">
        <v>235</v>
      </c>
      <c r="H823" t="s">
        <v>797</v>
      </c>
      <c r="I823" t="s">
        <v>14</v>
      </c>
      <c r="J823" t="s">
        <v>214</v>
      </c>
      <c r="K823" t="s">
        <v>798</v>
      </c>
      <c r="L823" t="s">
        <v>822</v>
      </c>
      <c r="M823" t="s">
        <v>800</v>
      </c>
      <c r="N823">
        <v>1</v>
      </c>
      <c r="O823" s="3">
        <v>22.07</v>
      </c>
      <c r="P823" s="3">
        <v>27.59</v>
      </c>
      <c r="Q823" s="6">
        <v>0</v>
      </c>
      <c r="R823" s="3">
        <v>27.59</v>
      </c>
      <c r="S823" t="s">
        <v>935</v>
      </c>
    </row>
    <row r="824" spans="1:19" x14ac:dyDescent="0.35">
      <c r="A824" t="s">
        <v>2273</v>
      </c>
      <c r="B824" t="s">
        <v>495</v>
      </c>
      <c r="C824" s="5">
        <v>45704</v>
      </c>
      <c r="D824" s="5">
        <v>45706</v>
      </c>
      <c r="E824" t="s">
        <v>496</v>
      </c>
      <c r="F824" t="s">
        <v>637</v>
      </c>
      <c r="G824" t="s">
        <v>264</v>
      </c>
      <c r="H824" t="s">
        <v>20</v>
      </c>
      <c r="I824" t="s">
        <v>48</v>
      </c>
      <c r="J824" t="s">
        <v>139</v>
      </c>
      <c r="K824" t="s">
        <v>798</v>
      </c>
      <c r="L824" t="s">
        <v>799</v>
      </c>
      <c r="M824" t="s">
        <v>842</v>
      </c>
      <c r="N824">
        <v>1</v>
      </c>
      <c r="O824" s="3">
        <v>29.93</v>
      </c>
      <c r="P824" s="3">
        <v>41.9</v>
      </c>
      <c r="Q824" s="6">
        <v>0</v>
      </c>
      <c r="R824" s="3">
        <v>41.9</v>
      </c>
      <c r="S824" t="s">
        <v>1017</v>
      </c>
    </row>
    <row r="825" spans="1:19" x14ac:dyDescent="0.35">
      <c r="A825" t="s">
        <v>2274</v>
      </c>
      <c r="B825" t="s">
        <v>320</v>
      </c>
      <c r="C825" s="5">
        <v>45633</v>
      </c>
      <c r="E825" t="s">
        <v>321</v>
      </c>
      <c r="F825" t="s">
        <v>637</v>
      </c>
      <c r="G825" t="s">
        <v>235</v>
      </c>
      <c r="H825" t="s">
        <v>797</v>
      </c>
      <c r="I825" t="s">
        <v>14</v>
      </c>
      <c r="J825" t="s">
        <v>25</v>
      </c>
      <c r="K825" t="s">
        <v>798</v>
      </c>
      <c r="L825" t="s">
        <v>793</v>
      </c>
      <c r="M825" t="s">
        <v>842</v>
      </c>
      <c r="N825">
        <v>12</v>
      </c>
      <c r="O825" s="3">
        <v>18.95</v>
      </c>
      <c r="P825" s="3">
        <v>25.58</v>
      </c>
      <c r="Q825" s="6">
        <v>0</v>
      </c>
      <c r="R825" s="3">
        <v>306.95999999999998</v>
      </c>
      <c r="S825" t="s">
        <v>803</v>
      </c>
    </row>
    <row r="826" spans="1:19" x14ac:dyDescent="0.35">
      <c r="A826" t="s">
        <v>2275</v>
      </c>
      <c r="B826" t="s">
        <v>603</v>
      </c>
      <c r="C826" s="5">
        <v>45982</v>
      </c>
      <c r="E826" t="s">
        <v>508</v>
      </c>
      <c r="F826" t="s">
        <v>681</v>
      </c>
      <c r="G826" t="s">
        <v>264</v>
      </c>
      <c r="H826" t="s">
        <v>797</v>
      </c>
      <c r="I826" t="s">
        <v>48</v>
      </c>
      <c r="J826" t="s">
        <v>219</v>
      </c>
      <c r="K826" t="s">
        <v>798</v>
      </c>
      <c r="L826" t="s">
        <v>787</v>
      </c>
      <c r="M826" t="s">
        <v>818</v>
      </c>
      <c r="N826">
        <v>1</v>
      </c>
      <c r="O826" s="3">
        <v>12.9</v>
      </c>
      <c r="P826" s="3">
        <v>18.7</v>
      </c>
      <c r="Q826" s="6">
        <v>0</v>
      </c>
      <c r="R826" s="3">
        <v>18.7</v>
      </c>
      <c r="S826" t="s">
        <v>794</v>
      </c>
    </row>
    <row r="827" spans="1:19" x14ac:dyDescent="0.35">
      <c r="A827" t="s">
        <v>2276</v>
      </c>
      <c r="B827" t="s">
        <v>354</v>
      </c>
      <c r="C827" s="5">
        <v>45983</v>
      </c>
      <c r="D827" s="5">
        <v>45987</v>
      </c>
      <c r="E827" t="s">
        <v>321</v>
      </c>
      <c r="F827" t="s">
        <v>633</v>
      </c>
      <c r="G827" t="s">
        <v>243</v>
      </c>
      <c r="H827" t="s">
        <v>14</v>
      </c>
      <c r="I827" t="s">
        <v>8</v>
      </c>
      <c r="J827" t="s">
        <v>212</v>
      </c>
      <c r="K827" t="s">
        <v>798</v>
      </c>
      <c r="L827" t="s">
        <v>822</v>
      </c>
      <c r="M827" t="s">
        <v>818</v>
      </c>
      <c r="N827">
        <v>5</v>
      </c>
      <c r="O827" s="3">
        <v>95.09</v>
      </c>
      <c r="P827" s="3">
        <v>133.13</v>
      </c>
      <c r="Q827" s="6">
        <v>0.1</v>
      </c>
      <c r="R827" s="3">
        <v>599.08500000000004</v>
      </c>
      <c r="S827" t="s">
        <v>1001</v>
      </c>
    </row>
    <row r="828" spans="1:19" x14ac:dyDescent="0.35">
      <c r="A828" t="s">
        <v>2277</v>
      </c>
      <c r="B828" t="s">
        <v>230</v>
      </c>
      <c r="C828" s="5">
        <v>45409</v>
      </c>
      <c r="E828" t="s">
        <v>231</v>
      </c>
      <c r="F828" t="s">
        <v>674</v>
      </c>
      <c r="G828" t="s">
        <v>235</v>
      </c>
      <c r="H828" t="s">
        <v>14</v>
      </c>
      <c r="I828" t="s">
        <v>29</v>
      </c>
      <c r="J828" t="s">
        <v>32</v>
      </c>
      <c r="K828" t="s">
        <v>813</v>
      </c>
      <c r="L828" t="s">
        <v>787</v>
      </c>
      <c r="M828" t="s">
        <v>788</v>
      </c>
      <c r="N828">
        <v>5</v>
      </c>
      <c r="O828" s="3">
        <v>18.989999999999998</v>
      </c>
      <c r="P828" s="3">
        <v>25.64</v>
      </c>
      <c r="Q828" s="6">
        <v>0</v>
      </c>
      <c r="R828" s="3">
        <v>128.19999999999999</v>
      </c>
      <c r="S828" t="s">
        <v>819</v>
      </c>
    </row>
    <row r="829" spans="1:19" x14ac:dyDescent="0.35">
      <c r="A829" t="s">
        <v>2278</v>
      </c>
      <c r="B829" t="s">
        <v>487</v>
      </c>
      <c r="C829" s="5">
        <v>45317</v>
      </c>
      <c r="E829" t="s">
        <v>488</v>
      </c>
      <c r="F829" t="s">
        <v>696</v>
      </c>
      <c r="G829" t="s">
        <v>243</v>
      </c>
      <c r="H829" t="s">
        <v>797</v>
      </c>
      <c r="I829" t="s">
        <v>29</v>
      </c>
      <c r="J829" t="s">
        <v>176</v>
      </c>
      <c r="K829" t="s">
        <v>813</v>
      </c>
      <c r="L829" t="s">
        <v>793</v>
      </c>
      <c r="M829" t="s">
        <v>788</v>
      </c>
      <c r="N829">
        <v>5</v>
      </c>
      <c r="O829" s="3">
        <v>25.88</v>
      </c>
      <c r="P829" s="3">
        <v>36.229999999999997</v>
      </c>
      <c r="Q829" s="6">
        <v>0</v>
      </c>
      <c r="R829" s="3">
        <v>181.14999999999998</v>
      </c>
      <c r="S829" t="s">
        <v>790</v>
      </c>
    </row>
    <row r="830" spans="1:19" x14ac:dyDescent="0.35">
      <c r="A830" t="s">
        <v>2279</v>
      </c>
      <c r="B830" t="s">
        <v>580</v>
      </c>
      <c r="C830" s="5">
        <v>45558</v>
      </c>
      <c r="D830" s="5">
        <v>45562</v>
      </c>
      <c r="E830" t="s">
        <v>581</v>
      </c>
      <c r="F830" t="s">
        <v>696</v>
      </c>
      <c r="G830" t="s">
        <v>235</v>
      </c>
      <c r="H830" t="s">
        <v>20</v>
      </c>
      <c r="I830" t="s">
        <v>38</v>
      </c>
      <c r="J830" t="s">
        <v>165</v>
      </c>
      <c r="K830" t="s">
        <v>798</v>
      </c>
      <c r="L830" t="s">
        <v>799</v>
      </c>
      <c r="M830" t="s">
        <v>842</v>
      </c>
      <c r="N830">
        <v>12</v>
      </c>
      <c r="O830" s="3">
        <v>18.45</v>
      </c>
      <c r="P830" s="3">
        <v>25.83</v>
      </c>
      <c r="Q830" s="6">
        <v>0</v>
      </c>
      <c r="R830" s="3">
        <v>309.95999999999998</v>
      </c>
      <c r="S830" t="s">
        <v>888</v>
      </c>
    </row>
    <row r="831" spans="1:19" x14ac:dyDescent="0.35">
      <c r="A831" t="s">
        <v>2280</v>
      </c>
      <c r="B831" t="s">
        <v>603</v>
      </c>
      <c r="C831" s="5">
        <v>45466</v>
      </c>
      <c r="E831" t="s">
        <v>508</v>
      </c>
      <c r="F831" t="s">
        <v>681</v>
      </c>
      <c r="G831" t="s">
        <v>264</v>
      </c>
      <c r="H831" t="s">
        <v>14</v>
      </c>
      <c r="I831" t="s">
        <v>20</v>
      </c>
      <c r="J831" t="s">
        <v>51</v>
      </c>
      <c r="K831" t="s">
        <v>798</v>
      </c>
      <c r="L831" t="s">
        <v>793</v>
      </c>
      <c r="M831" t="s">
        <v>842</v>
      </c>
      <c r="N831">
        <v>3</v>
      </c>
      <c r="O831" s="3">
        <v>11.28</v>
      </c>
      <c r="P831" s="3">
        <v>15.23</v>
      </c>
      <c r="Q831" s="6">
        <v>0.1</v>
      </c>
      <c r="R831" s="3">
        <v>41.120999999999995</v>
      </c>
      <c r="S831" t="s">
        <v>819</v>
      </c>
    </row>
    <row r="832" spans="1:19" x14ac:dyDescent="0.35">
      <c r="A832" t="s">
        <v>2281</v>
      </c>
      <c r="B832" t="s">
        <v>465</v>
      </c>
      <c r="C832" s="5">
        <v>45668</v>
      </c>
      <c r="E832" t="s">
        <v>348</v>
      </c>
      <c r="F832" t="s">
        <v>696</v>
      </c>
      <c r="G832" t="s">
        <v>264</v>
      </c>
      <c r="H832" t="s">
        <v>14</v>
      </c>
      <c r="I832" t="s">
        <v>43</v>
      </c>
      <c r="J832" t="s">
        <v>99</v>
      </c>
      <c r="K832" t="s">
        <v>813</v>
      </c>
      <c r="L832" t="s">
        <v>793</v>
      </c>
      <c r="M832" t="s">
        <v>818</v>
      </c>
      <c r="N832">
        <v>1</v>
      </c>
      <c r="O832" s="3">
        <v>10.88</v>
      </c>
      <c r="P832" s="3">
        <v>15.78</v>
      </c>
      <c r="Q832" s="6">
        <v>0</v>
      </c>
      <c r="R832" s="3">
        <v>15.78</v>
      </c>
      <c r="S832" t="s">
        <v>839</v>
      </c>
    </row>
    <row r="833" spans="1:19" x14ac:dyDescent="0.35">
      <c r="A833" t="s">
        <v>2282</v>
      </c>
      <c r="B833" t="s">
        <v>334</v>
      </c>
      <c r="C833" s="5">
        <v>45582</v>
      </c>
      <c r="E833" t="s">
        <v>335</v>
      </c>
      <c r="F833" t="s">
        <v>627</v>
      </c>
      <c r="G833" t="s">
        <v>243</v>
      </c>
      <c r="H833" t="s">
        <v>797</v>
      </c>
      <c r="I833" t="s">
        <v>48</v>
      </c>
      <c r="J833" t="s">
        <v>148</v>
      </c>
      <c r="K833" t="s">
        <v>798</v>
      </c>
      <c r="L833" t="s">
        <v>787</v>
      </c>
      <c r="M833" t="s">
        <v>818</v>
      </c>
      <c r="N833">
        <v>3</v>
      </c>
      <c r="O833" s="3">
        <v>58.01</v>
      </c>
      <c r="P833" s="3">
        <v>72.510000000000005</v>
      </c>
      <c r="Q833" s="6">
        <v>0</v>
      </c>
      <c r="R833" s="3">
        <v>217.53000000000003</v>
      </c>
      <c r="S833" t="s">
        <v>814</v>
      </c>
    </row>
    <row r="834" spans="1:19" x14ac:dyDescent="0.35">
      <c r="A834" t="s">
        <v>2283</v>
      </c>
      <c r="B834" t="s">
        <v>596</v>
      </c>
      <c r="C834" s="5">
        <v>45434</v>
      </c>
      <c r="E834" t="s">
        <v>443</v>
      </c>
      <c r="F834" t="s">
        <v>696</v>
      </c>
      <c r="G834" t="s">
        <v>264</v>
      </c>
      <c r="H834" t="s">
        <v>797</v>
      </c>
      <c r="I834" t="s">
        <v>8</v>
      </c>
      <c r="J834" t="s">
        <v>73</v>
      </c>
      <c r="K834" t="s">
        <v>786</v>
      </c>
      <c r="L834" t="s">
        <v>793</v>
      </c>
      <c r="M834" t="s">
        <v>788</v>
      </c>
      <c r="N834">
        <v>3</v>
      </c>
      <c r="O834" s="3">
        <v>67.95</v>
      </c>
      <c r="P834" s="3">
        <v>88.34</v>
      </c>
      <c r="Q834" s="6">
        <v>0</v>
      </c>
      <c r="R834" s="3">
        <v>265.02</v>
      </c>
      <c r="S834" t="s">
        <v>1001</v>
      </c>
    </row>
    <row r="835" spans="1:19" x14ac:dyDescent="0.35">
      <c r="A835" t="s">
        <v>2284</v>
      </c>
      <c r="B835" t="s">
        <v>516</v>
      </c>
      <c r="C835" s="5">
        <v>45829</v>
      </c>
      <c r="D835" s="5">
        <v>45832</v>
      </c>
      <c r="E835" t="s">
        <v>517</v>
      </c>
      <c r="F835" t="s">
        <v>254</v>
      </c>
      <c r="G835" t="s">
        <v>243</v>
      </c>
      <c r="H835" t="s">
        <v>797</v>
      </c>
      <c r="I835" t="s">
        <v>29</v>
      </c>
      <c r="J835" t="s">
        <v>121</v>
      </c>
      <c r="K835" t="s">
        <v>813</v>
      </c>
      <c r="L835" t="s">
        <v>799</v>
      </c>
      <c r="M835" t="s">
        <v>800</v>
      </c>
      <c r="N835">
        <v>1</v>
      </c>
      <c r="O835" s="3">
        <v>15.46</v>
      </c>
      <c r="P835" s="3">
        <v>22.42</v>
      </c>
      <c r="Q835" s="6">
        <v>0.05</v>
      </c>
      <c r="R835" s="3">
        <v>21.299000000000003</v>
      </c>
      <c r="S835" t="s">
        <v>1001</v>
      </c>
    </row>
    <row r="836" spans="1:19" x14ac:dyDescent="0.35">
      <c r="A836" t="s">
        <v>2285</v>
      </c>
      <c r="B836" t="s">
        <v>425</v>
      </c>
      <c r="C836" s="5">
        <v>45577</v>
      </c>
      <c r="D836" s="5">
        <v>45580</v>
      </c>
      <c r="E836" t="s">
        <v>404</v>
      </c>
      <c r="F836" t="s">
        <v>696</v>
      </c>
      <c r="G836" t="s">
        <v>264</v>
      </c>
      <c r="H836" t="s">
        <v>797</v>
      </c>
      <c r="I836" t="s">
        <v>14</v>
      </c>
      <c r="J836" t="s">
        <v>167</v>
      </c>
      <c r="K836" t="s">
        <v>786</v>
      </c>
      <c r="L836" t="s">
        <v>799</v>
      </c>
      <c r="M836" t="s">
        <v>818</v>
      </c>
      <c r="N836">
        <v>3</v>
      </c>
      <c r="O836" s="3">
        <v>18.62</v>
      </c>
      <c r="P836" s="3">
        <v>26.07</v>
      </c>
      <c r="Q836" s="6">
        <v>0.1</v>
      </c>
      <c r="R836" s="3">
        <v>70.38900000000001</v>
      </c>
      <c r="S836" t="s">
        <v>825</v>
      </c>
    </row>
    <row r="837" spans="1:19" x14ac:dyDescent="0.35">
      <c r="A837" t="s">
        <v>2286</v>
      </c>
      <c r="B837" t="s">
        <v>614</v>
      </c>
      <c r="C837" s="5">
        <v>45881</v>
      </c>
      <c r="E837" t="s">
        <v>615</v>
      </c>
      <c r="F837" t="s">
        <v>681</v>
      </c>
      <c r="G837" t="s">
        <v>235</v>
      </c>
      <c r="H837" t="s">
        <v>14</v>
      </c>
      <c r="I837" t="s">
        <v>29</v>
      </c>
      <c r="J837" t="s">
        <v>158</v>
      </c>
      <c r="K837" t="s">
        <v>813</v>
      </c>
      <c r="L837" t="s">
        <v>793</v>
      </c>
      <c r="M837" t="s">
        <v>800</v>
      </c>
      <c r="N837">
        <v>1</v>
      </c>
      <c r="O837" s="3">
        <v>25.8</v>
      </c>
      <c r="P837" s="3">
        <v>36.119999999999997</v>
      </c>
      <c r="Q837" s="6">
        <v>0.1</v>
      </c>
      <c r="R837" s="3">
        <v>32.507999999999996</v>
      </c>
      <c r="S837" t="s">
        <v>946</v>
      </c>
    </row>
    <row r="838" spans="1:19" x14ac:dyDescent="0.35">
      <c r="A838" t="s">
        <v>2288</v>
      </c>
      <c r="B838" t="s">
        <v>278</v>
      </c>
      <c r="C838" s="5">
        <v>45705</v>
      </c>
      <c r="E838" t="s">
        <v>279</v>
      </c>
      <c r="F838" t="s">
        <v>254</v>
      </c>
      <c r="G838" t="s">
        <v>235</v>
      </c>
      <c r="H838" t="s">
        <v>20</v>
      </c>
      <c r="I838" t="s">
        <v>43</v>
      </c>
      <c r="J838" t="s">
        <v>171</v>
      </c>
      <c r="K838" t="s">
        <v>813</v>
      </c>
      <c r="L838" t="s">
        <v>787</v>
      </c>
      <c r="M838" t="s">
        <v>842</v>
      </c>
      <c r="N838">
        <v>1</v>
      </c>
      <c r="O838" s="3">
        <v>29.39</v>
      </c>
      <c r="P838" s="3">
        <v>39.68</v>
      </c>
      <c r="Q838" s="6">
        <v>0.05</v>
      </c>
      <c r="R838" s="3">
        <v>37.695999999999998</v>
      </c>
      <c r="S838" t="s">
        <v>825</v>
      </c>
    </row>
    <row r="839" spans="1:19" x14ac:dyDescent="0.35">
      <c r="A839" t="s">
        <v>2289</v>
      </c>
      <c r="B839" t="s">
        <v>609</v>
      </c>
      <c r="C839" s="5">
        <v>45779</v>
      </c>
      <c r="D839" s="5">
        <v>45786</v>
      </c>
      <c r="E839" t="s">
        <v>610</v>
      </c>
      <c r="F839" t="s">
        <v>674</v>
      </c>
      <c r="H839" t="s">
        <v>48</v>
      </c>
      <c r="I839" t="s">
        <v>14</v>
      </c>
      <c r="J839" t="s">
        <v>24</v>
      </c>
      <c r="K839" t="s">
        <v>786</v>
      </c>
      <c r="L839" t="s">
        <v>799</v>
      </c>
      <c r="M839" t="s">
        <v>788</v>
      </c>
      <c r="N839">
        <v>5</v>
      </c>
      <c r="O839" s="3">
        <v>37.42</v>
      </c>
      <c r="P839" s="3">
        <v>50.52</v>
      </c>
      <c r="Q839" s="6">
        <v>0</v>
      </c>
      <c r="R839" s="3">
        <v>252.60000000000002</v>
      </c>
      <c r="S839" t="s">
        <v>810</v>
      </c>
    </row>
    <row r="840" spans="1:19" x14ac:dyDescent="0.35">
      <c r="A840" t="s">
        <v>2290</v>
      </c>
      <c r="B840" t="s">
        <v>291</v>
      </c>
      <c r="C840" s="5">
        <v>45722</v>
      </c>
      <c r="D840" s="5">
        <v>45723</v>
      </c>
      <c r="E840" t="s">
        <v>292</v>
      </c>
      <c r="F840" t="s">
        <v>627</v>
      </c>
      <c r="G840" t="s">
        <v>243</v>
      </c>
      <c r="H840" t="s">
        <v>797</v>
      </c>
      <c r="I840" t="s">
        <v>38</v>
      </c>
      <c r="J840" t="s">
        <v>126</v>
      </c>
      <c r="K840" t="s">
        <v>813</v>
      </c>
      <c r="L840" t="s">
        <v>799</v>
      </c>
      <c r="M840" t="s">
        <v>818</v>
      </c>
      <c r="N840">
        <v>2</v>
      </c>
      <c r="O840" s="3">
        <v>41.95</v>
      </c>
      <c r="P840" s="3">
        <v>58.73</v>
      </c>
      <c r="Q840" s="6">
        <v>0</v>
      </c>
      <c r="R840" s="3">
        <v>117.46</v>
      </c>
      <c r="S840" t="s">
        <v>946</v>
      </c>
    </row>
    <row r="841" spans="1:19" x14ac:dyDescent="0.35">
      <c r="A841" t="s">
        <v>2291</v>
      </c>
      <c r="B841" t="s">
        <v>327</v>
      </c>
      <c r="C841" s="5">
        <v>45470</v>
      </c>
      <c r="D841" s="5">
        <v>45478</v>
      </c>
      <c r="E841" t="s">
        <v>328</v>
      </c>
      <c r="F841" t="s">
        <v>681</v>
      </c>
      <c r="G841" t="s">
        <v>264</v>
      </c>
      <c r="H841" t="s">
        <v>797</v>
      </c>
      <c r="I841" t="s">
        <v>14</v>
      </c>
      <c r="J841" t="s">
        <v>56</v>
      </c>
      <c r="K841" t="s">
        <v>813</v>
      </c>
      <c r="L841" t="s">
        <v>799</v>
      </c>
      <c r="M841" t="s">
        <v>788</v>
      </c>
      <c r="N841">
        <v>20</v>
      </c>
      <c r="O841" s="3">
        <v>25.46</v>
      </c>
      <c r="P841" s="3">
        <v>31.83</v>
      </c>
      <c r="Q841" s="6">
        <v>0</v>
      </c>
      <c r="R841" s="3">
        <v>636.59999999999991</v>
      </c>
      <c r="S841" t="s">
        <v>1017</v>
      </c>
    </row>
    <row r="842" spans="1:19" x14ac:dyDescent="0.35">
      <c r="A842" t="s">
        <v>2292</v>
      </c>
      <c r="B842" t="s">
        <v>388</v>
      </c>
      <c r="C842" s="5">
        <v>45740</v>
      </c>
      <c r="D842" s="5">
        <v>45741</v>
      </c>
      <c r="E842" t="s">
        <v>389</v>
      </c>
      <c r="F842" t="s">
        <v>674</v>
      </c>
      <c r="G842" t="s">
        <v>243</v>
      </c>
      <c r="H842" t="s">
        <v>20</v>
      </c>
      <c r="I842" t="s">
        <v>14</v>
      </c>
      <c r="J842" t="s">
        <v>214</v>
      </c>
      <c r="K842" t="s">
        <v>798</v>
      </c>
      <c r="L842" t="s">
        <v>799</v>
      </c>
      <c r="M842" t="s">
        <v>788</v>
      </c>
      <c r="N842">
        <v>2</v>
      </c>
      <c r="O842" s="3">
        <v>22.07</v>
      </c>
      <c r="P842" s="3">
        <v>27.59</v>
      </c>
      <c r="Q842" s="6">
        <v>0</v>
      </c>
      <c r="R842" s="3">
        <v>55.18</v>
      </c>
      <c r="S842" t="s">
        <v>803</v>
      </c>
    </row>
    <row r="843" spans="1:19" x14ac:dyDescent="0.35">
      <c r="A843" t="s">
        <v>2293</v>
      </c>
      <c r="B843" t="s">
        <v>377</v>
      </c>
      <c r="C843" s="5">
        <v>45936</v>
      </c>
      <c r="E843" t="s">
        <v>378</v>
      </c>
      <c r="F843" t="s">
        <v>254</v>
      </c>
      <c r="G843" t="s">
        <v>243</v>
      </c>
      <c r="H843" t="s">
        <v>20</v>
      </c>
      <c r="I843" t="s">
        <v>38</v>
      </c>
      <c r="J843" t="s">
        <v>132</v>
      </c>
      <c r="K843" t="s">
        <v>786</v>
      </c>
      <c r="L843" t="s">
        <v>793</v>
      </c>
      <c r="M843" t="s">
        <v>818</v>
      </c>
      <c r="N843">
        <v>2</v>
      </c>
      <c r="O843" s="3">
        <v>12.71</v>
      </c>
      <c r="P843" s="3">
        <v>17.79</v>
      </c>
      <c r="Q843" s="6">
        <v>0.1</v>
      </c>
      <c r="R843" s="3">
        <v>32.021999999999998</v>
      </c>
      <c r="S843" t="s">
        <v>790</v>
      </c>
    </row>
    <row r="844" spans="1:19" x14ac:dyDescent="0.35">
      <c r="A844" t="s">
        <v>2294</v>
      </c>
      <c r="B844" t="s">
        <v>369</v>
      </c>
      <c r="C844" s="5">
        <v>45365</v>
      </c>
      <c r="D844" s="5">
        <v>45375</v>
      </c>
      <c r="E844" t="s">
        <v>282</v>
      </c>
      <c r="F844" t="s">
        <v>681</v>
      </c>
      <c r="G844" t="s">
        <v>243</v>
      </c>
      <c r="H844" t="s">
        <v>20</v>
      </c>
      <c r="I844" t="s">
        <v>14</v>
      </c>
      <c r="J844" t="s">
        <v>60</v>
      </c>
      <c r="K844" t="s">
        <v>786</v>
      </c>
      <c r="L844" t="s">
        <v>799</v>
      </c>
      <c r="M844" t="s">
        <v>818</v>
      </c>
      <c r="N844">
        <v>3</v>
      </c>
      <c r="O844" s="3">
        <v>18.18</v>
      </c>
      <c r="P844" s="3">
        <v>24.54</v>
      </c>
      <c r="Q844" s="6">
        <v>0</v>
      </c>
      <c r="R844" s="3">
        <v>73.62</v>
      </c>
      <c r="S844" t="s">
        <v>963</v>
      </c>
    </row>
    <row r="845" spans="1:19" x14ac:dyDescent="0.35">
      <c r="A845" t="s">
        <v>2295</v>
      </c>
      <c r="B845" t="s">
        <v>448</v>
      </c>
      <c r="C845" s="5">
        <v>45777</v>
      </c>
      <c r="E845" t="s">
        <v>427</v>
      </c>
      <c r="F845" t="s">
        <v>633</v>
      </c>
      <c r="G845" t="s">
        <v>243</v>
      </c>
      <c r="H845" t="s">
        <v>14</v>
      </c>
      <c r="I845" t="s">
        <v>38</v>
      </c>
      <c r="J845" t="s">
        <v>82</v>
      </c>
      <c r="K845" t="s">
        <v>798</v>
      </c>
      <c r="L845" t="s">
        <v>787</v>
      </c>
      <c r="M845" t="s">
        <v>842</v>
      </c>
      <c r="N845">
        <v>1</v>
      </c>
      <c r="O845" s="3">
        <v>12.54</v>
      </c>
      <c r="P845" s="3">
        <v>16.93</v>
      </c>
      <c r="Q845" s="6">
        <v>0.05</v>
      </c>
      <c r="R845" s="3">
        <v>16.083500000000001</v>
      </c>
      <c r="S845" t="s">
        <v>876</v>
      </c>
    </row>
    <row r="846" spans="1:19" x14ac:dyDescent="0.35">
      <c r="A846" t="s">
        <v>2296</v>
      </c>
      <c r="B846" t="s">
        <v>303</v>
      </c>
      <c r="C846" s="5">
        <v>45932</v>
      </c>
      <c r="E846" t="s">
        <v>304</v>
      </c>
      <c r="F846" t="s">
        <v>627</v>
      </c>
      <c r="G846" t="s">
        <v>243</v>
      </c>
      <c r="H846" t="s">
        <v>797</v>
      </c>
      <c r="I846" t="s">
        <v>8</v>
      </c>
      <c r="J846" t="s">
        <v>192</v>
      </c>
      <c r="K846" t="s">
        <v>786</v>
      </c>
      <c r="L846" t="s">
        <v>793</v>
      </c>
      <c r="M846" t="s">
        <v>842</v>
      </c>
      <c r="N846">
        <v>3</v>
      </c>
      <c r="O846" s="3">
        <v>19.47</v>
      </c>
      <c r="P846" s="3">
        <v>28.23</v>
      </c>
      <c r="Q846" s="6">
        <v>0.05</v>
      </c>
      <c r="R846" s="3">
        <v>80.455500000000001</v>
      </c>
      <c r="S846" t="s">
        <v>794</v>
      </c>
    </row>
    <row r="847" spans="1:19" x14ac:dyDescent="0.35">
      <c r="A847" t="s">
        <v>2297</v>
      </c>
      <c r="B847" t="s">
        <v>528</v>
      </c>
      <c r="C847" s="5">
        <v>45344</v>
      </c>
      <c r="E847" t="s">
        <v>433</v>
      </c>
      <c r="F847" t="s">
        <v>633</v>
      </c>
      <c r="G847" t="s">
        <v>264</v>
      </c>
      <c r="H847" t="s">
        <v>797</v>
      </c>
      <c r="I847" t="s">
        <v>20</v>
      </c>
      <c r="J847" t="s">
        <v>97</v>
      </c>
      <c r="K847" t="s">
        <v>786</v>
      </c>
      <c r="L847" t="s">
        <v>793</v>
      </c>
      <c r="M847" t="s">
        <v>800</v>
      </c>
      <c r="N847">
        <v>1</v>
      </c>
      <c r="O847" s="3">
        <v>20.79</v>
      </c>
      <c r="P847" s="3">
        <v>28.07</v>
      </c>
      <c r="Q847" s="6">
        <v>0.05</v>
      </c>
      <c r="R847" s="3">
        <v>26.666499999999999</v>
      </c>
      <c r="S847" t="s">
        <v>1001</v>
      </c>
    </row>
    <row r="848" spans="1:19" x14ac:dyDescent="0.35">
      <c r="A848" t="s">
        <v>2298</v>
      </c>
      <c r="B848" t="s">
        <v>355</v>
      </c>
      <c r="C848" s="5">
        <v>45658</v>
      </c>
      <c r="D848" s="5">
        <v>45659</v>
      </c>
      <c r="E848" t="s">
        <v>356</v>
      </c>
      <c r="F848" t="s">
        <v>633</v>
      </c>
      <c r="G848" t="s">
        <v>264</v>
      </c>
      <c r="H848" t="s">
        <v>797</v>
      </c>
      <c r="I848" t="s">
        <v>38</v>
      </c>
      <c r="J848" t="s">
        <v>165</v>
      </c>
      <c r="K848" t="s">
        <v>798</v>
      </c>
      <c r="L848" t="s">
        <v>799</v>
      </c>
      <c r="M848" t="s">
        <v>800</v>
      </c>
      <c r="N848">
        <v>5</v>
      </c>
      <c r="O848" s="3">
        <v>18.45</v>
      </c>
      <c r="P848" s="3">
        <v>25.83</v>
      </c>
      <c r="Q848" s="6">
        <v>0.05</v>
      </c>
      <c r="R848" s="3">
        <v>122.69249999999998</v>
      </c>
      <c r="S848" t="s">
        <v>946</v>
      </c>
    </row>
    <row r="849" spans="1:19" x14ac:dyDescent="0.35">
      <c r="A849" t="s">
        <v>2299</v>
      </c>
      <c r="B849" t="s">
        <v>547</v>
      </c>
      <c r="C849" s="5">
        <v>45851</v>
      </c>
      <c r="D849" s="5">
        <v>45856</v>
      </c>
      <c r="E849" t="s">
        <v>375</v>
      </c>
      <c r="F849" t="s">
        <v>696</v>
      </c>
      <c r="G849" t="s">
        <v>243</v>
      </c>
      <c r="H849" t="s">
        <v>48</v>
      </c>
      <c r="I849" t="s">
        <v>38</v>
      </c>
      <c r="J849" t="s">
        <v>206</v>
      </c>
      <c r="K849" t="s">
        <v>786</v>
      </c>
      <c r="L849" t="s">
        <v>799</v>
      </c>
      <c r="M849" t="s">
        <v>842</v>
      </c>
      <c r="N849">
        <v>3</v>
      </c>
      <c r="O849" s="3">
        <v>23.55</v>
      </c>
      <c r="P849" s="3">
        <v>31.79</v>
      </c>
      <c r="Q849" s="6">
        <v>0</v>
      </c>
      <c r="R849" s="3">
        <v>95.37</v>
      </c>
      <c r="S849" t="s">
        <v>876</v>
      </c>
    </row>
    <row r="850" spans="1:19" x14ac:dyDescent="0.35">
      <c r="A850" t="s">
        <v>2300</v>
      </c>
      <c r="B850" t="s">
        <v>611</v>
      </c>
      <c r="C850" s="5">
        <v>45497</v>
      </c>
      <c r="D850" s="5">
        <v>45499</v>
      </c>
      <c r="E850" t="s">
        <v>287</v>
      </c>
      <c r="F850" t="s">
        <v>254</v>
      </c>
      <c r="G850" t="s">
        <v>235</v>
      </c>
      <c r="H850" t="s">
        <v>797</v>
      </c>
      <c r="I850" t="s">
        <v>20</v>
      </c>
      <c r="J850" t="s">
        <v>102</v>
      </c>
      <c r="K850" t="s">
        <v>798</v>
      </c>
      <c r="L850" t="s">
        <v>799</v>
      </c>
      <c r="M850" t="s">
        <v>842</v>
      </c>
      <c r="N850">
        <v>2</v>
      </c>
      <c r="O850" s="3">
        <v>19.04</v>
      </c>
      <c r="P850" s="3">
        <v>25.7</v>
      </c>
      <c r="Q850" s="6">
        <v>0</v>
      </c>
      <c r="R850" s="3">
        <v>51.4</v>
      </c>
      <c r="S850" t="s">
        <v>819</v>
      </c>
    </row>
    <row r="851" spans="1:19" x14ac:dyDescent="0.35">
      <c r="A851" t="s">
        <v>2303</v>
      </c>
      <c r="B851" t="s">
        <v>588</v>
      </c>
      <c r="C851" s="5">
        <v>45869</v>
      </c>
      <c r="E851" t="s">
        <v>435</v>
      </c>
      <c r="F851" t="s">
        <v>637</v>
      </c>
      <c r="G851" t="s">
        <v>264</v>
      </c>
      <c r="H851" t="s">
        <v>20</v>
      </c>
      <c r="I851" t="s">
        <v>48</v>
      </c>
      <c r="J851" t="s">
        <v>210</v>
      </c>
      <c r="K851" t="s">
        <v>813</v>
      </c>
      <c r="L851" t="s">
        <v>817</v>
      </c>
      <c r="M851" t="s">
        <v>818</v>
      </c>
      <c r="N851">
        <v>1</v>
      </c>
      <c r="O851" s="3">
        <v>25.36</v>
      </c>
      <c r="P851" s="3">
        <v>34.24</v>
      </c>
      <c r="Q851" s="6">
        <v>0.1</v>
      </c>
      <c r="R851" s="3">
        <v>30.816000000000003</v>
      </c>
      <c r="S851" t="s">
        <v>946</v>
      </c>
    </row>
    <row r="852" spans="1:19" x14ac:dyDescent="0.35">
      <c r="A852" t="s">
        <v>2304</v>
      </c>
      <c r="B852" t="s">
        <v>501</v>
      </c>
      <c r="C852" s="5">
        <v>45374</v>
      </c>
      <c r="E852" t="s">
        <v>363</v>
      </c>
      <c r="F852" t="s">
        <v>674</v>
      </c>
      <c r="G852" t="s">
        <v>264</v>
      </c>
      <c r="H852" t="s">
        <v>797</v>
      </c>
      <c r="I852" t="s">
        <v>38</v>
      </c>
      <c r="J852" t="s">
        <v>156</v>
      </c>
      <c r="K852" t="s">
        <v>813</v>
      </c>
      <c r="L852" t="s">
        <v>787</v>
      </c>
      <c r="M852" t="s">
        <v>788</v>
      </c>
      <c r="N852">
        <v>1</v>
      </c>
      <c r="O852" s="3">
        <v>20.81</v>
      </c>
      <c r="P852" s="3">
        <v>29.13</v>
      </c>
      <c r="Q852" s="6">
        <v>0.15</v>
      </c>
      <c r="R852" s="3">
        <v>24.7605</v>
      </c>
      <c r="S852" t="s">
        <v>814</v>
      </c>
    </row>
    <row r="853" spans="1:19" x14ac:dyDescent="0.35">
      <c r="A853" t="s">
        <v>2305</v>
      </c>
      <c r="B853" t="s">
        <v>425</v>
      </c>
      <c r="C853" s="5">
        <v>45733</v>
      </c>
      <c r="E853" t="s">
        <v>404</v>
      </c>
      <c r="F853" t="s">
        <v>637</v>
      </c>
      <c r="G853" t="s">
        <v>264</v>
      </c>
      <c r="H853" t="s">
        <v>20</v>
      </c>
      <c r="I853" t="s">
        <v>29</v>
      </c>
      <c r="J853" t="s">
        <v>182</v>
      </c>
      <c r="K853" t="s">
        <v>786</v>
      </c>
      <c r="L853" t="s">
        <v>787</v>
      </c>
      <c r="M853" t="s">
        <v>842</v>
      </c>
      <c r="N853">
        <v>3</v>
      </c>
      <c r="O853" s="3">
        <v>19.77</v>
      </c>
      <c r="P853" s="3">
        <v>27.68</v>
      </c>
      <c r="Q853" s="6">
        <v>0</v>
      </c>
      <c r="R853" s="3">
        <v>83.039999999999992</v>
      </c>
      <c r="S853" t="s">
        <v>963</v>
      </c>
    </row>
    <row r="854" spans="1:19" x14ac:dyDescent="0.35">
      <c r="A854" t="s">
        <v>2306</v>
      </c>
      <c r="B854" t="s">
        <v>459</v>
      </c>
      <c r="C854" s="5">
        <v>45839</v>
      </c>
      <c r="D854" s="5">
        <v>45842</v>
      </c>
      <c r="E854" t="s">
        <v>460</v>
      </c>
      <c r="F854" t="s">
        <v>681</v>
      </c>
      <c r="G854" t="s">
        <v>264</v>
      </c>
      <c r="H854" t="s">
        <v>14</v>
      </c>
      <c r="I854" t="s">
        <v>79</v>
      </c>
      <c r="J854" t="s">
        <v>124</v>
      </c>
      <c r="K854" t="s">
        <v>813</v>
      </c>
      <c r="L854" t="s">
        <v>799</v>
      </c>
      <c r="M854" t="s">
        <v>818</v>
      </c>
      <c r="N854">
        <v>3</v>
      </c>
      <c r="O854" s="3">
        <v>29.44</v>
      </c>
      <c r="P854" s="3">
        <v>41.22</v>
      </c>
      <c r="Q854" s="6">
        <v>0.05</v>
      </c>
      <c r="R854" s="3">
        <v>117.477</v>
      </c>
      <c r="S854" t="s">
        <v>1001</v>
      </c>
    </row>
    <row r="855" spans="1:19" x14ac:dyDescent="0.35">
      <c r="A855" t="s">
        <v>2307</v>
      </c>
      <c r="B855" t="s">
        <v>530</v>
      </c>
      <c r="C855" s="5">
        <v>45732</v>
      </c>
      <c r="D855" s="5">
        <v>45738</v>
      </c>
      <c r="E855" t="s">
        <v>531</v>
      </c>
      <c r="F855" t="s">
        <v>674</v>
      </c>
      <c r="G855" t="s">
        <v>235</v>
      </c>
      <c r="H855" t="s">
        <v>797</v>
      </c>
      <c r="I855" t="s">
        <v>14</v>
      </c>
      <c r="J855" t="s">
        <v>16</v>
      </c>
      <c r="K855" t="s">
        <v>813</v>
      </c>
      <c r="L855" t="s">
        <v>799</v>
      </c>
      <c r="M855" t="s">
        <v>800</v>
      </c>
      <c r="N855">
        <v>10</v>
      </c>
      <c r="O855" s="3">
        <v>56.69</v>
      </c>
      <c r="P855" s="3">
        <v>79.37</v>
      </c>
      <c r="Q855" s="6">
        <v>0</v>
      </c>
      <c r="R855" s="3">
        <v>793.7</v>
      </c>
      <c r="S855" t="s">
        <v>963</v>
      </c>
    </row>
    <row r="856" spans="1:19" x14ac:dyDescent="0.35">
      <c r="A856" t="s">
        <v>2308</v>
      </c>
      <c r="B856" t="s">
        <v>395</v>
      </c>
      <c r="C856" s="5">
        <v>45739</v>
      </c>
      <c r="E856" t="s">
        <v>396</v>
      </c>
      <c r="F856" t="s">
        <v>674</v>
      </c>
      <c r="G856" t="s">
        <v>264</v>
      </c>
      <c r="H856" t="s">
        <v>797</v>
      </c>
      <c r="I856" t="s">
        <v>43</v>
      </c>
      <c r="J856" t="s">
        <v>41</v>
      </c>
      <c r="K856" t="s">
        <v>813</v>
      </c>
      <c r="L856" t="s">
        <v>793</v>
      </c>
      <c r="M856" t="s">
        <v>842</v>
      </c>
      <c r="N856">
        <v>2</v>
      </c>
      <c r="O856" s="3">
        <v>18.010000000000002</v>
      </c>
      <c r="P856" s="3">
        <v>22.51</v>
      </c>
      <c r="Q856" s="6">
        <v>0</v>
      </c>
      <c r="R856" s="3">
        <v>45.02</v>
      </c>
      <c r="S856" t="s">
        <v>794</v>
      </c>
    </row>
    <row r="857" spans="1:19" x14ac:dyDescent="0.35">
      <c r="A857" t="s">
        <v>2309</v>
      </c>
      <c r="B857" t="s">
        <v>286</v>
      </c>
      <c r="C857" s="5">
        <v>45350</v>
      </c>
      <c r="E857" t="s">
        <v>287</v>
      </c>
      <c r="F857" t="s">
        <v>674</v>
      </c>
      <c r="G857" t="s">
        <v>264</v>
      </c>
      <c r="H857" t="s">
        <v>797</v>
      </c>
      <c r="I857" t="s">
        <v>48</v>
      </c>
      <c r="J857" t="s">
        <v>202</v>
      </c>
      <c r="K857" t="s">
        <v>798</v>
      </c>
      <c r="L857" t="s">
        <v>793</v>
      </c>
      <c r="M857" t="s">
        <v>788</v>
      </c>
      <c r="N857">
        <v>12</v>
      </c>
      <c r="O857" s="3">
        <v>27</v>
      </c>
      <c r="P857" s="3">
        <v>39.15</v>
      </c>
      <c r="Q857" s="6">
        <v>0</v>
      </c>
      <c r="R857" s="3">
        <v>469.79999999999995</v>
      </c>
      <c r="S857" t="s">
        <v>888</v>
      </c>
    </row>
    <row r="858" spans="1:19" x14ac:dyDescent="0.35">
      <c r="A858" t="s">
        <v>2310</v>
      </c>
      <c r="B858" t="s">
        <v>501</v>
      </c>
      <c r="C858" s="5">
        <v>45912</v>
      </c>
      <c r="E858" t="s">
        <v>363</v>
      </c>
      <c r="F858" t="s">
        <v>681</v>
      </c>
      <c r="G858" t="s">
        <v>264</v>
      </c>
      <c r="H858" t="s">
        <v>797</v>
      </c>
      <c r="I858" t="s">
        <v>43</v>
      </c>
      <c r="J858" t="s">
        <v>44</v>
      </c>
      <c r="K858" t="s">
        <v>813</v>
      </c>
      <c r="L858" t="s">
        <v>793</v>
      </c>
      <c r="M858" t="s">
        <v>788</v>
      </c>
      <c r="N858">
        <v>5</v>
      </c>
      <c r="O858" s="3">
        <v>14.05</v>
      </c>
      <c r="P858" s="3">
        <v>19.670000000000002</v>
      </c>
      <c r="Q858" s="6">
        <v>0.05</v>
      </c>
      <c r="R858" s="3">
        <v>93.432500000000005</v>
      </c>
      <c r="S858" t="s">
        <v>1001</v>
      </c>
    </row>
    <row r="859" spans="1:19" x14ac:dyDescent="0.35">
      <c r="A859" t="s">
        <v>2311</v>
      </c>
      <c r="B859" t="s">
        <v>386</v>
      </c>
      <c r="C859" s="5">
        <v>46044</v>
      </c>
      <c r="D859" s="5">
        <v>46053</v>
      </c>
      <c r="E859" t="s">
        <v>387</v>
      </c>
      <c r="F859" t="s">
        <v>696</v>
      </c>
      <c r="G859" t="s">
        <v>243</v>
      </c>
      <c r="H859" t="s">
        <v>20</v>
      </c>
      <c r="I859" t="s">
        <v>8</v>
      </c>
      <c r="J859" t="s">
        <v>192</v>
      </c>
      <c r="K859" t="s">
        <v>786</v>
      </c>
      <c r="L859" t="s">
        <v>799</v>
      </c>
      <c r="M859" t="s">
        <v>800</v>
      </c>
      <c r="N859">
        <v>1</v>
      </c>
      <c r="O859" s="3">
        <v>19.47</v>
      </c>
      <c r="P859" s="3">
        <v>28.23</v>
      </c>
      <c r="Q859" s="6">
        <v>0.15</v>
      </c>
      <c r="R859" s="3">
        <v>23.9955</v>
      </c>
      <c r="S859" t="s">
        <v>794</v>
      </c>
    </row>
    <row r="860" spans="1:19" x14ac:dyDescent="0.35">
      <c r="A860" t="s">
        <v>2312</v>
      </c>
      <c r="B860" t="s">
        <v>587</v>
      </c>
      <c r="C860" s="5">
        <v>45565</v>
      </c>
      <c r="D860" s="5">
        <v>45569</v>
      </c>
      <c r="E860" t="s">
        <v>431</v>
      </c>
      <c r="F860" t="s">
        <v>627</v>
      </c>
      <c r="G860" t="s">
        <v>235</v>
      </c>
      <c r="H860" t="s">
        <v>14</v>
      </c>
      <c r="I860" t="s">
        <v>48</v>
      </c>
      <c r="J860" t="s">
        <v>219</v>
      </c>
      <c r="K860" t="s">
        <v>813</v>
      </c>
      <c r="L860" t="s">
        <v>822</v>
      </c>
      <c r="M860" t="s">
        <v>818</v>
      </c>
      <c r="N860">
        <v>20</v>
      </c>
      <c r="O860" s="3">
        <v>12.9</v>
      </c>
      <c r="P860" s="3">
        <v>18.7</v>
      </c>
      <c r="Q860" s="6">
        <v>0</v>
      </c>
      <c r="R860" s="3">
        <v>374</v>
      </c>
      <c r="S860" t="s">
        <v>834</v>
      </c>
    </row>
    <row r="861" spans="1:19" x14ac:dyDescent="0.35">
      <c r="A861" t="s">
        <v>2313</v>
      </c>
      <c r="B861" t="s">
        <v>394</v>
      </c>
      <c r="C861" s="5">
        <v>45432</v>
      </c>
      <c r="E861" t="s">
        <v>356</v>
      </c>
      <c r="F861" t="s">
        <v>633</v>
      </c>
      <c r="G861" t="s">
        <v>264</v>
      </c>
      <c r="H861" t="s">
        <v>20</v>
      </c>
      <c r="I861" t="s">
        <v>79</v>
      </c>
      <c r="J861" t="s">
        <v>108</v>
      </c>
      <c r="K861" t="s">
        <v>798</v>
      </c>
      <c r="L861" t="s">
        <v>793</v>
      </c>
      <c r="M861" t="s">
        <v>788</v>
      </c>
      <c r="N861">
        <v>3</v>
      </c>
      <c r="O861" s="3">
        <v>9.3000000000000007</v>
      </c>
      <c r="P861" s="3">
        <v>12.56</v>
      </c>
      <c r="Q861" s="6">
        <v>0</v>
      </c>
      <c r="R861" s="3">
        <v>37.68</v>
      </c>
      <c r="S861" t="s">
        <v>794</v>
      </c>
    </row>
    <row r="862" spans="1:19" x14ac:dyDescent="0.35">
      <c r="A862" t="s">
        <v>2314</v>
      </c>
      <c r="B862" t="s">
        <v>570</v>
      </c>
      <c r="C862" s="5">
        <v>46007</v>
      </c>
      <c r="D862" s="5">
        <v>46017</v>
      </c>
      <c r="E862" t="s">
        <v>435</v>
      </c>
      <c r="F862" t="s">
        <v>637</v>
      </c>
      <c r="G862" t="s">
        <v>264</v>
      </c>
      <c r="H862" t="s">
        <v>14</v>
      </c>
      <c r="I862" t="s">
        <v>48</v>
      </c>
      <c r="J862" t="s">
        <v>190</v>
      </c>
      <c r="K862" t="s">
        <v>813</v>
      </c>
      <c r="L862" t="s">
        <v>799</v>
      </c>
      <c r="M862" t="s">
        <v>842</v>
      </c>
      <c r="N862">
        <v>10</v>
      </c>
      <c r="O862" s="3">
        <v>21.56</v>
      </c>
      <c r="P862" s="3">
        <v>31.26</v>
      </c>
      <c r="Q862" s="6">
        <v>0</v>
      </c>
      <c r="R862" s="3">
        <v>312.60000000000002</v>
      </c>
      <c r="S862" t="s">
        <v>1017</v>
      </c>
    </row>
    <row r="863" spans="1:19" x14ac:dyDescent="0.35">
      <c r="A863" t="s">
        <v>2315</v>
      </c>
      <c r="B863" t="s">
        <v>312</v>
      </c>
      <c r="C863" s="5">
        <v>45685</v>
      </c>
      <c r="D863" s="5">
        <v>45686</v>
      </c>
      <c r="E863" t="s">
        <v>313</v>
      </c>
      <c r="F863" t="s">
        <v>254</v>
      </c>
      <c r="G863" t="s">
        <v>235</v>
      </c>
      <c r="H863" t="s">
        <v>797</v>
      </c>
      <c r="I863" t="s">
        <v>14</v>
      </c>
      <c r="J863" t="s">
        <v>111</v>
      </c>
      <c r="K863" t="s">
        <v>798</v>
      </c>
      <c r="L863" t="s">
        <v>799</v>
      </c>
      <c r="M863" t="s">
        <v>818</v>
      </c>
      <c r="N863">
        <v>2</v>
      </c>
      <c r="O863" s="3">
        <v>19.850000000000001</v>
      </c>
      <c r="P863" s="3">
        <v>28.78</v>
      </c>
      <c r="Q863" s="6">
        <v>0.05</v>
      </c>
      <c r="R863" s="3">
        <v>54.682000000000002</v>
      </c>
      <c r="S863" t="s">
        <v>845</v>
      </c>
    </row>
    <row r="864" spans="1:19" x14ac:dyDescent="0.35">
      <c r="A864" t="s">
        <v>2316</v>
      </c>
      <c r="B864" t="s">
        <v>459</v>
      </c>
      <c r="C864" s="5">
        <v>45521</v>
      </c>
      <c r="D864" s="5">
        <v>45522</v>
      </c>
      <c r="E864" t="s">
        <v>460</v>
      </c>
      <c r="F864" t="s">
        <v>674</v>
      </c>
      <c r="G864" t="s">
        <v>264</v>
      </c>
      <c r="H864" t="s">
        <v>14</v>
      </c>
      <c r="I864" t="s">
        <v>29</v>
      </c>
      <c r="J864" t="s">
        <v>191</v>
      </c>
      <c r="K864" t="s">
        <v>798</v>
      </c>
      <c r="L864" t="s">
        <v>799</v>
      </c>
      <c r="M864" t="s">
        <v>842</v>
      </c>
      <c r="N864">
        <v>1</v>
      </c>
      <c r="O864" s="3">
        <v>11.26</v>
      </c>
      <c r="P864" s="3">
        <v>15.2</v>
      </c>
      <c r="Q864" s="6">
        <v>0.1</v>
      </c>
      <c r="R864" s="3">
        <v>13.68</v>
      </c>
      <c r="S864" t="s">
        <v>814</v>
      </c>
    </row>
    <row r="865" spans="1:19" x14ac:dyDescent="0.35">
      <c r="A865" t="s">
        <v>2317</v>
      </c>
      <c r="B865" t="s">
        <v>406</v>
      </c>
      <c r="C865" s="5">
        <v>45915</v>
      </c>
      <c r="E865" t="s">
        <v>287</v>
      </c>
      <c r="F865" t="s">
        <v>637</v>
      </c>
      <c r="G865" t="s">
        <v>243</v>
      </c>
      <c r="H865" t="s">
        <v>20</v>
      </c>
      <c r="I865" t="s">
        <v>8</v>
      </c>
      <c r="J865" t="s">
        <v>101</v>
      </c>
      <c r="K865" t="s">
        <v>798</v>
      </c>
      <c r="L865" t="s">
        <v>787</v>
      </c>
      <c r="M865" t="s">
        <v>818</v>
      </c>
      <c r="N865">
        <v>1</v>
      </c>
      <c r="O865" s="3">
        <v>16.510000000000002</v>
      </c>
      <c r="P865" s="3">
        <v>23.94</v>
      </c>
      <c r="Q865" s="6">
        <v>0.05</v>
      </c>
      <c r="R865" s="3">
        <v>22.743000000000002</v>
      </c>
      <c r="S865" t="s">
        <v>829</v>
      </c>
    </row>
    <row r="866" spans="1:19" x14ac:dyDescent="0.35">
      <c r="A866" t="s">
        <v>2318</v>
      </c>
      <c r="B866" t="s">
        <v>463</v>
      </c>
      <c r="C866" s="5">
        <v>45403</v>
      </c>
      <c r="E866" t="s">
        <v>464</v>
      </c>
      <c r="F866" t="s">
        <v>681</v>
      </c>
      <c r="G866" t="s">
        <v>264</v>
      </c>
      <c r="H866" t="s">
        <v>48</v>
      </c>
      <c r="I866" t="s">
        <v>48</v>
      </c>
      <c r="J866" t="s">
        <v>54</v>
      </c>
      <c r="K866" t="s">
        <v>798</v>
      </c>
      <c r="L866" t="s">
        <v>817</v>
      </c>
      <c r="M866" t="s">
        <v>818</v>
      </c>
      <c r="N866">
        <v>2</v>
      </c>
      <c r="O866" s="3">
        <v>21.67</v>
      </c>
      <c r="P866" s="3">
        <v>28.17</v>
      </c>
      <c r="Q866" s="6">
        <v>0.05</v>
      </c>
      <c r="R866" s="3">
        <v>53.523000000000003</v>
      </c>
      <c r="S866" t="s">
        <v>803</v>
      </c>
    </row>
    <row r="867" spans="1:19" x14ac:dyDescent="0.35">
      <c r="A867" t="s">
        <v>2320</v>
      </c>
      <c r="B867" t="s">
        <v>612</v>
      </c>
      <c r="C867" s="5">
        <v>46028</v>
      </c>
      <c r="D867" s="5">
        <v>46033</v>
      </c>
      <c r="E867" t="s">
        <v>447</v>
      </c>
      <c r="F867" t="s">
        <v>627</v>
      </c>
      <c r="G867" t="s">
        <v>235</v>
      </c>
      <c r="H867" t="s">
        <v>797</v>
      </c>
      <c r="I867" t="s">
        <v>20</v>
      </c>
      <c r="J867" t="s">
        <v>196</v>
      </c>
      <c r="K867" t="s">
        <v>786</v>
      </c>
      <c r="L867" t="s">
        <v>799</v>
      </c>
      <c r="M867" t="s">
        <v>788</v>
      </c>
      <c r="N867">
        <v>3</v>
      </c>
      <c r="O867" s="3">
        <v>15.78</v>
      </c>
      <c r="P867" s="3">
        <v>19.72</v>
      </c>
      <c r="Q867" s="6">
        <v>0</v>
      </c>
      <c r="R867" s="3">
        <v>59.16</v>
      </c>
      <c r="S867" t="s">
        <v>839</v>
      </c>
    </row>
    <row r="868" spans="1:19" x14ac:dyDescent="0.35">
      <c r="A868" t="s">
        <v>2322</v>
      </c>
      <c r="B868" t="s">
        <v>312</v>
      </c>
      <c r="C868" s="5">
        <v>45990</v>
      </c>
      <c r="D868" s="5">
        <v>45996</v>
      </c>
      <c r="E868" t="s">
        <v>313</v>
      </c>
      <c r="F868" t="s">
        <v>674</v>
      </c>
      <c r="G868" t="s">
        <v>235</v>
      </c>
      <c r="H868" t="s">
        <v>20</v>
      </c>
      <c r="I868" t="s">
        <v>20</v>
      </c>
      <c r="J868" t="s">
        <v>102</v>
      </c>
      <c r="K868" t="s">
        <v>798</v>
      </c>
      <c r="L868" t="s">
        <v>799</v>
      </c>
      <c r="M868" t="s">
        <v>842</v>
      </c>
      <c r="N868">
        <v>5</v>
      </c>
      <c r="O868" s="3">
        <v>19.04</v>
      </c>
      <c r="P868" s="3">
        <v>25.7</v>
      </c>
      <c r="Q868" s="6">
        <v>0.1</v>
      </c>
      <c r="R868" s="3">
        <v>115.65</v>
      </c>
      <c r="S868" t="s">
        <v>1017</v>
      </c>
    </row>
    <row r="869" spans="1:19" x14ac:dyDescent="0.35">
      <c r="A869" t="s">
        <v>2323</v>
      </c>
      <c r="B869" t="s">
        <v>572</v>
      </c>
      <c r="C869" s="5">
        <v>45567</v>
      </c>
      <c r="E869" t="s">
        <v>304</v>
      </c>
      <c r="F869" t="s">
        <v>637</v>
      </c>
      <c r="G869" t="s">
        <v>235</v>
      </c>
      <c r="H869" t="s">
        <v>20</v>
      </c>
      <c r="I869" t="s">
        <v>14</v>
      </c>
      <c r="J869" t="s">
        <v>12</v>
      </c>
      <c r="K869" t="s">
        <v>813</v>
      </c>
      <c r="L869" t="s">
        <v>793</v>
      </c>
      <c r="M869" t="s">
        <v>800</v>
      </c>
      <c r="N869">
        <v>2</v>
      </c>
      <c r="O869" s="3">
        <v>35.03</v>
      </c>
      <c r="P869" s="3">
        <v>50.79</v>
      </c>
      <c r="Q869" s="6">
        <v>0</v>
      </c>
      <c r="R869" s="3">
        <v>101.58</v>
      </c>
      <c r="S869" t="s">
        <v>810</v>
      </c>
    </row>
    <row r="870" spans="1:19" x14ac:dyDescent="0.35">
      <c r="A870" t="s">
        <v>2324</v>
      </c>
      <c r="B870" t="s">
        <v>252</v>
      </c>
      <c r="C870" s="5">
        <v>45746</v>
      </c>
      <c r="E870" t="s">
        <v>253</v>
      </c>
      <c r="F870" t="s">
        <v>696</v>
      </c>
      <c r="G870" t="s">
        <v>243</v>
      </c>
      <c r="H870" t="s">
        <v>797</v>
      </c>
      <c r="I870" t="s">
        <v>14</v>
      </c>
      <c r="J870" t="s">
        <v>90</v>
      </c>
      <c r="K870" t="s">
        <v>813</v>
      </c>
      <c r="L870" t="s">
        <v>793</v>
      </c>
      <c r="M870" t="s">
        <v>788</v>
      </c>
      <c r="N870">
        <v>1</v>
      </c>
      <c r="O870" s="3">
        <v>27.34</v>
      </c>
      <c r="P870" s="3">
        <v>39.64</v>
      </c>
      <c r="Q870" s="6">
        <v>0.05</v>
      </c>
      <c r="R870" s="3">
        <v>37.658000000000001</v>
      </c>
      <c r="S870" t="s">
        <v>829</v>
      </c>
    </row>
    <row r="871" spans="1:19" x14ac:dyDescent="0.35">
      <c r="A871" t="s">
        <v>2325</v>
      </c>
      <c r="B871" t="s">
        <v>411</v>
      </c>
      <c r="C871" s="5">
        <v>45885</v>
      </c>
      <c r="D871" s="5">
        <v>45893</v>
      </c>
      <c r="E871" t="s">
        <v>412</v>
      </c>
      <c r="F871" t="s">
        <v>627</v>
      </c>
      <c r="G871" t="s">
        <v>235</v>
      </c>
      <c r="H871" t="s">
        <v>14</v>
      </c>
      <c r="I871" t="s">
        <v>48</v>
      </c>
      <c r="J871" t="s">
        <v>190</v>
      </c>
      <c r="K871" t="s">
        <v>786</v>
      </c>
      <c r="L871" t="s">
        <v>799</v>
      </c>
      <c r="M871" t="s">
        <v>800</v>
      </c>
      <c r="N871">
        <v>1</v>
      </c>
      <c r="O871" s="3">
        <v>21.56</v>
      </c>
      <c r="P871" s="3">
        <v>31.26</v>
      </c>
      <c r="Q871" s="6">
        <v>0</v>
      </c>
      <c r="R871" s="3">
        <v>31.26</v>
      </c>
      <c r="S871" t="s">
        <v>1017</v>
      </c>
    </row>
    <row r="872" spans="1:19" x14ac:dyDescent="0.35">
      <c r="A872" t="s">
        <v>2326</v>
      </c>
      <c r="B872" t="s">
        <v>563</v>
      </c>
      <c r="C872" s="5">
        <v>45422</v>
      </c>
      <c r="E872" t="s">
        <v>311</v>
      </c>
      <c r="F872" t="s">
        <v>674</v>
      </c>
      <c r="G872" t="s">
        <v>264</v>
      </c>
      <c r="H872" t="s">
        <v>797</v>
      </c>
      <c r="I872" t="s">
        <v>43</v>
      </c>
      <c r="J872" t="s">
        <v>200</v>
      </c>
      <c r="K872" t="s">
        <v>798</v>
      </c>
      <c r="L872" t="s">
        <v>787</v>
      </c>
      <c r="M872" t="s">
        <v>842</v>
      </c>
      <c r="N872">
        <v>12</v>
      </c>
      <c r="O872" s="3">
        <v>69.23</v>
      </c>
      <c r="P872" s="3">
        <v>86.54</v>
      </c>
      <c r="Q872" s="6">
        <v>0.15</v>
      </c>
      <c r="R872" s="3">
        <v>882.70800000000008</v>
      </c>
      <c r="S872" t="s">
        <v>829</v>
      </c>
    </row>
    <row r="873" spans="1:19" x14ac:dyDescent="0.35">
      <c r="A873" t="s">
        <v>2327</v>
      </c>
      <c r="B873" t="s">
        <v>485</v>
      </c>
      <c r="C873" s="5">
        <v>45480</v>
      </c>
      <c r="E873" t="s">
        <v>486</v>
      </c>
      <c r="F873" t="s">
        <v>627</v>
      </c>
      <c r="G873" t="s">
        <v>243</v>
      </c>
      <c r="H873" t="s">
        <v>797</v>
      </c>
      <c r="I873" t="s">
        <v>79</v>
      </c>
      <c r="J873" t="s">
        <v>77</v>
      </c>
      <c r="K873" t="s">
        <v>798</v>
      </c>
      <c r="L873" t="s">
        <v>793</v>
      </c>
      <c r="M873" t="s">
        <v>800</v>
      </c>
      <c r="N873">
        <v>3</v>
      </c>
      <c r="O873" s="3">
        <v>13.71</v>
      </c>
      <c r="P873" s="3">
        <v>17.82</v>
      </c>
      <c r="Q873" s="6">
        <v>0</v>
      </c>
      <c r="R873" s="3">
        <v>53.46</v>
      </c>
      <c r="S873" t="s">
        <v>839</v>
      </c>
    </row>
    <row r="874" spans="1:19" x14ac:dyDescent="0.35">
      <c r="A874" t="s">
        <v>2328</v>
      </c>
      <c r="B874" t="s">
        <v>528</v>
      </c>
      <c r="C874" s="5">
        <v>45986</v>
      </c>
      <c r="E874" t="s">
        <v>433</v>
      </c>
      <c r="F874" t="s">
        <v>681</v>
      </c>
      <c r="G874" t="s">
        <v>264</v>
      </c>
      <c r="H874" t="s">
        <v>797</v>
      </c>
      <c r="I874" t="s">
        <v>43</v>
      </c>
      <c r="J874" t="s">
        <v>53</v>
      </c>
      <c r="K874" t="s">
        <v>798</v>
      </c>
      <c r="L874" t="s">
        <v>787</v>
      </c>
      <c r="M874" t="s">
        <v>818</v>
      </c>
      <c r="N874">
        <v>12</v>
      </c>
      <c r="O874" s="3">
        <v>54.93</v>
      </c>
      <c r="P874" s="3">
        <v>79.650000000000006</v>
      </c>
      <c r="Q874" s="6">
        <v>0</v>
      </c>
      <c r="R874" s="3">
        <v>955.80000000000007</v>
      </c>
      <c r="S874" t="s">
        <v>892</v>
      </c>
    </row>
    <row r="875" spans="1:19" x14ac:dyDescent="0.35">
      <c r="A875" t="s">
        <v>2329</v>
      </c>
      <c r="B875" t="s">
        <v>377</v>
      </c>
      <c r="C875" s="5">
        <v>45371</v>
      </c>
      <c r="D875" s="5">
        <v>45376</v>
      </c>
      <c r="E875" t="s">
        <v>378</v>
      </c>
      <c r="F875" t="s">
        <v>633</v>
      </c>
      <c r="G875" t="s">
        <v>243</v>
      </c>
      <c r="H875" t="s">
        <v>14</v>
      </c>
      <c r="I875" t="s">
        <v>14</v>
      </c>
      <c r="J875" t="s">
        <v>67</v>
      </c>
      <c r="K875" t="s">
        <v>786</v>
      </c>
      <c r="L875" t="s">
        <v>799</v>
      </c>
      <c r="M875" t="s">
        <v>842</v>
      </c>
      <c r="N875">
        <v>10</v>
      </c>
      <c r="O875" s="3">
        <v>17.63</v>
      </c>
      <c r="P875" s="3">
        <v>22.92</v>
      </c>
      <c r="Q875" s="6">
        <v>0.15</v>
      </c>
      <c r="R875" s="3">
        <v>194.82000000000002</v>
      </c>
      <c r="S875" t="s">
        <v>876</v>
      </c>
    </row>
    <row r="876" spans="1:19" x14ac:dyDescent="0.35">
      <c r="A876" t="s">
        <v>2330</v>
      </c>
      <c r="B876" t="s">
        <v>436</v>
      </c>
      <c r="C876" s="5">
        <v>45438</v>
      </c>
      <c r="E876" t="s">
        <v>396</v>
      </c>
      <c r="F876" t="s">
        <v>627</v>
      </c>
      <c r="G876" t="s">
        <v>235</v>
      </c>
      <c r="H876" t="s">
        <v>20</v>
      </c>
      <c r="I876" t="s">
        <v>8</v>
      </c>
      <c r="J876" t="s">
        <v>73</v>
      </c>
      <c r="K876" t="s">
        <v>798</v>
      </c>
      <c r="L876" t="s">
        <v>793</v>
      </c>
      <c r="M876" t="s">
        <v>800</v>
      </c>
      <c r="N876">
        <v>1</v>
      </c>
      <c r="O876" s="3">
        <v>67.95</v>
      </c>
      <c r="P876" s="3">
        <v>88.34</v>
      </c>
      <c r="Q876" s="6">
        <v>0.05</v>
      </c>
      <c r="R876" s="3">
        <v>83.923000000000002</v>
      </c>
      <c r="S876" t="s">
        <v>859</v>
      </c>
    </row>
    <row r="877" spans="1:19" x14ac:dyDescent="0.35">
      <c r="A877" t="s">
        <v>2331</v>
      </c>
      <c r="B877" t="s">
        <v>358</v>
      </c>
      <c r="C877" s="5">
        <v>45928</v>
      </c>
      <c r="D877" s="5">
        <v>45932</v>
      </c>
      <c r="E877" t="s">
        <v>287</v>
      </c>
      <c r="F877" t="s">
        <v>633</v>
      </c>
      <c r="G877" t="s">
        <v>243</v>
      </c>
      <c r="H877" t="s">
        <v>797</v>
      </c>
      <c r="I877" t="s">
        <v>20</v>
      </c>
      <c r="J877" t="s">
        <v>39</v>
      </c>
      <c r="K877" t="s">
        <v>786</v>
      </c>
      <c r="L877" t="s">
        <v>822</v>
      </c>
      <c r="M877" t="s">
        <v>842</v>
      </c>
      <c r="N877">
        <v>10</v>
      </c>
      <c r="O877" s="3">
        <v>9.5</v>
      </c>
      <c r="P877" s="3">
        <v>12.83</v>
      </c>
      <c r="Q877" s="6">
        <v>0</v>
      </c>
      <c r="R877" s="3">
        <v>128.30000000000001</v>
      </c>
      <c r="S877" t="s">
        <v>946</v>
      </c>
    </row>
    <row r="878" spans="1:19" x14ac:dyDescent="0.35">
      <c r="A878" t="s">
        <v>2332</v>
      </c>
      <c r="B878" t="s">
        <v>593</v>
      </c>
      <c r="C878" s="5">
        <v>45612</v>
      </c>
      <c r="D878" s="5">
        <v>45613</v>
      </c>
      <c r="E878" t="s">
        <v>594</v>
      </c>
      <c r="F878" t="s">
        <v>637</v>
      </c>
      <c r="G878" t="s">
        <v>243</v>
      </c>
      <c r="H878" t="s">
        <v>20</v>
      </c>
      <c r="I878" t="s">
        <v>79</v>
      </c>
      <c r="J878" t="s">
        <v>108</v>
      </c>
      <c r="K878" t="s">
        <v>786</v>
      </c>
      <c r="L878" t="s">
        <v>799</v>
      </c>
      <c r="M878" t="s">
        <v>788</v>
      </c>
      <c r="N878">
        <v>10</v>
      </c>
      <c r="O878" s="3">
        <v>9.3000000000000007</v>
      </c>
      <c r="P878" s="3">
        <v>12.56</v>
      </c>
      <c r="Q878" s="6">
        <v>0.05</v>
      </c>
      <c r="R878" s="3">
        <v>119.32000000000001</v>
      </c>
      <c r="S878" t="s">
        <v>803</v>
      </c>
    </row>
    <row r="879" spans="1:19" x14ac:dyDescent="0.35">
      <c r="A879" t="s">
        <v>2333</v>
      </c>
      <c r="B879" t="s">
        <v>459</v>
      </c>
      <c r="C879" s="5">
        <v>45964</v>
      </c>
      <c r="E879" t="s">
        <v>460</v>
      </c>
      <c r="F879" t="s">
        <v>637</v>
      </c>
      <c r="G879" t="s">
        <v>264</v>
      </c>
      <c r="H879" t="s">
        <v>48</v>
      </c>
      <c r="I879" t="s">
        <v>20</v>
      </c>
      <c r="J879" t="s">
        <v>163</v>
      </c>
      <c r="K879" t="s">
        <v>813</v>
      </c>
      <c r="L879" t="s">
        <v>787</v>
      </c>
      <c r="M879" t="s">
        <v>788</v>
      </c>
      <c r="N879">
        <v>5</v>
      </c>
      <c r="O879" s="3">
        <v>55.3</v>
      </c>
      <c r="P879" s="3">
        <v>74.66</v>
      </c>
      <c r="Q879" s="6">
        <v>0.1</v>
      </c>
      <c r="R879" s="3">
        <v>335.96999999999997</v>
      </c>
      <c r="S879" t="s">
        <v>892</v>
      </c>
    </row>
    <row r="880" spans="1:19" x14ac:dyDescent="0.35">
      <c r="A880" t="s">
        <v>2334</v>
      </c>
      <c r="B880" t="s">
        <v>530</v>
      </c>
      <c r="C880" s="5">
        <v>45880</v>
      </c>
      <c r="D880" s="5">
        <v>45889</v>
      </c>
      <c r="E880" t="s">
        <v>531</v>
      </c>
      <c r="F880" t="s">
        <v>681</v>
      </c>
      <c r="G880" t="s">
        <v>235</v>
      </c>
      <c r="H880" t="s">
        <v>797</v>
      </c>
      <c r="I880" t="s">
        <v>20</v>
      </c>
      <c r="J880" t="s">
        <v>18</v>
      </c>
      <c r="K880" t="s">
        <v>798</v>
      </c>
      <c r="L880" t="s">
        <v>799</v>
      </c>
      <c r="M880" t="s">
        <v>842</v>
      </c>
      <c r="N880">
        <v>10</v>
      </c>
      <c r="O880" s="3">
        <v>21.57</v>
      </c>
      <c r="P880" s="3">
        <v>26.96</v>
      </c>
      <c r="Q880" s="6">
        <v>0.1</v>
      </c>
      <c r="R880" s="3">
        <v>242.64000000000001</v>
      </c>
      <c r="S880" t="s">
        <v>819</v>
      </c>
    </row>
    <row r="881" spans="1:19" x14ac:dyDescent="0.35">
      <c r="A881" t="s">
        <v>2335</v>
      </c>
      <c r="B881" t="s">
        <v>432</v>
      </c>
      <c r="C881" s="5">
        <v>45824</v>
      </c>
      <c r="D881" s="5">
        <v>45828</v>
      </c>
      <c r="E881" t="s">
        <v>433</v>
      </c>
      <c r="F881" t="s">
        <v>633</v>
      </c>
      <c r="G881" t="s">
        <v>243</v>
      </c>
      <c r="H881" t="s">
        <v>797</v>
      </c>
      <c r="I881" t="s">
        <v>8</v>
      </c>
      <c r="J881" t="s">
        <v>10</v>
      </c>
      <c r="K881" t="s">
        <v>798</v>
      </c>
      <c r="L881" t="s">
        <v>822</v>
      </c>
      <c r="M881" t="s">
        <v>800</v>
      </c>
      <c r="N881">
        <v>10</v>
      </c>
      <c r="O881" s="3">
        <v>22.74</v>
      </c>
      <c r="P881" s="3">
        <v>28.42</v>
      </c>
      <c r="Q881" s="6">
        <v>0</v>
      </c>
      <c r="R881" s="3">
        <v>284.20000000000005</v>
      </c>
      <c r="S881" t="s">
        <v>814</v>
      </c>
    </row>
    <row r="882" spans="1:19" x14ac:dyDescent="0.35">
      <c r="A882" t="s">
        <v>2336</v>
      </c>
      <c r="B882" t="s">
        <v>605</v>
      </c>
      <c r="C882" s="5">
        <v>45758</v>
      </c>
      <c r="D882" s="5">
        <v>45764</v>
      </c>
      <c r="E882" t="s">
        <v>389</v>
      </c>
      <c r="F882" t="s">
        <v>254</v>
      </c>
      <c r="G882" t="s">
        <v>264</v>
      </c>
      <c r="H882" t="s">
        <v>14</v>
      </c>
      <c r="I882" t="s">
        <v>43</v>
      </c>
      <c r="J882" t="s">
        <v>146</v>
      </c>
      <c r="K882" t="s">
        <v>798</v>
      </c>
      <c r="L882" t="s">
        <v>822</v>
      </c>
      <c r="M882" t="s">
        <v>818</v>
      </c>
      <c r="N882">
        <v>3</v>
      </c>
      <c r="O882" s="3">
        <v>24.05</v>
      </c>
      <c r="P882" s="3">
        <v>31.27</v>
      </c>
      <c r="Q882" s="6">
        <v>0</v>
      </c>
      <c r="R882" s="3">
        <v>93.81</v>
      </c>
      <c r="S882" t="s">
        <v>834</v>
      </c>
    </row>
    <row r="883" spans="1:19" x14ac:dyDescent="0.35">
      <c r="A883" t="s">
        <v>2338</v>
      </c>
      <c r="B883" t="s">
        <v>306</v>
      </c>
      <c r="C883" s="5">
        <v>45865</v>
      </c>
      <c r="D883" s="5">
        <v>45868</v>
      </c>
      <c r="E883" t="s">
        <v>307</v>
      </c>
      <c r="F883" t="s">
        <v>633</v>
      </c>
      <c r="H883" t="s">
        <v>14</v>
      </c>
      <c r="I883" t="s">
        <v>29</v>
      </c>
      <c r="J883" t="s">
        <v>123</v>
      </c>
      <c r="K883" t="s">
        <v>798</v>
      </c>
      <c r="L883" t="s">
        <v>799</v>
      </c>
      <c r="M883" t="s">
        <v>818</v>
      </c>
      <c r="N883">
        <v>12</v>
      </c>
      <c r="O883" s="3">
        <v>20.7</v>
      </c>
      <c r="P883" s="3">
        <v>30.01</v>
      </c>
      <c r="Q883" s="6">
        <v>0</v>
      </c>
      <c r="R883" s="3">
        <v>360.12</v>
      </c>
      <c r="S883" t="s">
        <v>803</v>
      </c>
    </row>
    <row r="884" spans="1:19" x14ac:dyDescent="0.35">
      <c r="A884" t="s">
        <v>2339</v>
      </c>
      <c r="B884" t="s">
        <v>614</v>
      </c>
      <c r="C884" s="5">
        <v>45842</v>
      </c>
      <c r="D884" s="5">
        <v>45844</v>
      </c>
      <c r="E884" t="s">
        <v>615</v>
      </c>
      <c r="F884" t="s">
        <v>696</v>
      </c>
      <c r="G884" t="s">
        <v>235</v>
      </c>
      <c r="H884" t="s">
        <v>14</v>
      </c>
      <c r="I884" t="s">
        <v>29</v>
      </c>
      <c r="J884" t="s">
        <v>106</v>
      </c>
      <c r="K884" t="s">
        <v>798</v>
      </c>
      <c r="L884" t="s">
        <v>799</v>
      </c>
      <c r="M884" t="s">
        <v>800</v>
      </c>
      <c r="N884">
        <v>20</v>
      </c>
      <c r="O884" s="3">
        <v>29.64</v>
      </c>
      <c r="P884" s="3">
        <v>41.5</v>
      </c>
      <c r="Q884" s="6">
        <v>0</v>
      </c>
      <c r="R884" s="3">
        <v>830</v>
      </c>
      <c r="S884" t="s">
        <v>1134</v>
      </c>
    </row>
    <row r="885" spans="1:19" x14ac:dyDescent="0.35">
      <c r="A885" t="s">
        <v>2340</v>
      </c>
      <c r="B885" t="s">
        <v>475</v>
      </c>
      <c r="C885" s="5">
        <v>45375</v>
      </c>
      <c r="D885" s="5">
        <v>45376</v>
      </c>
      <c r="E885" t="s">
        <v>476</v>
      </c>
      <c r="F885" t="s">
        <v>627</v>
      </c>
      <c r="G885" t="s">
        <v>243</v>
      </c>
      <c r="H885" t="s">
        <v>48</v>
      </c>
      <c r="I885" t="s">
        <v>38</v>
      </c>
      <c r="J885" t="s">
        <v>156</v>
      </c>
      <c r="K885" t="s">
        <v>798</v>
      </c>
      <c r="L885" t="s">
        <v>799</v>
      </c>
      <c r="M885" t="s">
        <v>788</v>
      </c>
      <c r="N885">
        <v>1</v>
      </c>
      <c r="O885" s="3">
        <v>20.81</v>
      </c>
      <c r="P885" s="3">
        <v>29.13</v>
      </c>
      <c r="Q885" s="6">
        <v>0</v>
      </c>
      <c r="R885" s="3">
        <v>29.13</v>
      </c>
      <c r="S885" t="s">
        <v>845</v>
      </c>
    </row>
    <row r="886" spans="1:19" x14ac:dyDescent="0.35">
      <c r="A886" t="s">
        <v>2341</v>
      </c>
      <c r="B886" t="s">
        <v>475</v>
      </c>
      <c r="C886" s="5">
        <v>45462</v>
      </c>
      <c r="D886" s="5">
        <v>45469</v>
      </c>
      <c r="E886" t="s">
        <v>476</v>
      </c>
      <c r="F886" t="s">
        <v>633</v>
      </c>
      <c r="G886" t="s">
        <v>243</v>
      </c>
      <c r="H886" t="s">
        <v>20</v>
      </c>
      <c r="I886" t="s">
        <v>20</v>
      </c>
      <c r="J886" t="s">
        <v>34</v>
      </c>
      <c r="K886" t="s">
        <v>798</v>
      </c>
      <c r="L886" t="s">
        <v>799</v>
      </c>
      <c r="M886" t="s">
        <v>842</v>
      </c>
      <c r="N886">
        <v>2</v>
      </c>
      <c r="O886" s="3">
        <v>28.02</v>
      </c>
      <c r="P886" s="3">
        <v>36.43</v>
      </c>
      <c r="Q886" s="6">
        <v>0</v>
      </c>
      <c r="R886" s="3">
        <v>72.86</v>
      </c>
      <c r="S886" t="s">
        <v>829</v>
      </c>
    </row>
    <row r="887" spans="1:19" x14ac:dyDescent="0.35">
      <c r="A887" t="s">
        <v>2342</v>
      </c>
      <c r="B887" t="s">
        <v>303</v>
      </c>
      <c r="C887" s="5">
        <v>45316</v>
      </c>
      <c r="E887" t="s">
        <v>304</v>
      </c>
      <c r="F887" t="s">
        <v>674</v>
      </c>
      <c r="G887" t="s">
        <v>243</v>
      </c>
      <c r="H887" t="s">
        <v>14</v>
      </c>
      <c r="I887" t="s">
        <v>38</v>
      </c>
      <c r="J887" t="s">
        <v>172</v>
      </c>
      <c r="K887" t="s">
        <v>798</v>
      </c>
      <c r="L887" t="s">
        <v>793</v>
      </c>
      <c r="M887" t="s">
        <v>818</v>
      </c>
      <c r="N887">
        <v>2</v>
      </c>
      <c r="O887" s="3">
        <v>18.329999999999998</v>
      </c>
      <c r="P887" s="3">
        <v>22.91</v>
      </c>
      <c r="Q887" s="6">
        <v>0</v>
      </c>
      <c r="R887" s="3">
        <v>45.82</v>
      </c>
      <c r="S887" t="s">
        <v>888</v>
      </c>
    </row>
    <row r="888" spans="1:19" x14ac:dyDescent="0.35">
      <c r="A888" t="s">
        <v>2343</v>
      </c>
      <c r="B888" t="s">
        <v>397</v>
      </c>
      <c r="C888" s="5">
        <v>45703</v>
      </c>
      <c r="D888" s="5">
        <v>45713</v>
      </c>
      <c r="E888" t="s">
        <v>360</v>
      </c>
      <c r="F888" t="s">
        <v>681</v>
      </c>
      <c r="H888" t="s">
        <v>797</v>
      </c>
      <c r="I888" t="s">
        <v>14</v>
      </c>
      <c r="J888" t="s">
        <v>56</v>
      </c>
      <c r="K888" t="s">
        <v>798</v>
      </c>
      <c r="L888" t="s">
        <v>799</v>
      </c>
      <c r="M888" t="s">
        <v>800</v>
      </c>
      <c r="N888">
        <v>5</v>
      </c>
      <c r="O888" s="3">
        <v>25.46</v>
      </c>
      <c r="P888" s="3">
        <v>31.83</v>
      </c>
      <c r="Q888" s="6">
        <v>0.1</v>
      </c>
      <c r="R888" s="3">
        <v>143.23499999999999</v>
      </c>
      <c r="S888" t="s">
        <v>946</v>
      </c>
    </row>
    <row r="889" spans="1:19" x14ac:dyDescent="0.35">
      <c r="A889" t="s">
        <v>2344</v>
      </c>
      <c r="B889" t="s">
        <v>303</v>
      </c>
      <c r="C889" s="5">
        <v>45402</v>
      </c>
      <c r="D889" s="5">
        <v>45407</v>
      </c>
      <c r="E889" t="s">
        <v>304</v>
      </c>
      <c r="F889" t="s">
        <v>681</v>
      </c>
      <c r="G889" t="s">
        <v>243</v>
      </c>
      <c r="H889" t="s">
        <v>48</v>
      </c>
      <c r="I889" t="s">
        <v>8</v>
      </c>
      <c r="J889" t="s">
        <v>212</v>
      </c>
      <c r="K889" t="s">
        <v>786</v>
      </c>
      <c r="L889" t="s">
        <v>822</v>
      </c>
      <c r="M889" t="s">
        <v>818</v>
      </c>
      <c r="N889">
        <v>3</v>
      </c>
      <c r="O889" s="3">
        <v>95.09</v>
      </c>
      <c r="P889" s="3">
        <v>133.13</v>
      </c>
      <c r="Q889" s="6">
        <v>0.15</v>
      </c>
      <c r="R889" s="3">
        <v>339.48149999999998</v>
      </c>
      <c r="S889" t="s">
        <v>876</v>
      </c>
    </row>
    <row r="890" spans="1:19" x14ac:dyDescent="0.35">
      <c r="A890" t="s">
        <v>2345</v>
      </c>
      <c r="B890" t="s">
        <v>599</v>
      </c>
      <c r="C890" s="5">
        <v>45780</v>
      </c>
      <c r="D890" s="5">
        <v>45790</v>
      </c>
      <c r="E890" t="s">
        <v>600</v>
      </c>
      <c r="F890" t="s">
        <v>674</v>
      </c>
      <c r="G890" t="s">
        <v>243</v>
      </c>
      <c r="H890" t="s">
        <v>20</v>
      </c>
      <c r="I890" t="s">
        <v>79</v>
      </c>
      <c r="J890" t="s">
        <v>108</v>
      </c>
      <c r="K890" t="s">
        <v>798</v>
      </c>
      <c r="L890" t="s">
        <v>799</v>
      </c>
      <c r="M890" t="s">
        <v>842</v>
      </c>
      <c r="N890">
        <v>2</v>
      </c>
      <c r="O890" s="3">
        <v>9.3000000000000007</v>
      </c>
      <c r="P890" s="3">
        <v>12.56</v>
      </c>
      <c r="Q890" s="6">
        <v>0</v>
      </c>
      <c r="R890" s="3">
        <v>25.12</v>
      </c>
      <c r="S890" t="s">
        <v>839</v>
      </c>
    </row>
    <row r="891" spans="1:19" x14ac:dyDescent="0.35">
      <c r="A891" t="s">
        <v>2346</v>
      </c>
      <c r="B891" t="s">
        <v>578</v>
      </c>
      <c r="C891" s="5">
        <v>45899</v>
      </c>
      <c r="E891" t="s">
        <v>368</v>
      </c>
      <c r="F891" t="s">
        <v>681</v>
      </c>
      <c r="G891" t="s">
        <v>235</v>
      </c>
      <c r="H891" t="s">
        <v>14</v>
      </c>
      <c r="I891" t="s">
        <v>29</v>
      </c>
      <c r="J891" t="s">
        <v>86</v>
      </c>
      <c r="K891" t="s">
        <v>798</v>
      </c>
      <c r="L891" t="s">
        <v>787</v>
      </c>
      <c r="M891" t="s">
        <v>800</v>
      </c>
      <c r="N891">
        <v>3</v>
      </c>
      <c r="O891" s="3">
        <v>8.35</v>
      </c>
      <c r="P891" s="3">
        <v>12.11</v>
      </c>
      <c r="Q891" s="6">
        <v>0</v>
      </c>
      <c r="R891" s="3">
        <v>36.33</v>
      </c>
      <c r="S891" t="s">
        <v>794</v>
      </c>
    </row>
    <row r="892" spans="1:19" x14ac:dyDescent="0.35">
      <c r="A892" t="s">
        <v>2347</v>
      </c>
      <c r="B892" t="s">
        <v>442</v>
      </c>
      <c r="C892" s="5">
        <v>45596</v>
      </c>
      <c r="D892" s="5">
        <v>45603</v>
      </c>
      <c r="E892" t="s">
        <v>443</v>
      </c>
      <c r="F892" t="s">
        <v>254</v>
      </c>
      <c r="G892" t="s">
        <v>235</v>
      </c>
      <c r="H892" t="s">
        <v>14</v>
      </c>
      <c r="I892" t="s">
        <v>29</v>
      </c>
      <c r="J892" t="s">
        <v>121</v>
      </c>
      <c r="K892" t="s">
        <v>786</v>
      </c>
      <c r="L892" t="s">
        <v>799</v>
      </c>
      <c r="M892" t="s">
        <v>818</v>
      </c>
      <c r="N892">
        <v>10</v>
      </c>
      <c r="O892" s="3">
        <v>15.46</v>
      </c>
      <c r="P892" s="3">
        <v>22.42</v>
      </c>
      <c r="Q892" s="6">
        <v>0</v>
      </c>
      <c r="R892" s="3">
        <v>224.20000000000002</v>
      </c>
      <c r="S892" t="s">
        <v>1134</v>
      </c>
    </row>
    <row r="893" spans="1:19" x14ac:dyDescent="0.35">
      <c r="A893" t="s">
        <v>2348</v>
      </c>
      <c r="B893" t="s">
        <v>347</v>
      </c>
      <c r="C893" s="5">
        <v>45618</v>
      </c>
      <c r="E893" t="s">
        <v>348</v>
      </c>
      <c r="F893" t="s">
        <v>254</v>
      </c>
      <c r="G893" t="s">
        <v>243</v>
      </c>
      <c r="H893" t="s">
        <v>20</v>
      </c>
      <c r="I893" t="s">
        <v>29</v>
      </c>
      <c r="J893" t="s">
        <v>115</v>
      </c>
      <c r="K893" t="s">
        <v>798</v>
      </c>
      <c r="L893" t="s">
        <v>817</v>
      </c>
      <c r="M893" t="s">
        <v>788</v>
      </c>
      <c r="N893">
        <v>5</v>
      </c>
      <c r="O893" s="3">
        <v>34.340000000000003</v>
      </c>
      <c r="P893" s="3">
        <v>44.64</v>
      </c>
      <c r="Q893" s="6">
        <v>0.05</v>
      </c>
      <c r="R893" s="3">
        <v>212.04</v>
      </c>
      <c r="S893" t="s">
        <v>892</v>
      </c>
    </row>
    <row r="894" spans="1:19" x14ac:dyDescent="0.35">
      <c r="A894" t="s">
        <v>2349</v>
      </c>
      <c r="B894" t="s">
        <v>557</v>
      </c>
      <c r="C894" s="5">
        <v>45576</v>
      </c>
      <c r="E894" t="s">
        <v>558</v>
      </c>
      <c r="F894" t="s">
        <v>633</v>
      </c>
      <c r="G894" t="s">
        <v>235</v>
      </c>
      <c r="H894" t="s">
        <v>797</v>
      </c>
      <c r="I894" t="s">
        <v>14</v>
      </c>
      <c r="J894" t="s">
        <v>194</v>
      </c>
      <c r="K894" t="s">
        <v>798</v>
      </c>
      <c r="L894" t="s">
        <v>787</v>
      </c>
      <c r="M894" t="s">
        <v>800</v>
      </c>
      <c r="N894">
        <v>1</v>
      </c>
      <c r="O894" s="3">
        <v>20.32</v>
      </c>
      <c r="P894" s="3">
        <v>25.4</v>
      </c>
      <c r="Q894" s="6">
        <v>0.05</v>
      </c>
      <c r="R894" s="3">
        <v>24.13</v>
      </c>
      <c r="S894" t="s">
        <v>845</v>
      </c>
    </row>
    <row r="895" spans="1:19" x14ac:dyDescent="0.35">
      <c r="A895" t="s">
        <v>2350</v>
      </c>
      <c r="B895" t="s">
        <v>418</v>
      </c>
      <c r="C895" s="5">
        <v>45521</v>
      </c>
      <c r="D895" s="5">
        <v>45525</v>
      </c>
      <c r="E895" t="s">
        <v>253</v>
      </c>
      <c r="F895" t="s">
        <v>633</v>
      </c>
      <c r="G895" t="s">
        <v>264</v>
      </c>
      <c r="H895" t="s">
        <v>48</v>
      </c>
      <c r="I895" t="s">
        <v>14</v>
      </c>
      <c r="J895" t="s">
        <v>93</v>
      </c>
      <c r="K895" t="s">
        <v>786</v>
      </c>
      <c r="L895" t="s">
        <v>822</v>
      </c>
      <c r="M895" t="s">
        <v>800</v>
      </c>
      <c r="N895">
        <v>5</v>
      </c>
      <c r="O895" s="3">
        <v>26.96</v>
      </c>
      <c r="P895" s="3">
        <v>37.74</v>
      </c>
      <c r="Q895" s="6">
        <v>0</v>
      </c>
      <c r="R895" s="3">
        <v>188.70000000000002</v>
      </c>
      <c r="S895" t="s">
        <v>919</v>
      </c>
    </row>
    <row r="896" spans="1:19" x14ac:dyDescent="0.35">
      <c r="A896" t="s">
        <v>2352</v>
      </c>
      <c r="B896" t="s">
        <v>607</v>
      </c>
      <c r="C896" s="5">
        <v>45857</v>
      </c>
      <c r="D896" s="5">
        <v>45858</v>
      </c>
      <c r="E896" t="s">
        <v>608</v>
      </c>
      <c r="F896" t="s">
        <v>674</v>
      </c>
      <c r="G896" t="s">
        <v>264</v>
      </c>
      <c r="H896" t="s">
        <v>797</v>
      </c>
      <c r="I896" t="s">
        <v>8</v>
      </c>
      <c r="J896" t="s">
        <v>207</v>
      </c>
      <c r="K896" t="s">
        <v>786</v>
      </c>
      <c r="L896" t="s">
        <v>822</v>
      </c>
      <c r="M896" t="s">
        <v>788</v>
      </c>
      <c r="N896">
        <v>10</v>
      </c>
      <c r="O896" s="3">
        <v>8.5399999999999991</v>
      </c>
      <c r="P896" s="3">
        <v>10.67</v>
      </c>
      <c r="Q896" s="6">
        <v>0</v>
      </c>
      <c r="R896" s="3">
        <v>106.7</v>
      </c>
      <c r="S896" t="s">
        <v>819</v>
      </c>
    </row>
    <row r="897" spans="1:19" x14ac:dyDescent="0.35">
      <c r="A897" t="s">
        <v>2354</v>
      </c>
      <c r="B897" t="s">
        <v>416</v>
      </c>
      <c r="C897" s="5">
        <v>45670</v>
      </c>
      <c r="E897" t="s">
        <v>417</v>
      </c>
      <c r="F897" t="s">
        <v>627</v>
      </c>
      <c r="G897" t="s">
        <v>264</v>
      </c>
      <c r="H897" t="s">
        <v>797</v>
      </c>
      <c r="I897" t="s">
        <v>43</v>
      </c>
      <c r="J897" t="s">
        <v>44</v>
      </c>
      <c r="K897" t="s">
        <v>798</v>
      </c>
      <c r="L897" t="s">
        <v>787</v>
      </c>
      <c r="M897" t="s">
        <v>818</v>
      </c>
      <c r="N897">
        <v>3</v>
      </c>
      <c r="O897" s="3">
        <v>14.05</v>
      </c>
      <c r="P897" s="3">
        <v>19.670000000000002</v>
      </c>
      <c r="Q897" s="6">
        <v>0</v>
      </c>
      <c r="R897" s="3">
        <v>59.010000000000005</v>
      </c>
      <c r="S897" t="s">
        <v>919</v>
      </c>
    </row>
    <row r="898" spans="1:19" x14ac:dyDescent="0.35">
      <c r="A898" t="s">
        <v>2355</v>
      </c>
      <c r="B898" t="s">
        <v>487</v>
      </c>
      <c r="C898" s="5">
        <v>46025</v>
      </c>
      <c r="E898" t="s">
        <v>488</v>
      </c>
      <c r="F898" t="s">
        <v>696</v>
      </c>
      <c r="G898" t="s">
        <v>243</v>
      </c>
      <c r="H898" t="s">
        <v>14</v>
      </c>
      <c r="I898" t="s">
        <v>38</v>
      </c>
      <c r="J898" t="s">
        <v>69</v>
      </c>
      <c r="K898" t="s">
        <v>813</v>
      </c>
      <c r="L898" t="s">
        <v>787</v>
      </c>
      <c r="M898" t="s">
        <v>800</v>
      </c>
      <c r="N898">
        <v>20</v>
      </c>
      <c r="O898" s="3">
        <v>20.9</v>
      </c>
      <c r="P898" s="3">
        <v>28.21</v>
      </c>
      <c r="Q898" s="6">
        <v>0.15</v>
      </c>
      <c r="R898" s="3">
        <v>479.57000000000005</v>
      </c>
      <c r="S898" t="s">
        <v>825</v>
      </c>
    </row>
    <row r="899" spans="1:19" x14ac:dyDescent="0.35">
      <c r="A899" t="s">
        <v>2356</v>
      </c>
      <c r="B899" t="s">
        <v>310</v>
      </c>
      <c r="C899" s="5">
        <v>45411</v>
      </c>
      <c r="E899" t="s">
        <v>311</v>
      </c>
      <c r="F899" t="s">
        <v>681</v>
      </c>
      <c r="G899" t="s">
        <v>264</v>
      </c>
      <c r="H899" t="s">
        <v>20</v>
      </c>
      <c r="I899" t="s">
        <v>20</v>
      </c>
      <c r="J899" t="s">
        <v>97</v>
      </c>
      <c r="K899" t="s">
        <v>798</v>
      </c>
      <c r="L899" t="s">
        <v>793</v>
      </c>
      <c r="M899" t="s">
        <v>800</v>
      </c>
      <c r="N899">
        <v>2</v>
      </c>
      <c r="O899" s="3">
        <v>20.79</v>
      </c>
      <c r="P899" s="3">
        <v>28.07</v>
      </c>
      <c r="Q899" s="6">
        <v>0</v>
      </c>
      <c r="R899" s="3">
        <v>56.14</v>
      </c>
      <c r="S899" t="s">
        <v>845</v>
      </c>
    </row>
    <row r="900" spans="1:19" x14ac:dyDescent="0.35">
      <c r="A900" t="s">
        <v>2357</v>
      </c>
      <c r="B900" t="s">
        <v>578</v>
      </c>
      <c r="C900" s="5">
        <v>45937</v>
      </c>
      <c r="D900" s="5">
        <v>45946</v>
      </c>
      <c r="E900" t="s">
        <v>368</v>
      </c>
      <c r="F900" t="s">
        <v>637</v>
      </c>
      <c r="G900" t="s">
        <v>235</v>
      </c>
      <c r="H900" t="s">
        <v>797</v>
      </c>
      <c r="I900" t="s">
        <v>43</v>
      </c>
      <c r="J900" t="s">
        <v>41</v>
      </c>
      <c r="K900" t="s">
        <v>798</v>
      </c>
      <c r="L900" t="s">
        <v>822</v>
      </c>
      <c r="M900" t="s">
        <v>842</v>
      </c>
      <c r="N900">
        <v>2</v>
      </c>
      <c r="O900" s="3">
        <v>18.010000000000002</v>
      </c>
      <c r="P900" s="3">
        <v>22.51</v>
      </c>
      <c r="Q900" s="6">
        <v>0.05</v>
      </c>
      <c r="R900" s="3">
        <v>42.769000000000005</v>
      </c>
      <c r="S900" t="s">
        <v>919</v>
      </c>
    </row>
    <row r="901" spans="1:19" x14ac:dyDescent="0.35">
      <c r="A901" t="s">
        <v>2358</v>
      </c>
      <c r="B901" t="s">
        <v>534</v>
      </c>
      <c r="C901" s="5">
        <v>45617</v>
      </c>
      <c r="D901" s="5">
        <v>45627</v>
      </c>
      <c r="E901" t="s">
        <v>535</v>
      </c>
      <c r="F901" t="s">
        <v>681</v>
      </c>
      <c r="H901" t="s">
        <v>20</v>
      </c>
      <c r="I901" t="s">
        <v>8</v>
      </c>
      <c r="J901" t="s">
        <v>6</v>
      </c>
      <c r="K901" t="s">
        <v>798</v>
      </c>
      <c r="L901" t="s">
        <v>822</v>
      </c>
      <c r="M901" t="s">
        <v>842</v>
      </c>
      <c r="N901">
        <v>10</v>
      </c>
      <c r="O901" s="3">
        <v>32.24</v>
      </c>
      <c r="P901" s="3">
        <v>41.91</v>
      </c>
      <c r="Q901" s="6">
        <v>0</v>
      </c>
      <c r="R901" s="3">
        <v>419.09999999999997</v>
      </c>
      <c r="S901" t="s">
        <v>888</v>
      </c>
    </row>
    <row r="902" spans="1:19" x14ac:dyDescent="0.35">
      <c r="A902" t="s">
        <v>2359</v>
      </c>
      <c r="B902" t="s">
        <v>578</v>
      </c>
      <c r="C902" s="5">
        <v>45677</v>
      </c>
      <c r="D902" s="5">
        <v>45681</v>
      </c>
      <c r="E902" t="s">
        <v>368</v>
      </c>
      <c r="F902" t="s">
        <v>674</v>
      </c>
      <c r="G902" t="s">
        <v>235</v>
      </c>
      <c r="H902" t="s">
        <v>797</v>
      </c>
      <c r="I902" t="s">
        <v>38</v>
      </c>
      <c r="J902" t="s">
        <v>165</v>
      </c>
      <c r="K902" t="s">
        <v>813</v>
      </c>
      <c r="L902" t="s">
        <v>799</v>
      </c>
      <c r="M902" t="s">
        <v>818</v>
      </c>
      <c r="N902">
        <v>20</v>
      </c>
      <c r="O902" s="3">
        <v>18.45</v>
      </c>
      <c r="P902" s="3">
        <v>25.83</v>
      </c>
      <c r="Q902" s="6">
        <v>0</v>
      </c>
      <c r="R902" s="3">
        <v>516.59999999999991</v>
      </c>
      <c r="S902" t="s">
        <v>888</v>
      </c>
    </row>
    <row r="903" spans="1:19" x14ac:dyDescent="0.35">
      <c r="A903" t="s">
        <v>2360</v>
      </c>
      <c r="B903" t="s">
        <v>518</v>
      </c>
      <c r="C903" s="5">
        <v>45942</v>
      </c>
      <c r="D903" s="5">
        <v>45946</v>
      </c>
      <c r="E903" t="s">
        <v>519</v>
      </c>
      <c r="F903" t="s">
        <v>637</v>
      </c>
      <c r="G903" t="s">
        <v>264</v>
      </c>
      <c r="H903" t="s">
        <v>20</v>
      </c>
      <c r="I903" t="s">
        <v>43</v>
      </c>
      <c r="J903" t="s">
        <v>41</v>
      </c>
      <c r="K903" t="s">
        <v>798</v>
      </c>
      <c r="L903" t="s">
        <v>799</v>
      </c>
      <c r="M903" t="s">
        <v>818</v>
      </c>
      <c r="N903">
        <v>5</v>
      </c>
      <c r="O903" s="3">
        <v>18.010000000000002</v>
      </c>
      <c r="P903" s="3">
        <v>22.51</v>
      </c>
      <c r="Q903" s="6">
        <v>0.1</v>
      </c>
      <c r="R903" s="3">
        <v>101.29500000000002</v>
      </c>
      <c r="S903" t="s">
        <v>946</v>
      </c>
    </row>
    <row r="904" spans="1:19" x14ac:dyDescent="0.35">
      <c r="A904" t="s">
        <v>2361</v>
      </c>
      <c r="B904" t="s">
        <v>272</v>
      </c>
      <c r="C904" s="5">
        <v>46019</v>
      </c>
      <c r="D904" s="5">
        <v>46027</v>
      </c>
      <c r="E904" t="s">
        <v>273</v>
      </c>
      <c r="F904" t="s">
        <v>696</v>
      </c>
      <c r="G904" t="s">
        <v>243</v>
      </c>
      <c r="H904" t="s">
        <v>14</v>
      </c>
      <c r="I904" t="s">
        <v>20</v>
      </c>
      <c r="J904" t="s">
        <v>18</v>
      </c>
      <c r="K904" t="s">
        <v>798</v>
      </c>
      <c r="L904" t="s">
        <v>799</v>
      </c>
      <c r="M904" t="s">
        <v>788</v>
      </c>
      <c r="N904">
        <v>10</v>
      </c>
      <c r="O904" s="3">
        <v>21.57</v>
      </c>
      <c r="P904" s="3">
        <v>26.96</v>
      </c>
      <c r="Q904" s="6">
        <v>0.15</v>
      </c>
      <c r="R904" s="3">
        <v>229.16000000000003</v>
      </c>
      <c r="S904" t="s">
        <v>814</v>
      </c>
    </row>
    <row r="905" spans="1:19" x14ac:dyDescent="0.35">
      <c r="A905" t="s">
        <v>2362</v>
      </c>
      <c r="B905" t="s">
        <v>367</v>
      </c>
      <c r="C905" s="5">
        <v>45835</v>
      </c>
      <c r="D905" s="5">
        <v>45845</v>
      </c>
      <c r="E905" t="s">
        <v>368</v>
      </c>
      <c r="F905" t="s">
        <v>633</v>
      </c>
      <c r="G905" t="s">
        <v>264</v>
      </c>
      <c r="H905" t="s">
        <v>20</v>
      </c>
      <c r="I905" t="s">
        <v>8</v>
      </c>
      <c r="J905" t="s">
        <v>73</v>
      </c>
      <c r="K905" t="s">
        <v>786</v>
      </c>
      <c r="L905" t="s">
        <v>799</v>
      </c>
      <c r="M905" t="s">
        <v>818</v>
      </c>
      <c r="N905">
        <v>12</v>
      </c>
      <c r="O905" s="3">
        <v>67.95</v>
      </c>
      <c r="P905" s="3">
        <v>88.34</v>
      </c>
      <c r="Q905" s="6">
        <v>0.15</v>
      </c>
      <c r="R905" s="3">
        <v>901.06799999999998</v>
      </c>
      <c r="S905" t="s">
        <v>935</v>
      </c>
    </row>
    <row r="906" spans="1:19" x14ac:dyDescent="0.35">
      <c r="A906" t="s">
        <v>2363</v>
      </c>
      <c r="B906" t="s">
        <v>502</v>
      </c>
      <c r="C906" s="5">
        <v>45657</v>
      </c>
      <c r="D906" s="5">
        <v>45663</v>
      </c>
      <c r="E906" t="s">
        <v>503</v>
      </c>
      <c r="F906" t="s">
        <v>633</v>
      </c>
      <c r="G906" t="s">
        <v>235</v>
      </c>
      <c r="H906" t="s">
        <v>797</v>
      </c>
      <c r="I906" t="s">
        <v>79</v>
      </c>
      <c r="J906" t="s">
        <v>124</v>
      </c>
      <c r="K906" t="s">
        <v>813</v>
      </c>
      <c r="L906" t="s">
        <v>822</v>
      </c>
      <c r="M906" t="s">
        <v>800</v>
      </c>
      <c r="N906">
        <v>10</v>
      </c>
      <c r="O906" s="3">
        <v>29.44</v>
      </c>
      <c r="P906" s="3">
        <v>41.22</v>
      </c>
      <c r="Q906" s="6">
        <v>0.05</v>
      </c>
      <c r="R906" s="3">
        <v>391.59</v>
      </c>
      <c r="S906" t="s">
        <v>845</v>
      </c>
    </row>
    <row r="907" spans="1:19" x14ac:dyDescent="0.35">
      <c r="A907" t="s">
        <v>2364</v>
      </c>
      <c r="B907" t="s">
        <v>331</v>
      </c>
      <c r="C907" s="5">
        <v>45545</v>
      </c>
      <c r="E907" t="s">
        <v>332</v>
      </c>
      <c r="F907" t="s">
        <v>674</v>
      </c>
      <c r="G907" t="s">
        <v>264</v>
      </c>
      <c r="H907" t="s">
        <v>14</v>
      </c>
      <c r="I907" t="s">
        <v>29</v>
      </c>
      <c r="J907" t="s">
        <v>158</v>
      </c>
      <c r="K907" t="s">
        <v>798</v>
      </c>
      <c r="L907" t="s">
        <v>787</v>
      </c>
      <c r="M907" t="s">
        <v>818</v>
      </c>
      <c r="N907">
        <v>2</v>
      </c>
      <c r="O907" s="3">
        <v>25.8</v>
      </c>
      <c r="P907" s="3">
        <v>36.119999999999997</v>
      </c>
      <c r="Q907" s="6">
        <v>0.15</v>
      </c>
      <c r="R907" s="3">
        <v>61.403999999999996</v>
      </c>
      <c r="S907" t="s">
        <v>888</v>
      </c>
    </row>
    <row r="908" spans="1:19" x14ac:dyDescent="0.35">
      <c r="A908" t="s">
        <v>2365</v>
      </c>
      <c r="B908" t="s">
        <v>552</v>
      </c>
      <c r="C908" s="5">
        <v>45787</v>
      </c>
      <c r="E908" t="s">
        <v>553</v>
      </c>
      <c r="F908" t="s">
        <v>696</v>
      </c>
      <c r="G908" t="s">
        <v>235</v>
      </c>
      <c r="H908" t="s">
        <v>14</v>
      </c>
      <c r="I908" t="s">
        <v>14</v>
      </c>
      <c r="J908" t="s">
        <v>167</v>
      </c>
      <c r="K908" t="s">
        <v>813</v>
      </c>
      <c r="L908" t="s">
        <v>793</v>
      </c>
      <c r="M908" t="s">
        <v>788</v>
      </c>
      <c r="N908">
        <v>1</v>
      </c>
      <c r="O908" s="3">
        <v>18.62</v>
      </c>
      <c r="P908" s="3">
        <v>26.07</v>
      </c>
      <c r="Q908" s="6">
        <v>0.05</v>
      </c>
      <c r="R908" s="3">
        <v>24.766500000000001</v>
      </c>
      <c r="S908" t="s">
        <v>829</v>
      </c>
    </row>
    <row r="909" spans="1:19" x14ac:dyDescent="0.35">
      <c r="A909" t="s">
        <v>2366</v>
      </c>
      <c r="B909" t="s">
        <v>405</v>
      </c>
      <c r="C909" s="5">
        <v>45867</v>
      </c>
      <c r="D909" s="5">
        <v>45872</v>
      </c>
      <c r="E909" t="s">
        <v>404</v>
      </c>
      <c r="F909" t="s">
        <v>681</v>
      </c>
      <c r="G909" t="s">
        <v>264</v>
      </c>
      <c r="H909" t="s">
        <v>797</v>
      </c>
      <c r="I909" t="s">
        <v>8</v>
      </c>
      <c r="J909" t="s">
        <v>162</v>
      </c>
      <c r="K909" t="s">
        <v>798</v>
      </c>
      <c r="L909" t="s">
        <v>799</v>
      </c>
      <c r="M909" t="s">
        <v>818</v>
      </c>
      <c r="N909">
        <v>1</v>
      </c>
      <c r="O909" s="3">
        <v>29.86</v>
      </c>
      <c r="P909" s="3">
        <v>38.82</v>
      </c>
      <c r="Q909" s="6">
        <v>0</v>
      </c>
      <c r="R909" s="3">
        <v>38.82</v>
      </c>
      <c r="S909" t="s">
        <v>829</v>
      </c>
    </row>
    <row r="910" spans="1:19" x14ac:dyDescent="0.35">
      <c r="A910" t="s">
        <v>2367</v>
      </c>
      <c r="B910" t="s">
        <v>440</v>
      </c>
      <c r="C910" s="5">
        <v>45789</v>
      </c>
      <c r="E910" t="s">
        <v>441</v>
      </c>
      <c r="F910" t="s">
        <v>681</v>
      </c>
      <c r="G910" t="s">
        <v>264</v>
      </c>
      <c r="H910" t="s">
        <v>20</v>
      </c>
      <c r="I910" t="s">
        <v>20</v>
      </c>
      <c r="J910" t="s">
        <v>188</v>
      </c>
      <c r="K910" t="s">
        <v>798</v>
      </c>
      <c r="L910" t="s">
        <v>793</v>
      </c>
      <c r="M910" t="s">
        <v>788</v>
      </c>
      <c r="N910">
        <v>10</v>
      </c>
      <c r="O910" s="3">
        <v>24.6</v>
      </c>
      <c r="P910" s="3">
        <v>35.67</v>
      </c>
      <c r="Q910" s="6">
        <v>0.1</v>
      </c>
      <c r="R910" s="3">
        <v>321.03000000000003</v>
      </c>
      <c r="S910" t="s">
        <v>963</v>
      </c>
    </row>
    <row r="911" spans="1:19" x14ac:dyDescent="0.35">
      <c r="A911" t="s">
        <v>2368</v>
      </c>
      <c r="B911" t="s">
        <v>557</v>
      </c>
      <c r="C911" s="5">
        <v>45932</v>
      </c>
      <c r="E911" t="s">
        <v>558</v>
      </c>
      <c r="F911" t="s">
        <v>627</v>
      </c>
      <c r="G911" t="s">
        <v>235</v>
      </c>
      <c r="H911" t="s">
        <v>797</v>
      </c>
      <c r="I911" t="s">
        <v>48</v>
      </c>
      <c r="J911" t="s">
        <v>135</v>
      </c>
      <c r="K911" t="s">
        <v>798</v>
      </c>
      <c r="L911" t="s">
        <v>787</v>
      </c>
      <c r="M911" t="s">
        <v>842</v>
      </c>
      <c r="N911">
        <v>1</v>
      </c>
      <c r="O911" s="3">
        <v>51.72</v>
      </c>
      <c r="P911" s="3">
        <v>67.239999999999995</v>
      </c>
      <c r="Q911" s="6">
        <v>0.05</v>
      </c>
      <c r="R911" s="3">
        <v>63.877999999999993</v>
      </c>
      <c r="S911" t="s">
        <v>834</v>
      </c>
    </row>
    <row r="912" spans="1:19" x14ac:dyDescent="0.35">
      <c r="A912" t="s">
        <v>2369</v>
      </c>
      <c r="B912" t="s">
        <v>448</v>
      </c>
      <c r="C912" s="5">
        <v>46013</v>
      </c>
      <c r="E912" t="s">
        <v>427</v>
      </c>
      <c r="F912" t="s">
        <v>637</v>
      </c>
      <c r="G912" t="s">
        <v>243</v>
      </c>
      <c r="H912" t="s">
        <v>20</v>
      </c>
      <c r="I912" t="s">
        <v>20</v>
      </c>
      <c r="J912" t="s">
        <v>18</v>
      </c>
      <c r="K912" t="s">
        <v>813</v>
      </c>
      <c r="L912" t="s">
        <v>787</v>
      </c>
      <c r="M912" t="s">
        <v>788</v>
      </c>
      <c r="N912">
        <v>1</v>
      </c>
      <c r="O912" s="3">
        <v>21.57</v>
      </c>
      <c r="P912" s="3">
        <v>26.96</v>
      </c>
      <c r="Q912" s="6">
        <v>0</v>
      </c>
      <c r="R912" s="3">
        <v>26.96</v>
      </c>
      <c r="S912" t="s">
        <v>790</v>
      </c>
    </row>
    <row r="913" spans="1:19" x14ac:dyDescent="0.35">
      <c r="A913" t="s">
        <v>2370</v>
      </c>
      <c r="B913" t="s">
        <v>527</v>
      </c>
      <c r="C913" s="5">
        <v>45495</v>
      </c>
      <c r="D913" s="5">
        <v>45499</v>
      </c>
      <c r="E913" t="s">
        <v>282</v>
      </c>
      <c r="F913" t="s">
        <v>696</v>
      </c>
      <c r="G913" t="s">
        <v>235</v>
      </c>
      <c r="H913" t="s">
        <v>20</v>
      </c>
      <c r="I913" t="s">
        <v>20</v>
      </c>
      <c r="J913" t="s">
        <v>137</v>
      </c>
      <c r="K913" t="s">
        <v>798</v>
      </c>
      <c r="L913" t="s">
        <v>799</v>
      </c>
      <c r="M913" t="s">
        <v>800</v>
      </c>
      <c r="N913">
        <v>5</v>
      </c>
      <c r="O913" s="3">
        <v>23.58</v>
      </c>
      <c r="P913" s="3">
        <v>31.83</v>
      </c>
      <c r="Q913" s="6">
        <v>0</v>
      </c>
      <c r="R913" s="3">
        <v>159.14999999999998</v>
      </c>
      <c r="S913" t="s">
        <v>876</v>
      </c>
    </row>
    <row r="914" spans="1:19" x14ac:dyDescent="0.35">
      <c r="A914" t="s">
        <v>2371</v>
      </c>
      <c r="B914" t="s">
        <v>248</v>
      </c>
      <c r="C914" s="5">
        <v>45858</v>
      </c>
      <c r="D914" s="5">
        <v>45861</v>
      </c>
      <c r="E914" t="s">
        <v>249</v>
      </c>
      <c r="F914" t="s">
        <v>254</v>
      </c>
      <c r="H914" t="s">
        <v>20</v>
      </c>
      <c r="I914" t="s">
        <v>38</v>
      </c>
      <c r="J914" t="s">
        <v>80</v>
      </c>
      <c r="K914" t="s">
        <v>786</v>
      </c>
      <c r="L914" t="s">
        <v>799</v>
      </c>
      <c r="M914" t="s">
        <v>818</v>
      </c>
      <c r="N914">
        <v>5</v>
      </c>
      <c r="O914" s="3">
        <v>38.57</v>
      </c>
      <c r="P914" s="3">
        <v>48.21</v>
      </c>
      <c r="Q914" s="6">
        <v>0.05</v>
      </c>
      <c r="R914" s="3">
        <v>228.9975</v>
      </c>
      <c r="S914" t="s">
        <v>829</v>
      </c>
    </row>
    <row r="915" spans="1:19" x14ac:dyDescent="0.35">
      <c r="A915" t="s">
        <v>2372</v>
      </c>
      <c r="B915" t="s">
        <v>260</v>
      </c>
      <c r="C915" s="5">
        <v>45581</v>
      </c>
      <c r="E915" t="s">
        <v>261</v>
      </c>
      <c r="F915" t="s">
        <v>674</v>
      </c>
      <c r="G915" t="s">
        <v>264</v>
      </c>
      <c r="H915" t="s">
        <v>14</v>
      </c>
      <c r="I915" t="s">
        <v>14</v>
      </c>
      <c r="J915" t="s">
        <v>25</v>
      </c>
      <c r="K915" t="s">
        <v>798</v>
      </c>
      <c r="L915" t="s">
        <v>787</v>
      </c>
      <c r="M915" t="s">
        <v>842</v>
      </c>
      <c r="N915">
        <v>5</v>
      </c>
      <c r="O915" s="3">
        <v>18.95</v>
      </c>
      <c r="P915" s="3">
        <v>25.58</v>
      </c>
      <c r="Q915" s="6">
        <v>0.05</v>
      </c>
      <c r="R915" s="3">
        <v>121.505</v>
      </c>
      <c r="S915" t="s">
        <v>869</v>
      </c>
    </row>
    <row r="916" spans="1:19" x14ac:dyDescent="0.35">
      <c r="A916" t="s">
        <v>2373</v>
      </c>
      <c r="B916" t="s">
        <v>603</v>
      </c>
      <c r="C916" s="5">
        <v>45702</v>
      </c>
      <c r="D916" s="5">
        <v>45711</v>
      </c>
      <c r="E916" t="s">
        <v>508</v>
      </c>
      <c r="F916" t="s">
        <v>633</v>
      </c>
      <c r="G916" t="s">
        <v>264</v>
      </c>
      <c r="H916" t="s">
        <v>20</v>
      </c>
      <c r="I916" t="s">
        <v>29</v>
      </c>
      <c r="J916" t="s">
        <v>32</v>
      </c>
      <c r="K916" t="s">
        <v>813</v>
      </c>
      <c r="L916" t="s">
        <v>799</v>
      </c>
      <c r="M916" t="s">
        <v>818</v>
      </c>
      <c r="N916">
        <v>3</v>
      </c>
      <c r="O916" s="3">
        <v>18.989999999999998</v>
      </c>
      <c r="P916" s="3">
        <v>25.64</v>
      </c>
      <c r="Q916" s="6">
        <v>0</v>
      </c>
      <c r="R916" s="3">
        <v>76.92</v>
      </c>
      <c r="S916" t="s">
        <v>839</v>
      </c>
    </row>
    <row r="917" spans="1:19" x14ac:dyDescent="0.35">
      <c r="A917" t="s">
        <v>2374</v>
      </c>
      <c r="B917" t="s">
        <v>320</v>
      </c>
      <c r="C917" s="5">
        <v>45911</v>
      </c>
      <c r="D917" s="5">
        <v>45920</v>
      </c>
      <c r="E917" t="s">
        <v>321</v>
      </c>
      <c r="F917" t="s">
        <v>681</v>
      </c>
      <c r="G917" t="s">
        <v>235</v>
      </c>
      <c r="H917" t="s">
        <v>14</v>
      </c>
      <c r="I917" t="s">
        <v>79</v>
      </c>
      <c r="J917" t="s">
        <v>184</v>
      </c>
      <c r="K917" t="s">
        <v>798</v>
      </c>
      <c r="L917" t="s">
        <v>799</v>
      </c>
      <c r="M917" t="s">
        <v>800</v>
      </c>
      <c r="N917">
        <v>5</v>
      </c>
      <c r="O917" s="3">
        <v>28.87</v>
      </c>
      <c r="P917" s="3">
        <v>40.42</v>
      </c>
      <c r="Q917" s="6">
        <v>0</v>
      </c>
      <c r="R917" s="3">
        <v>202.10000000000002</v>
      </c>
      <c r="S917" t="s">
        <v>876</v>
      </c>
    </row>
    <row r="918" spans="1:19" x14ac:dyDescent="0.35">
      <c r="A918" t="s">
        <v>2375</v>
      </c>
      <c r="B918" t="s">
        <v>425</v>
      </c>
      <c r="C918" s="5">
        <v>46053</v>
      </c>
      <c r="E918" t="s">
        <v>404</v>
      </c>
      <c r="F918" t="s">
        <v>633</v>
      </c>
      <c r="G918" t="s">
        <v>264</v>
      </c>
      <c r="H918" t="s">
        <v>14</v>
      </c>
      <c r="I918" t="s">
        <v>14</v>
      </c>
      <c r="J918" t="s">
        <v>16</v>
      </c>
      <c r="K918" t="s">
        <v>813</v>
      </c>
      <c r="L918" t="s">
        <v>817</v>
      </c>
      <c r="M918" t="s">
        <v>818</v>
      </c>
      <c r="N918">
        <v>3</v>
      </c>
      <c r="O918" s="3">
        <v>56.69</v>
      </c>
      <c r="P918" s="3">
        <v>79.37</v>
      </c>
      <c r="Q918" s="6">
        <v>0.05</v>
      </c>
      <c r="R918" s="3">
        <v>226.20450000000002</v>
      </c>
      <c r="S918" t="s">
        <v>859</v>
      </c>
    </row>
    <row r="919" spans="1:19" x14ac:dyDescent="0.35">
      <c r="A919" t="s">
        <v>2376</v>
      </c>
      <c r="B919" t="s">
        <v>386</v>
      </c>
      <c r="C919" s="5">
        <v>45731</v>
      </c>
      <c r="D919" s="5">
        <v>45739</v>
      </c>
      <c r="E919" t="s">
        <v>387</v>
      </c>
      <c r="F919" t="s">
        <v>696</v>
      </c>
      <c r="G919" t="s">
        <v>243</v>
      </c>
      <c r="H919" t="s">
        <v>14</v>
      </c>
      <c r="I919" t="s">
        <v>43</v>
      </c>
      <c r="J919" t="s">
        <v>58</v>
      </c>
      <c r="K919" t="s">
        <v>798</v>
      </c>
      <c r="L919" t="s">
        <v>822</v>
      </c>
      <c r="M919" t="s">
        <v>788</v>
      </c>
      <c r="N919">
        <v>2</v>
      </c>
      <c r="O919" s="3">
        <v>11.21</v>
      </c>
      <c r="P919" s="3">
        <v>15.13</v>
      </c>
      <c r="Q919" s="6">
        <v>0.05</v>
      </c>
      <c r="R919" s="3">
        <v>28.747</v>
      </c>
      <c r="S919" t="s">
        <v>839</v>
      </c>
    </row>
    <row r="920" spans="1:19" x14ac:dyDescent="0.35">
      <c r="A920" t="s">
        <v>2377</v>
      </c>
      <c r="B920" t="s">
        <v>455</v>
      </c>
      <c r="C920" s="5">
        <v>46037</v>
      </c>
      <c r="E920" t="s">
        <v>456</v>
      </c>
      <c r="F920" t="s">
        <v>637</v>
      </c>
      <c r="G920" t="s">
        <v>264</v>
      </c>
      <c r="H920" t="s">
        <v>14</v>
      </c>
      <c r="I920" t="s">
        <v>14</v>
      </c>
      <c r="J920" t="s">
        <v>24</v>
      </c>
      <c r="K920" t="s">
        <v>813</v>
      </c>
      <c r="L920" t="s">
        <v>793</v>
      </c>
      <c r="M920" t="s">
        <v>842</v>
      </c>
      <c r="N920">
        <v>3</v>
      </c>
      <c r="O920" s="3">
        <v>37.42</v>
      </c>
      <c r="P920" s="3">
        <v>50.52</v>
      </c>
      <c r="Q920" s="6">
        <v>0.05</v>
      </c>
      <c r="R920" s="3">
        <v>143.982</v>
      </c>
      <c r="S920" t="s">
        <v>794</v>
      </c>
    </row>
    <row r="921" spans="1:19" x14ac:dyDescent="0.35">
      <c r="A921" t="s">
        <v>2378</v>
      </c>
      <c r="B921" t="s">
        <v>501</v>
      </c>
      <c r="C921" s="5">
        <v>45749</v>
      </c>
      <c r="E921" t="s">
        <v>363</v>
      </c>
      <c r="F921" t="s">
        <v>627</v>
      </c>
      <c r="G921" t="s">
        <v>264</v>
      </c>
      <c r="H921" t="s">
        <v>797</v>
      </c>
      <c r="I921" t="s">
        <v>29</v>
      </c>
      <c r="J921" t="s">
        <v>154</v>
      </c>
      <c r="K921" t="s">
        <v>798</v>
      </c>
      <c r="L921" t="s">
        <v>787</v>
      </c>
      <c r="M921" t="s">
        <v>842</v>
      </c>
      <c r="N921">
        <v>2</v>
      </c>
      <c r="O921" s="3">
        <v>25.74</v>
      </c>
      <c r="P921" s="3">
        <v>33.46</v>
      </c>
      <c r="Q921" s="6">
        <v>0</v>
      </c>
      <c r="R921" s="3">
        <v>66.92</v>
      </c>
      <c r="S921" t="s">
        <v>790</v>
      </c>
    </row>
    <row r="922" spans="1:19" x14ac:dyDescent="0.35">
      <c r="A922" t="s">
        <v>2379</v>
      </c>
      <c r="B922" t="s">
        <v>506</v>
      </c>
      <c r="C922" s="5">
        <v>45465</v>
      </c>
      <c r="D922" s="5">
        <v>45469</v>
      </c>
      <c r="E922" t="s">
        <v>287</v>
      </c>
      <c r="F922" t="s">
        <v>627</v>
      </c>
      <c r="G922" t="s">
        <v>243</v>
      </c>
      <c r="H922" t="s">
        <v>797</v>
      </c>
      <c r="I922" t="s">
        <v>43</v>
      </c>
      <c r="J922" t="s">
        <v>53</v>
      </c>
      <c r="K922" t="s">
        <v>813</v>
      </c>
      <c r="L922" t="s">
        <v>799</v>
      </c>
      <c r="M922" t="s">
        <v>818</v>
      </c>
      <c r="N922">
        <v>12</v>
      </c>
      <c r="O922" s="3">
        <v>54.93</v>
      </c>
      <c r="P922" s="3">
        <v>79.650000000000006</v>
      </c>
      <c r="Q922" s="6">
        <v>0.1</v>
      </c>
      <c r="R922" s="3">
        <v>860.22</v>
      </c>
      <c r="S922" t="s">
        <v>803</v>
      </c>
    </row>
    <row r="923" spans="1:19" x14ac:dyDescent="0.35">
      <c r="A923" t="s">
        <v>2380</v>
      </c>
      <c r="B923" t="s">
        <v>401</v>
      </c>
      <c r="C923" s="5">
        <v>45352</v>
      </c>
      <c r="E923" t="s">
        <v>402</v>
      </c>
      <c r="F923" t="s">
        <v>696</v>
      </c>
      <c r="G923" t="s">
        <v>243</v>
      </c>
      <c r="H923" t="s">
        <v>797</v>
      </c>
      <c r="I923" t="s">
        <v>14</v>
      </c>
      <c r="J923" t="s">
        <v>167</v>
      </c>
      <c r="K923" t="s">
        <v>798</v>
      </c>
      <c r="L923" t="s">
        <v>787</v>
      </c>
      <c r="M923" t="s">
        <v>800</v>
      </c>
      <c r="N923">
        <v>3</v>
      </c>
      <c r="O923" s="3">
        <v>18.62</v>
      </c>
      <c r="P923" s="3">
        <v>26.07</v>
      </c>
      <c r="Q923" s="6">
        <v>0.15</v>
      </c>
      <c r="R923" s="3">
        <v>66.478500000000011</v>
      </c>
      <c r="S923" t="s">
        <v>803</v>
      </c>
    </row>
    <row r="924" spans="1:19" x14ac:dyDescent="0.35">
      <c r="A924" t="s">
        <v>2381</v>
      </c>
      <c r="B924" t="s">
        <v>238</v>
      </c>
      <c r="C924" s="5">
        <v>45905</v>
      </c>
      <c r="D924" s="5">
        <v>45909</v>
      </c>
      <c r="E924" t="s">
        <v>239</v>
      </c>
      <c r="F924" t="s">
        <v>633</v>
      </c>
      <c r="G924" t="s">
        <v>243</v>
      </c>
      <c r="H924" t="s">
        <v>14</v>
      </c>
      <c r="I924" t="s">
        <v>38</v>
      </c>
      <c r="J924" t="s">
        <v>82</v>
      </c>
      <c r="K924" t="s">
        <v>786</v>
      </c>
      <c r="L924" t="s">
        <v>799</v>
      </c>
      <c r="M924" t="s">
        <v>818</v>
      </c>
      <c r="N924">
        <v>20</v>
      </c>
      <c r="O924" s="3">
        <v>12.54</v>
      </c>
      <c r="P924" s="3">
        <v>16.93</v>
      </c>
      <c r="Q924" s="6">
        <v>0</v>
      </c>
      <c r="R924" s="3">
        <v>338.6</v>
      </c>
      <c r="S924" t="s">
        <v>869</v>
      </c>
    </row>
    <row r="925" spans="1:19" x14ac:dyDescent="0.35">
      <c r="A925" t="s">
        <v>2383</v>
      </c>
      <c r="B925" t="s">
        <v>590</v>
      </c>
      <c r="C925" s="5">
        <v>45621</v>
      </c>
      <c r="E925" t="s">
        <v>591</v>
      </c>
      <c r="F925" t="s">
        <v>696</v>
      </c>
      <c r="G925" t="s">
        <v>235</v>
      </c>
      <c r="H925" t="s">
        <v>14</v>
      </c>
      <c r="I925" t="s">
        <v>8</v>
      </c>
      <c r="J925" t="s">
        <v>6</v>
      </c>
      <c r="K925" t="s">
        <v>786</v>
      </c>
      <c r="L925" t="s">
        <v>817</v>
      </c>
      <c r="M925" t="s">
        <v>842</v>
      </c>
      <c r="N925">
        <v>10</v>
      </c>
      <c r="O925" s="3">
        <v>32.24</v>
      </c>
      <c r="P925" s="3">
        <v>41.91</v>
      </c>
      <c r="Q925" s="6">
        <v>0</v>
      </c>
      <c r="R925" s="3">
        <v>419.09999999999997</v>
      </c>
      <c r="S925" t="s">
        <v>876</v>
      </c>
    </row>
    <row r="926" spans="1:19" x14ac:dyDescent="0.35">
      <c r="A926" t="s">
        <v>2385</v>
      </c>
      <c r="B926" t="s">
        <v>457</v>
      </c>
      <c r="C926" s="5">
        <v>46008</v>
      </c>
      <c r="D926" s="5">
        <v>46010</v>
      </c>
      <c r="E926" t="s">
        <v>458</v>
      </c>
      <c r="F926" t="s">
        <v>674</v>
      </c>
      <c r="G926" t="s">
        <v>243</v>
      </c>
      <c r="H926" t="s">
        <v>20</v>
      </c>
      <c r="I926" t="s">
        <v>20</v>
      </c>
      <c r="J926" t="s">
        <v>188</v>
      </c>
      <c r="K926" t="s">
        <v>813</v>
      </c>
      <c r="L926" t="s">
        <v>799</v>
      </c>
      <c r="M926" t="s">
        <v>788</v>
      </c>
      <c r="N926">
        <v>3</v>
      </c>
      <c r="O926" s="3">
        <v>24.6</v>
      </c>
      <c r="P926" s="3">
        <v>35.67</v>
      </c>
      <c r="Q926" s="6">
        <v>0</v>
      </c>
      <c r="R926" s="3">
        <v>107.01</v>
      </c>
      <c r="S926" t="s">
        <v>845</v>
      </c>
    </row>
    <row r="927" spans="1:19" x14ac:dyDescent="0.35">
      <c r="A927" t="s">
        <v>2386</v>
      </c>
      <c r="B927" t="s">
        <v>507</v>
      </c>
      <c r="C927" s="5">
        <v>45331</v>
      </c>
      <c r="E927" t="s">
        <v>508</v>
      </c>
      <c r="F927" t="s">
        <v>674</v>
      </c>
      <c r="G927" t="s">
        <v>243</v>
      </c>
      <c r="H927" t="s">
        <v>14</v>
      </c>
      <c r="I927" t="s">
        <v>38</v>
      </c>
      <c r="J927" t="s">
        <v>165</v>
      </c>
      <c r="K927" t="s">
        <v>798</v>
      </c>
      <c r="L927" t="s">
        <v>787</v>
      </c>
      <c r="M927" t="s">
        <v>818</v>
      </c>
      <c r="N927">
        <v>5</v>
      </c>
      <c r="O927" s="3">
        <v>18.45</v>
      </c>
      <c r="P927" s="3">
        <v>25.83</v>
      </c>
      <c r="Q927" s="6">
        <v>0.05</v>
      </c>
      <c r="R927" s="3">
        <v>122.69249999999998</v>
      </c>
      <c r="S927" t="s">
        <v>839</v>
      </c>
    </row>
    <row r="928" spans="1:19" x14ac:dyDescent="0.35">
      <c r="A928" t="s">
        <v>2387</v>
      </c>
      <c r="B928" t="s">
        <v>483</v>
      </c>
      <c r="C928" s="5">
        <v>45595</v>
      </c>
      <c r="E928" t="s">
        <v>484</v>
      </c>
      <c r="F928" t="s">
        <v>633</v>
      </c>
      <c r="G928" t="s">
        <v>264</v>
      </c>
      <c r="H928" t="s">
        <v>20</v>
      </c>
      <c r="I928" t="s">
        <v>14</v>
      </c>
      <c r="J928" t="s">
        <v>67</v>
      </c>
      <c r="K928" t="s">
        <v>786</v>
      </c>
      <c r="L928" t="s">
        <v>793</v>
      </c>
      <c r="M928" t="s">
        <v>800</v>
      </c>
      <c r="N928">
        <v>1</v>
      </c>
      <c r="O928" s="3">
        <v>17.63</v>
      </c>
      <c r="P928" s="3">
        <v>22.92</v>
      </c>
      <c r="Q928" s="6">
        <v>0.1</v>
      </c>
      <c r="R928" s="3">
        <v>20.628</v>
      </c>
      <c r="S928" t="s">
        <v>814</v>
      </c>
    </row>
    <row r="929" spans="1:19" x14ac:dyDescent="0.35">
      <c r="A929" t="s">
        <v>2388</v>
      </c>
      <c r="B929" t="s">
        <v>359</v>
      </c>
      <c r="C929" s="5">
        <v>45869</v>
      </c>
      <c r="D929" s="5">
        <v>45874</v>
      </c>
      <c r="E929" t="s">
        <v>360</v>
      </c>
      <c r="F929" t="s">
        <v>674</v>
      </c>
      <c r="G929" t="s">
        <v>235</v>
      </c>
      <c r="H929" t="s">
        <v>797</v>
      </c>
      <c r="I929" t="s">
        <v>20</v>
      </c>
      <c r="J929" t="s">
        <v>196</v>
      </c>
      <c r="K929" t="s">
        <v>798</v>
      </c>
      <c r="L929" t="s">
        <v>799</v>
      </c>
      <c r="M929" t="s">
        <v>800</v>
      </c>
      <c r="N929">
        <v>2</v>
      </c>
      <c r="O929" s="3">
        <v>15.78</v>
      </c>
      <c r="P929" s="3">
        <v>19.72</v>
      </c>
      <c r="Q929" s="6">
        <v>0.1</v>
      </c>
      <c r="R929" s="3">
        <v>35.495999999999995</v>
      </c>
      <c r="S929" t="s">
        <v>946</v>
      </c>
    </row>
    <row r="930" spans="1:19" x14ac:dyDescent="0.35">
      <c r="A930" t="s">
        <v>2389</v>
      </c>
      <c r="B930" t="s">
        <v>379</v>
      </c>
      <c r="C930" s="5">
        <v>45775</v>
      </c>
      <c r="D930" s="5">
        <v>45783</v>
      </c>
      <c r="E930" t="s">
        <v>380</v>
      </c>
      <c r="F930" t="s">
        <v>633</v>
      </c>
      <c r="G930" t="s">
        <v>264</v>
      </c>
      <c r="H930" t="s">
        <v>48</v>
      </c>
      <c r="I930" t="s">
        <v>14</v>
      </c>
      <c r="J930" t="s">
        <v>63</v>
      </c>
      <c r="K930" t="s">
        <v>798</v>
      </c>
      <c r="L930" t="s">
        <v>799</v>
      </c>
      <c r="M930" t="s">
        <v>788</v>
      </c>
      <c r="N930">
        <v>1</v>
      </c>
      <c r="O930" s="3">
        <v>13.03</v>
      </c>
      <c r="P930" s="3">
        <v>16.29</v>
      </c>
      <c r="Q930" s="6">
        <v>0</v>
      </c>
      <c r="R930" s="3">
        <v>16.29</v>
      </c>
      <c r="S930" t="s">
        <v>892</v>
      </c>
    </row>
    <row r="931" spans="1:19" x14ac:dyDescent="0.35">
      <c r="A931" t="s">
        <v>2390</v>
      </c>
      <c r="B931" t="s">
        <v>474</v>
      </c>
      <c r="C931" s="5">
        <v>45302</v>
      </c>
      <c r="E931" t="s">
        <v>330</v>
      </c>
      <c r="F931" t="s">
        <v>674</v>
      </c>
      <c r="G931" t="s">
        <v>235</v>
      </c>
      <c r="H931" t="s">
        <v>797</v>
      </c>
      <c r="I931" t="s">
        <v>48</v>
      </c>
      <c r="J931" t="s">
        <v>54</v>
      </c>
      <c r="K931" t="s">
        <v>813</v>
      </c>
      <c r="L931" t="s">
        <v>817</v>
      </c>
      <c r="M931" t="s">
        <v>800</v>
      </c>
      <c r="N931">
        <v>1</v>
      </c>
      <c r="O931" s="3">
        <v>21.67</v>
      </c>
      <c r="P931" s="3">
        <v>28.17</v>
      </c>
      <c r="Q931" s="6">
        <v>0.15</v>
      </c>
      <c r="R931" s="3">
        <v>23.944500000000001</v>
      </c>
      <c r="S931" t="s">
        <v>963</v>
      </c>
    </row>
    <row r="932" spans="1:19" x14ac:dyDescent="0.35">
      <c r="A932" t="s">
        <v>2391</v>
      </c>
      <c r="B932" t="s">
        <v>527</v>
      </c>
      <c r="C932" s="5">
        <v>45496</v>
      </c>
      <c r="D932" s="5">
        <v>45505</v>
      </c>
      <c r="E932" t="s">
        <v>282</v>
      </c>
      <c r="F932" t="s">
        <v>696</v>
      </c>
      <c r="G932" t="s">
        <v>235</v>
      </c>
      <c r="H932" t="s">
        <v>797</v>
      </c>
      <c r="I932" t="s">
        <v>14</v>
      </c>
      <c r="J932" t="s">
        <v>169</v>
      </c>
      <c r="K932" t="s">
        <v>813</v>
      </c>
      <c r="L932" t="s">
        <v>799</v>
      </c>
      <c r="M932" t="s">
        <v>788</v>
      </c>
      <c r="N932">
        <v>1</v>
      </c>
      <c r="O932" s="3">
        <v>40.590000000000003</v>
      </c>
      <c r="P932" s="3">
        <v>58.86</v>
      </c>
      <c r="Q932" s="6">
        <v>0</v>
      </c>
      <c r="R932" s="3">
        <v>58.86</v>
      </c>
      <c r="S932" t="s">
        <v>814</v>
      </c>
    </row>
    <row r="933" spans="1:19" x14ac:dyDescent="0.35">
      <c r="A933" t="s">
        <v>2392</v>
      </c>
      <c r="B933" t="s">
        <v>561</v>
      </c>
      <c r="C933" s="5">
        <v>45523</v>
      </c>
      <c r="D933" s="5">
        <v>45529</v>
      </c>
      <c r="E933" t="s">
        <v>562</v>
      </c>
      <c r="F933" t="s">
        <v>254</v>
      </c>
      <c r="G933" t="s">
        <v>243</v>
      </c>
      <c r="H933" t="s">
        <v>48</v>
      </c>
      <c r="I933" t="s">
        <v>8</v>
      </c>
      <c r="J933" t="s">
        <v>10</v>
      </c>
      <c r="K933" t="s">
        <v>798</v>
      </c>
      <c r="L933" t="s">
        <v>799</v>
      </c>
      <c r="M933" t="s">
        <v>818</v>
      </c>
      <c r="N933">
        <v>20</v>
      </c>
      <c r="O933" s="3">
        <v>22.74</v>
      </c>
      <c r="P933" s="3">
        <v>28.42</v>
      </c>
      <c r="Q933" s="6">
        <v>0.1</v>
      </c>
      <c r="R933" s="3">
        <v>511.56000000000006</v>
      </c>
      <c r="S933" t="s">
        <v>859</v>
      </c>
    </row>
    <row r="934" spans="1:19" x14ac:dyDescent="0.35">
      <c r="A934" t="s">
        <v>2393</v>
      </c>
      <c r="B934" t="s">
        <v>403</v>
      </c>
      <c r="C934" s="5">
        <v>45931</v>
      </c>
      <c r="E934" t="s">
        <v>404</v>
      </c>
      <c r="F934" t="s">
        <v>627</v>
      </c>
      <c r="G934" t="s">
        <v>264</v>
      </c>
      <c r="H934" t="s">
        <v>14</v>
      </c>
      <c r="I934" t="s">
        <v>8</v>
      </c>
      <c r="J934" t="s">
        <v>162</v>
      </c>
      <c r="K934" t="s">
        <v>798</v>
      </c>
      <c r="L934" t="s">
        <v>787</v>
      </c>
      <c r="M934" t="s">
        <v>788</v>
      </c>
      <c r="N934">
        <v>5</v>
      </c>
      <c r="O934" s="3">
        <v>29.86</v>
      </c>
      <c r="P934" s="3">
        <v>38.82</v>
      </c>
      <c r="Q934" s="6">
        <v>0</v>
      </c>
      <c r="R934" s="3">
        <v>194.1</v>
      </c>
      <c r="S934" t="s">
        <v>963</v>
      </c>
    </row>
    <row r="935" spans="1:19" x14ac:dyDescent="0.35">
      <c r="A935" t="s">
        <v>2394</v>
      </c>
      <c r="B935" t="s">
        <v>406</v>
      </c>
      <c r="C935" s="5">
        <v>45578</v>
      </c>
      <c r="D935" s="5">
        <v>45588</v>
      </c>
      <c r="E935" t="s">
        <v>287</v>
      </c>
      <c r="F935" t="s">
        <v>627</v>
      </c>
      <c r="G935" t="s">
        <v>243</v>
      </c>
      <c r="H935" t="s">
        <v>797</v>
      </c>
      <c r="I935" t="s">
        <v>38</v>
      </c>
      <c r="J935" t="s">
        <v>206</v>
      </c>
      <c r="K935" t="s">
        <v>786</v>
      </c>
      <c r="L935" t="s">
        <v>799</v>
      </c>
      <c r="M935" t="s">
        <v>818</v>
      </c>
      <c r="N935">
        <v>1</v>
      </c>
      <c r="O935" s="3">
        <v>23.55</v>
      </c>
      <c r="P935" s="3">
        <v>31.79</v>
      </c>
      <c r="Q935" s="6">
        <v>0</v>
      </c>
      <c r="R935" s="3">
        <v>31.79</v>
      </c>
      <c r="S935" t="s">
        <v>803</v>
      </c>
    </row>
    <row r="936" spans="1:19" x14ac:dyDescent="0.35">
      <c r="A936" t="s">
        <v>2395</v>
      </c>
      <c r="B936" t="s">
        <v>601</v>
      </c>
      <c r="C936" s="5">
        <v>45911</v>
      </c>
      <c r="E936" t="s">
        <v>602</v>
      </c>
      <c r="F936" t="s">
        <v>637</v>
      </c>
      <c r="G936" t="s">
        <v>235</v>
      </c>
      <c r="H936" t="s">
        <v>14</v>
      </c>
      <c r="I936" t="s">
        <v>8</v>
      </c>
      <c r="J936" t="s">
        <v>198</v>
      </c>
      <c r="K936" t="s">
        <v>786</v>
      </c>
      <c r="L936" t="s">
        <v>793</v>
      </c>
      <c r="M936" t="s">
        <v>842</v>
      </c>
      <c r="N936">
        <v>20</v>
      </c>
      <c r="O936" s="3">
        <v>30.64</v>
      </c>
      <c r="P936" s="3">
        <v>42.9</v>
      </c>
      <c r="Q936" s="6">
        <v>0</v>
      </c>
      <c r="R936" s="3">
        <v>858</v>
      </c>
      <c r="S936" t="s">
        <v>963</v>
      </c>
    </row>
    <row r="937" spans="1:19" x14ac:dyDescent="0.35">
      <c r="A937" t="s">
        <v>2396</v>
      </c>
      <c r="B937" t="s">
        <v>351</v>
      </c>
      <c r="C937" s="5">
        <v>45385</v>
      </c>
      <c r="E937" t="s">
        <v>352</v>
      </c>
      <c r="F937" t="s">
        <v>674</v>
      </c>
      <c r="G937" t="s">
        <v>264</v>
      </c>
      <c r="H937" t="s">
        <v>797</v>
      </c>
      <c r="I937" t="s">
        <v>20</v>
      </c>
      <c r="J937" t="s">
        <v>196</v>
      </c>
      <c r="K937" t="s">
        <v>786</v>
      </c>
      <c r="L937" t="s">
        <v>793</v>
      </c>
      <c r="M937" t="s">
        <v>842</v>
      </c>
      <c r="N937">
        <v>1</v>
      </c>
      <c r="O937" s="3">
        <v>15.78</v>
      </c>
      <c r="P937" s="3">
        <v>19.72</v>
      </c>
      <c r="Q937" s="6">
        <v>0</v>
      </c>
      <c r="R937" s="3">
        <v>19.72</v>
      </c>
      <c r="S937" t="s">
        <v>892</v>
      </c>
    </row>
    <row r="938" spans="1:19" x14ac:dyDescent="0.35">
      <c r="A938" t="s">
        <v>2397</v>
      </c>
      <c r="B938" t="s">
        <v>575</v>
      </c>
      <c r="C938" s="5">
        <v>45742</v>
      </c>
      <c r="E938" t="s">
        <v>439</v>
      </c>
      <c r="F938" t="s">
        <v>696</v>
      </c>
      <c r="G938" t="s">
        <v>264</v>
      </c>
      <c r="H938" t="s">
        <v>797</v>
      </c>
      <c r="I938" t="s">
        <v>48</v>
      </c>
      <c r="J938" t="s">
        <v>84</v>
      </c>
      <c r="K938" t="s">
        <v>798</v>
      </c>
      <c r="L938" t="s">
        <v>787</v>
      </c>
      <c r="M938" t="s">
        <v>818</v>
      </c>
      <c r="N938">
        <v>12</v>
      </c>
      <c r="O938" s="3">
        <v>27.52</v>
      </c>
      <c r="P938" s="3">
        <v>34.4</v>
      </c>
      <c r="Q938" s="6">
        <v>0.05</v>
      </c>
      <c r="R938" s="3">
        <v>392.15999999999997</v>
      </c>
      <c r="S938" t="s">
        <v>935</v>
      </c>
    </row>
    <row r="939" spans="1:19" x14ac:dyDescent="0.35">
      <c r="A939" t="s">
        <v>2398</v>
      </c>
      <c r="B939" t="s">
        <v>448</v>
      </c>
      <c r="C939" s="5">
        <v>46015</v>
      </c>
      <c r="E939" t="s">
        <v>427</v>
      </c>
      <c r="F939" t="s">
        <v>633</v>
      </c>
      <c r="G939" t="s">
        <v>243</v>
      </c>
      <c r="H939" t="s">
        <v>20</v>
      </c>
      <c r="I939" t="s">
        <v>20</v>
      </c>
      <c r="J939" t="s">
        <v>102</v>
      </c>
      <c r="K939" t="s">
        <v>798</v>
      </c>
      <c r="L939" t="s">
        <v>787</v>
      </c>
      <c r="M939" t="s">
        <v>788</v>
      </c>
      <c r="N939">
        <v>10</v>
      </c>
      <c r="O939" s="3">
        <v>19.04</v>
      </c>
      <c r="P939" s="3">
        <v>25.7</v>
      </c>
      <c r="Q939" s="6">
        <v>0</v>
      </c>
      <c r="R939" s="3">
        <v>257</v>
      </c>
      <c r="S939" t="s">
        <v>869</v>
      </c>
    </row>
    <row r="940" spans="1:19" x14ac:dyDescent="0.35">
      <c r="A940" t="s">
        <v>2399</v>
      </c>
      <c r="B940" t="s">
        <v>483</v>
      </c>
      <c r="C940" s="5">
        <v>45576</v>
      </c>
      <c r="E940" t="s">
        <v>484</v>
      </c>
      <c r="F940" t="s">
        <v>627</v>
      </c>
      <c r="G940" t="s">
        <v>264</v>
      </c>
      <c r="H940" t="s">
        <v>797</v>
      </c>
      <c r="I940" t="s">
        <v>20</v>
      </c>
      <c r="J940" t="s">
        <v>39</v>
      </c>
      <c r="K940" t="s">
        <v>798</v>
      </c>
      <c r="L940" t="s">
        <v>793</v>
      </c>
      <c r="M940" t="s">
        <v>842</v>
      </c>
      <c r="N940">
        <v>1</v>
      </c>
      <c r="O940" s="3">
        <v>9.5</v>
      </c>
      <c r="P940" s="3">
        <v>12.83</v>
      </c>
      <c r="Q940" s="6">
        <v>0.1</v>
      </c>
      <c r="R940" s="3">
        <v>11.547000000000001</v>
      </c>
      <c r="S940" t="s">
        <v>876</v>
      </c>
    </row>
    <row r="941" spans="1:19" x14ac:dyDescent="0.35">
      <c r="A941" t="s">
        <v>2400</v>
      </c>
      <c r="B941" t="s">
        <v>366</v>
      </c>
      <c r="C941" s="5">
        <v>45959</v>
      </c>
      <c r="D941" s="5">
        <v>45963</v>
      </c>
      <c r="E941" t="s">
        <v>245</v>
      </c>
      <c r="F941" t="s">
        <v>254</v>
      </c>
      <c r="G941" t="s">
        <v>243</v>
      </c>
      <c r="H941" t="s">
        <v>20</v>
      </c>
      <c r="I941" t="s">
        <v>20</v>
      </c>
      <c r="J941" t="s">
        <v>51</v>
      </c>
      <c r="K941" t="s">
        <v>786</v>
      </c>
      <c r="L941" t="s">
        <v>799</v>
      </c>
      <c r="M941" t="s">
        <v>800</v>
      </c>
      <c r="N941">
        <v>2</v>
      </c>
      <c r="O941" s="3">
        <v>11.28</v>
      </c>
      <c r="P941" s="3">
        <v>15.23</v>
      </c>
      <c r="Q941" s="6">
        <v>0.15</v>
      </c>
      <c r="R941" s="3">
        <v>25.891000000000002</v>
      </c>
      <c r="S941" t="s">
        <v>876</v>
      </c>
    </row>
    <row r="942" spans="1:19" x14ac:dyDescent="0.35">
      <c r="A942" t="s">
        <v>2401</v>
      </c>
      <c r="B942" t="s">
        <v>370</v>
      </c>
      <c r="C942" s="5">
        <v>45923</v>
      </c>
      <c r="E942" t="s">
        <v>371</v>
      </c>
      <c r="F942" t="s">
        <v>696</v>
      </c>
      <c r="G942" t="s">
        <v>264</v>
      </c>
      <c r="H942" t="s">
        <v>797</v>
      </c>
      <c r="I942" t="s">
        <v>38</v>
      </c>
      <c r="J942" t="s">
        <v>172</v>
      </c>
      <c r="K942" t="s">
        <v>786</v>
      </c>
      <c r="L942" t="s">
        <v>817</v>
      </c>
      <c r="M942" t="s">
        <v>788</v>
      </c>
      <c r="N942">
        <v>12</v>
      </c>
      <c r="O942" s="3">
        <v>18.329999999999998</v>
      </c>
      <c r="P942" s="3">
        <v>22.91</v>
      </c>
      <c r="Q942" s="6">
        <v>0.05</v>
      </c>
      <c r="R942" s="3">
        <v>261.17400000000004</v>
      </c>
      <c r="S942" t="s">
        <v>814</v>
      </c>
    </row>
    <row r="943" spans="1:19" x14ac:dyDescent="0.35">
      <c r="A943" t="s">
        <v>2402</v>
      </c>
      <c r="B943" t="s">
        <v>238</v>
      </c>
      <c r="C943" s="5">
        <v>45830</v>
      </c>
      <c r="E943" t="s">
        <v>239</v>
      </c>
      <c r="F943" t="s">
        <v>627</v>
      </c>
      <c r="G943" t="s">
        <v>243</v>
      </c>
      <c r="H943" t="s">
        <v>797</v>
      </c>
      <c r="I943" t="s">
        <v>79</v>
      </c>
      <c r="J943" t="s">
        <v>166</v>
      </c>
      <c r="K943" t="s">
        <v>813</v>
      </c>
      <c r="L943" t="s">
        <v>793</v>
      </c>
      <c r="M943" t="s">
        <v>800</v>
      </c>
      <c r="N943">
        <v>2</v>
      </c>
      <c r="O943" s="3">
        <v>15.73</v>
      </c>
      <c r="P943" s="3">
        <v>19.66</v>
      </c>
      <c r="Q943" s="6">
        <v>0.1</v>
      </c>
      <c r="R943" s="3">
        <v>35.387999999999998</v>
      </c>
      <c r="S943" t="s">
        <v>839</v>
      </c>
    </row>
    <row r="944" spans="1:19" x14ac:dyDescent="0.35">
      <c r="A944" t="s">
        <v>2403</v>
      </c>
      <c r="B944" t="s">
        <v>270</v>
      </c>
      <c r="C944" s="5">
        <v>45913</v>
      </c>
      <c r="E944" t="s">
        <v>231</v>
      </c>
      <c r="F944" t="s">
        <v>681</v>
      </c>
      <c r="G944" t="s">
        <v>235</v>
      </c>
      <c r="H944" t="s">
        <v>797</v>
      </c>
      <c r="I944" t="s">
        <v>20</v>
      </c>
      <c r="J944" t="s">
        <v>197</v>
      </c>
      <c r="K944" t="s">
        <v>798</v>
      </c>
      <c r="L944" t="s">
        <v>787</v>
      </c>
      <c r="M944" t="s">
        <v>800</v>
      </c>
      <c r="N944">
        <v>10</v>
      </c>
      <c r="O944" s="3">
        <v>22.45</v>
      </c>
      <c r="P944" s="3">
        <v>29.18</v>
      </c>
      <c r="Q944" s="6">
        <v>0</v>
      </c>
      <c r="R944" s="3">
        <v>291.8</v>
      </c>
      <c r="S944" t="s">
        <v>869</v>
      </c>
    </row>
    <row r="945" spans="1:19" x14ac:dyDescent="0.35">
      <c r="A945" t="s">
        <v>2404</v>
      </c>
      <c r="B945" t="s">
        <v>266</v>
      </c>
      <c r="C945" s="5">
        <v>45350</v>
      </c>
      <c r="D945" s="5">
        <v>45358</v>
      </c>
      <c r="E945" t="s">
        <v>267</v>
      </c>
      <c r="F945" t="s">
        <v>637</v>
      </c>
      <c r="G945" t="s">
        <v>243</v>
      </c>
      <c r="H945" t="s">
        <v>20</v>
      </c>
      <c r="I945" t="s">
        <v>29</v>
      </c>
      <c r="J945" t="s">
        <v>183</v>
      </c>
      <c r="K945" t="s">
        <v>798</v>
      </c>
      <c r="L945" t="s">
        <v>799</v>
      </c>
      <c r="M945" t="s">
        <v>818</v>
      </c>
      <c r="N945">
        <v>5</v>
      </c>
      <c r="O945" s="3">
        <v>10.97</v>
      </c>
      <c r="P945" s="3">
        <v>15.91</v>
      </c>
      <c r="Q945" s="6">
        <v>0.05</v>
      </c>
      <c r="R945" s="3">
        <v>75.572499999999991</v>
      </c>
      <c r="S945" t="s">
        <v>810</v>
      </c>
    </row>
    <row r="946" spans="1:19" x14ac:dyDescent="0.35">
      <c r="A946" t="s">
        <v>2405</v>
      </c>
      <c r="B946" t="s">
        <v>324</v>
      </c>
      <c r="C946" s="5">
        <v>45955</v>
      </c>
      <c r="D946" s="5">
        <v>45962</v>
      </c>
      <c r="E946" t="s">
        <v>296</v>
      </c>
      <c r="F946" t="s">
        <v>254</v>
      </c>
      <c r="G946" t="s">
        <v>264</v>
      </c>
      <c r="H946" t="s">
        <v>797</v>
      </c>
      <c r="I946" t="s">
        <v>79</v>
      </c>
      <c r="J946" t="s">
        <v>220</v>
      </c>
      <c r="K946" t="s">
        <v>798</v>
      </c>
      <c r="L946" t="s">
        <v>799</v>
      </c>
      <c r="M946" t="s">
        <v>788</v>
      </c>
      <c r="N946">
        <v>2</v>
      </c>
      <c r="O946" s="3">
        <v>46</v>
      </c>
      <c r="P946" s="3">
        <v>62.1</v>
      </c>
      <c r="Q946" s="6">
        <v>0</v>
      </c>
      <c r="R946" s="3">
        <v>124.2</v>
      </c>
      <c r="S946" t="s">
        <v>834</v>
      </c>
    </row>
    <row r="947" spans="1:19" x14ac:dyDescent="0.35">
      <c r="A947" t="s">
        <v>2406</v>
      </c>
      <c r="B947" t="s">
        <v>487</v>
      </c>
      <c r="C947" s="5">
        <v>45414</v>
      </c>
      <c r="D947" s="5">
        <v>45424</v>
      </c>
      <c r="E947" t="s">
        <v>488</v>
      </c>
      <c r="F947" t="s">
        <v>681</v>
      </c>
      <c r="G947" t="s">
        <v>243</v>
      </c>
      <c r="H947" t="s">
        <v>20</v>
      </c>
      <c r="I947" t="s">
        <v>38</v>
      </c>
      <c r="J947" t="s">
        <v>172</v>
      </c>
      <c r="K947" t="s">
        <v>798</v>
      </c>
      <c r="L947" t="s">
        <v>799</v>
      </c>
      <c r="M947" t="s">
        <v>800</v>
      </c>
      <c r="N947">
        <v>12</v>
      </c>
      <c r="O947" s="3">
        <v>18.329999999999998</v>
      </c>
      <c r="P947" s="3">
        <v>22.91</v>
      </c>
      <c r="Q947" s="6">
        <v>0</v>
      </c>
      <c r="R947" s="3">
        <v>274.92</v>
      </c>
      <c r="S947" t="s">
        <v>869</v>
      </c>
    </row>
    <row r="948" spans="1:19" x14ac:dyDescent="0.35">
      <c r="A948" t="s">
        <v>2408</v>
      </c>
      <c r="B948" t="s">
        <v>438</v>
      </c>
      <c r="C948" s="5">
        <v>46047</v>
      </c>
      <c r="D948" s="5">
        <v>46056</v>
      </c>
      <c r="E948" t="s">
        <v>439</v>
      </c>
      <c r="F948" t="s">
        <v>637</v>
      </c>
      <c r="G948" t="s">
        <v>264</v>
      </c>
      <c r="H948" t="s">
        <v>14</v>
      </c>
      <c r="I948" t="s">
        <v>38</v>
      </c>
      <c r="J948" t="s">
        <v>36</v>
      </c>
      <c r="K948" t="s">
        <v>786</v>
      </c>
      <c r="L948" t="s">
        <v>822</v>
      </c>
      <c r="M948" t="s">
        <v>788</v>
      </c>
      <c r="N948">
        <v>3</v>
      </c>
      <c r="O948" s="3">
        <v>8.57</v>
      </c>
      <c r="P948" s="3">
        <v>11.14</v>
      </c>
      <c r="Q948" s="6">
        <v>0.1</v>
      </c>
      <c r="R948" s="3">
        <v>30.078000000000003</v>
      </c>
      <c r="S948" t="s">
        <v>814</v>
      </c>
    </row>
    <row r="949" spans="1:19" x14ac:dyDescent="0.35">
      <c r="A949" t="s">
        <v>2409</v>
      </c>
      <c r="B949" t="s">
        <v>474</v>
      </c>
      <c r="C949" s="5">
        <v>45306</v>
      </c>
      <c r="E949" t="s">
        <v>330</v>
      </c>
      <c r="F949" t="s">
        <v>637</v>
      </c>
      <c r="G949" t="s">
        <v>235</v>
      </c>
      <c r="H949" t="s">
        <v>14</v>
      </c>
      <c r="I949" t="s">
        <v>43</v>
      </c>
      <c r="J949" t="s">
        <v>200</v>
      </c>
      <c r="K949" t="s">
        <v>813</v>
      </c>
      <c r="L949" t="s">
        <v>793</v>
      </c>
      <c r="M949" t="s">
        <v>788</v>
      </c>
      <c r="N949">
        <v>12</v>
      </c>
      <c r="O949" s="3">
        <v>69.23</v>
      </c>
      <c r="P949" s="3">
        <v>86.54</v>
      </c>
      <c r="Q949" s="6">
        <v>0.15</v>
      </c>
      <c r="R949" s="3">
        <v>882.70800000000008</v>
      </c>
      <c r="S949" t="s">
        <v>1017</v>
      </c>
    </row>
    <row r="950" spans="1:19" x14ac:dyDescent="0.35">
      <c r="A950" t="s">
        <v>2410</v>
      </c>
      <c r="B950" t="s">
        <v>487</v>
      </c>
      <c r="C950" s="5">
        <v>45377</v>
      </c>
      <c r="D950" s="5">
        <v>45382</v>
      </c>
      <c r="E950" t="s">
        <v>488</v>
      </c>
      <c r="F950" t="s">
        <v>254</v>
      </c>
      <c r="G950" t="s">
        <v>243</v>
      </c>
      <c r="H950" t="s">
        <v>797</v>
      </c>
      <c r="I950" t="s">
        <v>38</v>
      </c>
      <c r="J950" t="s">
        <v>172</v>
      </c>
      <c r="K950" t="s">
        <v>813</v>
      </c>
      <c r="L950" t="s">
        <v>799</v>
      </c>
      <c r="M950" t="s">
        <v>788</v>
      </c>
      <c r="N950">
        <v>5</v>
      </c>
      <c r="O950" s="3">
        <v>18.329999999999998</v>
      </c>
      <c r="P950" s="3">
        <v>22.91</v>
      </c>
      <c r="Q950" s="6">
        <v>0.15</v>
      </c>
      <c r="R950" s="3">
        <v>97.367500000000007</v>
      </c>
      <c r="S950" t="s">
        <v>839</v>
      </c>
    </row>
    <row r="951" spans="1:19" x14ac:dyDescent="0.35">
      <c r="A951" t="s">
        <v>2411</v>
      </c>
      <c r="B951" t="s">
        <v>446</v>
      </c>
      <c r="C951" s="5">
        <v>45572</v>
      </c>
      <c r="D951" s="5">
        <v>45574</v>
      </c>
      <c r="E951" t="s">
        <v>447</v>
      </c>
      <c r="F951" t="s">
        <v>254</v>
      </c>
      <c r="G951" t="s">
        <v>243</v>
      </c>
      <c r="H951" t="s">
        <v>797</v>
      </c>
      <c r="I951" t="s">
        <v>8</v>
      </c>
      <c r="J951" t="s">
        <v>23</v>
      </c>
      <c r="K951" t="s">
        <v>798</v>
      </c>
      <c r="L951" t="s">
        <v>799</v>
      </c>
      <c r="M951" t="s">
        <v>818</v>
      </c>
      <c r="N951">
        <v>12</v>
      </c>
      <c r="O951" s="3">
        <v>58.47</v>
      </c>
      <c r="P951" s="3">
        <v>84.78</v>
      </c>
      <c r="Q951" s="6">
        <v>0</v>
      </c>
      <c r="R951" s="3">
        <v>1017.36</v>
      </c>
      <c r="S951" t="s">
        <v>919</v>
      </c>
    </row>
    <row r="952" spans="1:19" x14ac:dyDescent="0.35">
      <c r="A952" t="s">
        <v>2412</v>
      </c>
      <c r="B952" t="s">
        <v>369</v>
      </c>
      <c r="C952" s="5">
        <v>45478</v>
      </c>
      <c r="D952" s="5">
        <v>45484</v>
      </c>
      <c r="E952" t="s">
        <v>282</v>
      </c>
      <c r="F952" t="s">
        <v>633</v>
      </c>
      <c r="G952" t="s">
        <v>243</v>
      </c>
      <c r="H952" t="s">
        <v>14</v>
      </c>
      <c r="I952" t="s">
        <v>14</v>
      </c>
      <c r="J952" t="s">
        <v>214</v>
      </c>
      <c r="K952" t="s">
        <v>786</v>
      </c>
      <c r="L952" t="s">
        <v>799</v>
      </c>
      <c r="M952" t="s">
        <v>842</v>
      </c>
      <c r="N952">
        <v>20</v>
      </c>
      <c r="O952" s="3">
        <v>22.07</v>
      </c>
      <c r="P952" s="3">
        <v>27.59</v>
      </c>
      <c r="Q952" s="6">
        <v>0</v>
      </c>
      <c r="R952" s="3">
        <v>551.79999999999995</v>
      </c>
      <c r="S952" t="s">
        <v>869</v>
      </c>
    </row>
    <row r="953" spans="1:19" x14ac:dyDescent="0.35">
      <c r="A953" t="s">
        <v>2413</v>
      </c>
      <c r="B953" t="s">
        <v>596</v>
      </c>
      <c r="C953" s="5">
        <v>45763</v>
      </c>
      <c r="D953" s="5">
        <v>45768</v>
      </c>
      <c r="E953" t="s">
        <v>443</v>
      </c>
      <c r="F953" t="s">
        <v>674</v>
      </c>
      <c r="G953" t="s">
        <v>264</v>
      </c>
      <c r="H953" t="s">
        <v>797</v>
      </c>
      <c r="I953" t="s">
        <v>29</v>
      </c>
      <c r="J953" t="s">
        <v>154</v>
      </c>
      <c r="K953" t="s">
        <v>798</v>
      </c>
      <c r="L953" t="s">
        <v>822</v>
      </c>
      <c r="M953" t="s">
        <v>788</v>
      </c>
      <c r="N953">
        <v>1</v>
      </c>
      <c r="O953" s="3">
        <v>25.74</v>
      </c>
      <c r="P953" s="3">
        <v>33.46</v>
      </c>
      <c r="Q953" s="6">
        <v>0.15</v>
      </c>
      <c r="R953" s="3">
        <v>28.441000000000003</v>
      </c>
      <c r="S953" t="s">
        <v>888</v>
      </c>
    </row>
    <row r="954" spans="1:19" x14ac:dyDescent="0.35">
      <c r="A954" t="s">
        <v>2414</v>
      </c>
      <c r="B954" t="s">
        <v>589</v>
      </c>
      <c r="C954" s="5">
        <v>45346</v>
      </c>
      <c r="E954" t="s">
        <v>484</v>
      </c>
      <c r="F954" t="s">
        <v>633</v>
      </c>
      <c r="G954" t="s">
        <v>264</v>
      </c>
      <c r="H954" t="s">
        <v>797</v>
      </c>
      <c r="I954" t="s">
        <v>29</v>
      </c>
      <c r="J954" t="s">
        <v>86</v>
      </c>
      <c r="K954" t="s">
        <v>813</v>
      </c>
      <c r="L954" t="s">
        <v>793</v>
      </c>
      <c r="M954" t="s">
        <v>788</v>
      </c>
      <c r="N954">
        <v>10</v>
      </c>
      <c r="O954" s="3">
        <v>8.35</v>
      </c>
      <c r="P954" s="3">
        <v>12.11</v>
      </c>
      <c r="Q954" s="6">
        <v>0</v>
      </c>
      <c r="R954" s="3">
        <v>121.1</v>
      </c>
      <c r="S954" t="s">
        <v>1017</v>
      </c>
    </row>
    <row r="955" spans="1:19" x14ac:dyDescent="0.35">
      <c r="A955" t="s">
        <v>2416</v>
      </c>
      <c r="B955" t="s">
        <v>421</v>
      </c>
      <c r="C955" s="5">
        <v>45496</v>
      </c>
      <c r="D955" s="5">
        <v>45505</v>
      </c>
      <c r="E955" t="s">
        <v>422</v>
      </c>
      <c r="F955" t="s">
        <v>633</v>
      </c>
      <c r="G955" t="s">
        <v>235</v>
      </c>
      <c r="H955" t="s">
        <v>14</v>
      </c>
      <c r="I955" t="s">
        <v>8</v>
      </c>
      <c r="J955" t="s">
        <v>212</v>
      </c>
      <c r="K955" t="s">
        <v>798</v>
      </c>
      <c r="L955" t="s">
        <v>799</v>
      </c>
      <c r="M955" t="s">
        <v>800</v>
      </c>
      <c r="N955">
        <v>12</v>
      </c>
      <c r="O955" s="3">
        <v>95.09</v>
      </c>
      <c r="P955" s="3">
        <v>133.13</v>
      </c>
      <c r="Q955" s="6">
        <v>0</v>
      </c>
      <c r="R955" s="3">
        <v>1597.56</v>
      </c>
      <c r="S955" t="s">
        <v>869</v>
      </c>
    </row>
    <row r="956" spans="1:19" x14ac:dyDescent="0.35">
      <c r="A956" t="s">
        <v>2417</v>
      </c>
      <c r="B956" t="s">
        <v>582</v>
      </c>
      <c r="C956" s="5">
        <v>45752</v>
      </c>
      <c r="D956" s="5">
        <v>45756</v>
      </c>
      <c r="E956" t="s">
        <v>583</v>
      </c>
      <c r="F956" t="s">
        <v>637</v>
      </c>
      <c r="G956" t="s">
        <v>264</v>
      </c>
      <c r="H956" t="s">
        <v>797</v>
      </c>
      <c r="I956" t="s">
        <v>43</v>
      </c>
      <c r="J956" t="s">
        <v>141</v>
      </c>
      <c r="K956" t="s">
        <v>786</v>
      </c>
      <c r="L956" t="s">
        <v>799</v>
      </c>
      <c r="M956" t="s">
        <v>788</v>
      </c>
      <c r="N956">
        <v>12</v>
      </c>
      <c r="O956" s="3">
        <v>17.2</v>
      </c>
      <c r="P956" s="3">
        <v>22.36</v>
      </c>
      <c r="Q956" s="6">
        <v>0.1</v>
      </c>
      <c r="R956" s="3">
        <v>241.488</v>
      </c>
      <c r="S956" t="s">
        <v>803</v>
      </c>
    </row>
    <row r="957" spans="1:19" x14ac:dyDescent="0.35">
      <c r="A957" t="s">
        <v>2418</v>
      </c>
      <c r="B957" t="s">
        <v>444</v>
      </c>
      <c r="C957" s="5">
        <v>46011</v>
      </c>
      <c r="E957" t="s">
        <v>445</v>
      </c>
      <c r="F957" t="s">
        <v>681</v>
      </c>
      <c r="G957" t="s">
        <v>264</v>
      </c>
      <c r="H957" t="s">
        <v>20</v>
      </c>
      <c r="I957" t="s">
        <v>43</v>
      </c>
      <c r="J957" t="s">
        <v>58</v>
      </c>
      <c r="K957" t="s">
        <v>786</v>
      </c>
      <c r="L957" t="s">
        <v>793</v>
      </c>
      <c r="M957" t="s">
        <v>800</v>
      </c>
      <c r="N957">
        <v>12</v>
      </c>
      <c r="O957" s="3">
        <v>11.21</v>
      </c>
      <c r="P957" s="3">
        <v>15.13</v>
      </c>
      <c r="Q957" s="6">
        <v>0</v>
      </c>
      <c r="R957" s="3">
        <v>181.56</v>
      </c>
      <c r="S957" t="s">
        <v>892</v>
      </c>
    </row>
    <row r="958" spans="1:19" x14ac:dyDescent="0.35">
      <c r="A958" t="s">
        <v>2419</v>
      </c>
      <c r="B958" t="s">
        <v>384</v>
      </c>
      <c r="C958" s="5">
        <v>45507</v>
      </c>
      <c r="D958" s="5">
        <v>45515</v>
      </c>
      <c r="E958" t="s">
        <v>385</v>
      </c>
      <c r="F958" t="s">
        <v>696</v>
      </c>
      <c r="G958" t="s">
        <v>264</v>
      </c>
      <c r="H958" t="s">
        <v>797</v>
      </c>
      <c r="I958" t="s">
        <v>48</v>
      </c>
      <c r="J958" t="s">
        <v>217</v>
      </c>
      <c r="K958" t="s">
        <v>786</v>
      </c>
      <c r="L958" t="s">
        <v>799</v>
      </c>
      <c r="M958" t="s">
        <v>788</v>
      </c>
      <c r="N958">
        <v>1</v>
      </c>
      <c r="O958" s="3">
        <v>24.07</v>
      </c>
      <c r="P958" s="3">
        <v>34.9</v>
      </c>
      <c r="Q958" s="6">
        <v>0.05</v>
      </c>
      <c r="R958" s="3">
        <v>33.155000000000001</v>
      </c>
      <c r="S958" t="s">
        <v>888</v>
      </c>
    </row>
    <row r="959" spans="1:19" x14ac:dyDescent="0.35">
      <c r="A959" t="s">
        <v>2420</v>
      </c>
      <c r="B959" t="s">
        <v>455</v>
      </c>
      <c r="C959" s="5">
        <v>45892</v>
      </c>
      <c r="E959" t="s">
        <v>456</v>
      </c>
      <c r="F959" t="s">
        <v>627</v>
      </c>
      <c r="G959" t="s">
        <v>264</v>
      </c>
      <c r="H959" t="s">
        <v>797</v>
      </c>
      <c r="I959" t="s">
        <v>43</v>
      </c>
      <c r="J959" t="s">
        <v>53</v>
      </c>
      <c r="K959" t="s">
        <v>798</v>
      </c>
      <c r="L959" t="s">
        <v>787</v>
      </c>
      <c r="M959" t="s">
        <v>842</v>
      </c>
      <c r="N959">
        <v>10</v>
      </c>
      <c r="O959" s="3">
        <v>54.93</v>
      </c>
      <c r="P959" s="3">
        <v>79.650000000000006</v>
      </c>
      <c r="Q959" s="6">
        <v>0.15</v>
      </c>
      <c r="R959" s="3">
        <v>677.02499999999998</v>
      </c>
      <c r="S959" t="s">
        <v>814</v>
      </c>
    </row>
    <row r="960" spans="1:19" x14ac:dyDescent="0.35">
      <c r="A960" t="s">
        <v>2421</v>
      </c>
      <c r="B960" t="s">
        <v>475</v>
      </c>
      <c r="C960" s="5">
        <v>45300</v>
      </c>
      <c r="E960" t="s">
        <v>476</v>
      </c>
      <c r="F960" t="s">
        <v>696</v>
      </c>
      <c r="G960" t="s">
        <v>243</v>
      </c>
      <c r="H960" t="s">
        <v>797</v>
      </c>
      <c r="I960" t="s">
        <v>29</v>
      </c>
      <c r="J960" t="s">
        <v>32</v>
      </c>
      <c r="K960" t="s">
        <v>798</v>
      </c>
      <c r="L960" t="s">
        <v>787</v>
      </c>
      <c r="M960" t="s">
        <v>800</v>
      </c>
      <c r="N960">
        <v>1</v>
      </c>
      <c r="O960" s="3">
        <v>18.989999999999998</v>
      </c>
      <c r="P960" s="3">
        <v>25.64</v>
      </c>
      <c r="Q960" s="6">
        <v>0</v>
      </c>
      <c r="R960" s="3">
        <v>25.64</v>
      </c>
      <c r="S960" t="s">
        <v>810</v>
      </c>
    </row>
    <row r="961" spans="1:19" x14ac:dyDescent="0.35">
      <c r="A961" t="s">
        <v>2422</v>
      </c>
      <c r="B961" t="s">
        <v>369</v>
      </c>
      <c r="C961" s="5">
        <v>45770</v>
      </c>
      <c r="D961" s="5">
        <v>45778</v>
      </c>
      <c r="E961" t="s">
        <v>282</v>
      </c>
      <c r="F961" t="s">
        <v>637</v>
      </c>
      <c r="G961" t="s">
        <v>243</v>
      </c>
      <c r="H961" t="s">
        <v>797</v>
      </c>
      <c r="I961" t="s">
        <v>48</v>
      </c>
      <c r="J961" t="s">
        <v>202</v>
      </c>
      <c r="K961" t="s">
        <v>786</v>
      </c>
      <c r="L961" t="s">
        <v>799</v>
      </c>
      <c r="M961" t="s">
        <v>818</v>
      </c>
      <c r="N961">
        <v>5</v>
      </c>
      <c r="O961" s="3">
        <v>27</v>
      </c>
      <c r="P961" s="3">
        <v>39.15</v>
      </c>
      <c r="Q961" s="6">
        <v>0.15</v>
      </c>
      <c r="R961" s="3">
        <v>166.38749999999999</v>
      </c>
      <c r="S961" t="s">
        <v>935</v>
      </c>
    </row>
    <row r="962" spans="1:19" x14ac:dyDescent="0.35">
      <c r="A962" t="s">
        <v>2423</v>
      </c>
      <c r="B962" t="s">
        <v>596</v>
      </c>
      <c r="C962" s="5">
        <v>45541</v>
      </c>
      <c r="E962" t="s">
        <v>443</v>
      </c>
      <c r="F962" t="s">
        <v>633</v>
      </c>
      <c r="G962" t="s">
        <v>264</v>
      </c>
      <c r="H962" t="s">
        <v>14</v>
      </c>
      <c r="I962" t="s">
        <v>38</v>
      </c>
      <c r="J962" t="s">
        <v>36</v>
      </c>
      <c r="K962" t="s">
        <v>798</v>
      </c>
      <c r="L962" t="s">
        <v>793</v>
      </c>
      <c r="M962" t="s">
        <v>842</v>
      </c>
      <c r="N962">
        <v>3</v>
      </c>
      <c r="O962" s="3">
        <v>8.57</v>
      </c>
      <c r="P962" s="3">
        <v>11.14</v>
      </c>
      <c r="Q962" s="6">
        <v>0</v>
      </c>
      <c r="R962" s="3">
        <v>33.42</v>
      </c>
      <c r="S962" t="s">
        <v>892</v>
      </c>
    </row>
    <row r="963" spans="1:19" x14ac:dyDescent="0.35">
      <c r="A963" t="s">
        <v>2424</v>
      </c>
      <c r="B963" t="s">
        <v>479</v>
      </c>
      <c r="C963" s="5">
        <v>45402</v>
      </c>
      <c r="D963" s="5">
        <v>45407</v>
      </c>
      <c r="E963" t="s">
        <v>480</v>
      </c>
      <c r="F963" t="s">
        <v>637</v>
      </c>
      <c r="G963" t="s">
        <v>243</v>
      </c>
      <c r="H963" t="s">
        <v>797</v>
      </c>
      <c r="I963" t="s">
        <v>29</v>
      </c>
      <c r="J963" t="s">
        <v>106</v>
      </c>
      <c r="K963" t="s">
        <v>798</v>
      </c>
      <c r="L963" t="s">
        <v>799</v>
      </c>
      <c r="M963" t="s">
        <v>788</v>
      </c>
      <c r="N963">
        <v>12</v>
      </c>
      <c r="O963" s="3">
        <v>29.64</v>
      </c>
      <c r="P963" s="3">
        <v>41.5</v>
      </c>
      <c r="Q963" s="6">
        <v>0.1</v>
      </c>
      <c r="R963" s="3">
        <v>448.2</v>
      </c>
      <c r="S963" t="s">
        <v>810</v>
      </c>
    </row>
    <row r="964" spans="1:19" x14ac:dyDescent="0.35">
      <c r="A964" t="s">
        <v>2425</v>
      </c>
      <c r="B964" t="s">
        <v>374</v>
      </c>
      <c r="C964" s="5">
        <v>45903</v>
      </c>
      <c r="E964" t="s">
        <v>375</v>
      </c>
      <c r="F964" t="s">
        <v>627</v>
      </c>
      <c r="G964" t="s">
        <v>264</v>
      </c>
      <c r="H964" t="s">
        <v>20</v>
      </c>
      <c r="I964" t="s">
        <v>20</v>
      </c>
      <c r="J964" t="s">
        <v>97</v>
      </c>
      <c r="K964" t="s">
        <v>813</v>
      </c>
      <c r="L964" t="s">
        <v>793</v>
      </c>
      <c r="M964" t="s">
        <v>842</v>
      </c>
      <c r="N964">
        <v>1</v>
      </c>
      <c r="O964" s="3">
        <v>20.79</v>
      </c>
      <c r="P964" s="3">
        <v>28.07</v>
      </c>
      <c r="Q964" s="6">
        <v>0</v>
      </c>
      <c r="R964" s="3">
        <v>28.07</v>
      </c>
      <c r="S964" t="s">
        <v>859</v>
      </c>
    </row>
    <row r="965" spans="1:19" x14ac:dyDescent="0.35">
      <c r="A965" t="s">
        <v>2426</v>
      </c>
      <c r="B965" t="s">
        <v>494</v>
      </c>
      <c r="C965" s="5">
        <v>45436</v>
      </c>
      <c r="E965" t="s">
        <v>396</v>
      </c>
      <c r="F965" t="s">
        <v>696</v>
      </c>
      <c r="G965" t="s">
        <v>243</v>
      </c>
      <c r="H965" t="s">
        <v>797</v>
      </c>
      <c r="I965" t="s">
        <v>79</v>
      </c>
      <c r="J965" t="s">
        <v>124</v>
      </c>
      <c r="K965" t="s">
        <v>813</v>
      </c>
      <c r="L965" t="s">
        <v>787</v>
      </c>
      <c r="M965" t="s">
        <v>788</v>
      </c>
      <c r="N965">
        <v>1</v>
      </c>
      <c r="O965" s="3">
        <v>29.44</v>
      </c>
      <c r="P965" s="3">
        <v>41.22</v>
      </c>
      <c r="Q965" s="6">
        <v>0</v>
      </c>
      <c r="R965" s="3">
        <v>41.22</v>
      </c>
      <c r="S965" t="s">
        <v>859</v>
      </c>
    </row>
    <row r="966" spans="1:19" x14ac:dyDescent="0.35">
      <c r="A966" t="s">
        <v>2427</v>
      </c>
      <c r="B966" t="s">
        <v>395</v>
      </c>
      <c r="C966" s="5">
        <v>45374</v>
      </c>
      <c r="E966" t="s">
        <v>396</v>
      </c>
      <c r="F966" t="s">
        <v>637</v>
      </c>
      <c r="G966" t="s">
        <v>264</v>
      </c>
      <c r="H966" t="s">
        <v>797</v>
      </c>
      <c r="I966" t="s">
        <v>14</v>
      </c>
      <c r="J966" t="s">
        <v>60</v>
      </c>
      <c r="K966" t="s">
        <v>813</v>
      </c>
      <c r="L966" t="s">
        <v>793</v>
      </c>
      <c r="M966" t="s">
        <v>800</v>
      </c>
      <c r="N966">
        <v>10</v>
      </c>
      <c r="O966" s="3">
        <v>18.18</v>
      </c>
      <c r="P966" s="3">
        <v>24.54</v>
      </c>
      <c r="Q966" s="6">
        <v>0</v>
      </c>
      <c r="R966" s="3">
        <v>245.39999999999998</v>
      </c>
      <c r="S966" t="s">
        <v>819</v>
      </c>
    </row>
    <row r="967" spans="1:19" x14ac:dyDescent="0.35">
      <c r="A967" t="s">
        <v>2428</v>
      </c>
      <c r="B967" t="s">
        <v>322</v>
      </c>
      <c r="C967" s="5">
        <v>45455</v>
      </c>
      <c r="E967" t="s">
        <v>245</v>
      </c>
      <c r="F967" t="s">
        <v>696</v>
      </c>
      <c r="G967" t="s">
        <v>243</v>
      </c>
      <c r="H967" t="s">
        <v>14</v>
      </c>
      <c r="I967" t="s">
        <v>38</v>
      </c>
      <c r="J967" t="s">
        <v>132</v>
      </c>
      <c r="K967" t="s">
        <v>798</v>
      </c>
      <c r="L967" t="s">
        <v>793</v>
      </c>
      <c r="M967" t="s">
        <v>818</v>
      </c>
      <c r="N967">
        <v>5</v>
      </c>
      <c r="O967" s="3">
        <v>12.71</v>
      </c>
      <c r="P967" s="3">
        <v>17.79</v>
      </c>
      <c r="Q967" s="6">
        <v>0.15</v>
      </c>
      <c r="R967" s="3">
        <v>75.607499999999987</v>
      </c>
      <c r="S967" t="s">
        <v>935</v>
      </c>
    </row>
    <row r="968" spans="1:19" x14ac:dyDescent="0.35">
      <c r="A968" t="s">
        <v>2429</v>
      </c>
      <c r="B968" t="s">
        <v>611</v>
      </c>
      <c r="C968" s="5">
        <v>45766</v>
      </c>
      <c r="D968" s="5">
        <v>45773</v>
      </c>
      <c r="E968" t="s">
        <v>287</v>
      </c>
      <c r="F968" t="s">
        <v>254</v>
      </c>
      <c r="G968" t="s">
        <v>235</v>
      </c>
      <c r="H968" t="s">
        <v>797</v>
      </c>
      <c r="I968" t="s">
        <v>8</v>
      </c>
      <c r="J968" t="s">
        <v>101</v>
      </c>
      <c r="K968" t="s">
        <v>798</v>
      </c>
      <c r="L968" t="s">
        <v>822</v>
      </c>
      <c r="M968" t="s">
        <v>818</v>
      </c>
      <c r="N968">
        <v>5</v>
      </c>
      <c r="O968" s="3">
        <v>16.510000000000002</v>
      </c>
      <c r="P968" s="3">
        <v>23.94</v>
      </c>
      <c r="Q968" s="6">
        <v>0</v>
      </c>
      <c r="R968" s="3">
        <v>119.7</v>
      </c>
      <c r="S968" t="s">
        <v>859</v>
      </c>
    </row>
    <row r="969" spans="1:19" x14ac:dyDescent="0.35">
      <c r="A969" t="s">
        <v>2430</v>
      </c>
      <c r="B969" t="s">
        <v>525</v>
      </c>
      <c r="C969" s="5">
        <v>45903</v>
      </c>
      <c r="E969" t="s">
        <v>526</v>
      </c>
      <c r="F969" t="s">
        <v>254</v>
      </c>
      <c r="G969" t="s">
        <v>243</v>
      </c>
      <c r="H969" t="s">
        <v>797</v>
      </c>
      <c r="I969" t="s">
        <v>38</v>
      </c>
      <c r="J969" t="s">
        <v>117</v>
      </c>
      <c r="K969" t="s">
        <v>798</v>
      </c>
      <c r="L969" t="s">
        <v>817</v>
      </c>
      <c r="M969" t="s">
        <v>842</v>
      </c>
      <c r="N969">
        <v>5</v>
      </c>
      <c r="O969" s="3">
        <v>43.25</v>
      </c>
      <c r="P969" s="3">
        <v>60.55</v>
      </c>
      <c r="Q969" s="6">
        <v>0</v>
      </c>
      <c r="R969" s="3">
        <v>302.75</v>
      </c>
      <c r="S969" t="s">
        <v>946</v>
      </c>
    </row>
    <row r="970" spans="1:19" x14ac:dyDescent="0.35">
      <c r="A970" t="s">
        <v>2431</v>
      </c>
      <c r="B970" t="s">
        <v>453</v>
      </c>
      <c r="C970" s="5">
        <v>45474</v>
      </c>
      <c r="D970" s="5">
        <v>45478</v>
      </c>
      <c r="E970" t="s">
        <v>454</v>
      </c>
      <c r="F970" t="s">
        <v>633</v>
      </c>
      <c r="G970" t="s">
        <v>235</v>
      </c>
      <c r="H970" t="s">
        <v>797</v>
      </c>
      <c r="I970" t="s">
        <v>14</v>
      </c>
      <c r="J970" t="s">
        <v>12</v>
      </c>
      <c r="K970" t="s">
        <v>786</v>
      </c>
      <c r="L970" t="s">
        <v>799</v>
      </c>
      <c r="M970" t="s">
        <v>818</v>
      </c>
      <c r="N970">
        <v>1</v>
      </c>
      <c r="O970" s="3">
        <v>35.03</v>
      </c>
      <c r="P970" s="3">
        <v>50.79</v>
      </c>
      <c r="Q970" s="6">
        <v>0</v>
      </c>
      <c r="R970" s="3">
        <v>50.79</v>
      </c>
      <c r="S970" t="s">
        <v>869</v>
      </c>
    </row>
    <row r="971" spans="1:19" x14ac:dyDescent="0.35">
      <c r="A971" t="s">
        <v>2432</v>
      </c>
      <c r="B971" t="s">
        <v>370</v>
      </c>
      <c r="C971" s="5">
        <v>45433</v>
      </c>
      <c r="E971" t="s">
        <v>371</v>
      </c>
      <c r="F971" t="s">
        <v>254</v>
      </c>
      <c r="G971" t="s">
        <v>264</v>
      </c>
      <c r="H971" t="s">
        <v>797</v>
      </c>
      <c r="I971" t="s">
        <v>48</v>
      </c>
      <c r="J971" t="s">
        <v>61</v>
      </c>
      <c r="K971" t="s">
        <v>798</v>
      </c>
      <c r="L971" t="s">
        <v>793</v>
      </c>
      <c r="M971" t="s">
        <v>788</v>
      </c>
      <c r="N971">
        <v>2</v>
      </c>
      <c r="O971" s="3">
        <v>26.08</v>
      </c>
      <c r="P971" s="3">
        <v>35.21</v>
      </c>
      <c r="Q971" s="6">
        <v>0.05</v>
      </c>
      <c r="R971" s="3">
        <v>66.899000000000001</v>
      </c>
      <c r="S971" t="s">
        <v>888</v>
      </c>
    </row>
    <row r="972" spans="1:19" x14ac:dyDescent="0.35">
      <c r="A972" t="s">
        <v>2433</v>
      </c>
      <c r="B972" t="s">
        <v>463</v>
      </c>
      <c r="C972" s="5">
        <v>45583</v>
      </c>
      <c r="D972" s="5">
        <v>45590</v>
      </c>
      <c r="E972" t="s">
        <v>464</v>
      </c>
      <c r="F972" t="s">
        <v>681</v>
      </c>
      <c r="G972" t="s">
        <v>264</v>
      </c>
      <c r="H972" t="s">
        <v>20</v>
      </c>
      <c r="I972" t="s">
        <v>20</v>
      </c>
      <c r="J972" t="s">
        <v>97</v>
      </c>
      <c r="K972" t="s">
        <v>813</v>
      </c>
      <c r="L972" t="s">
        <v>822</v>
      </c>
      <c r="M972" t="s">
        <v>818</v>
      </c>
      <c r="N972">
        <v>3</v>
      </c>
      <c r="O972" s="3">
        <v>20.79</v>
      </c>
      <c r="P972" s="3">
        <v>28.07</v>
      </c>
      <c r="Q972" s="6">
        <v>0</v>
      </c>
      <c r="R972" s="3">
        <v>84.210000000000008</v>
      </c>
      <c r="S972" t="s">
        <v>810</v>
      </c>
    </row>
    <row r="973" spans="1:19" x14ac:dyDescent="0.35">
      <c r="A973" t="s">
        <v>2434</v>
      </c>
      <c r="B973" t="s">
        <v>327</v>
      </c>
      <c r="C973" s="5">
        <v>45990</v>
      </c>
      <c r="D973" s="5">
        <v>45996</v>
      </c>
      <c r="E973" t="s">
        <v>328</v>
      </c>
      <c r="F973" t="s">
        <v>696</v>
      </c>
      <c r="G973" t="s">
        <v>264</v>
      </c>
      <c r="H973" t="s">
        <v>20</v>
      </c>
      <c r="I973" t="s">
        <v>20</v>
      </c>
      <c r="J973" t="s">
        <v>163</v>
      </c>
      <c r="K973" t="s">
        <v>798</v>
      </c>
      <c r="L973" t="s">
        <v>799</v>
      </c>
      <c r="M973" t="s">
        <v>818</v>
      </c>
      <c r="N973">
        <v>2</v>
      </c>
      <c r="O973" s="3">
        <v>55.3</v>
      </c>
      <c r="P973" s="3">
        <v>74.66</v>
      </c>
      <c r="Q973" s="6">
        <v>0</v>
      </c>
      <c r="R973" s="3">
        <v>149.32</v>
      </c>
      <c r="S973" t="s">
        <v>810</v>
      </c>
    </row>
    <row r="974" spans="1:19" x14ac:dyDescent="0.35">
      <c r="A974" t="s">
        <v>2435</v>
      </c>
      <c r="B974" t="s">
        <v>513</v>
      </c>
      <c r="C974" s="5">
        <v>45423</v>
      </c>
      <c r="D974" s="5">
        <v>45428</v>
      </c>
      <c r="E974" t="s">
        <v>514</v>
      </c>
      <c r="F974" t="s">
        <v>696</v>
      </c>
      <c r="G974" t="s">
        <v>264</v>
      </c>
      <c r="H974" t="s">
        <v>14</v>
      </c>
      <c r="I974" t="s">
        <v>20</v>
      </c>
      <c r="J974" t="s">
        <v>196</v>
      </c>
      <c r="K974" t="s">
        <v>813</v>
      </c>
      <c r="L974" t="s">
        <v>799</v>
      </c>
      <c r="M974" t="s">
        <v>818</v>
      </c>
      <c r="N974">
        <v>12</v>
      </c>
      <c r="O974" s="3">
        <v>15.78</v>
      </c>
      <c r="P974" s="3">
        <v>19.72</v>
      </c>
      <c r="Q974" s="6">
        <v>0.05</v>
      </c>
      <c r="R974" s="3">
        <v>224.80799999999999</v>
      </c>
      <c r="S974" t="s">
        <v>829</v>
      </c>
    </row>
    <row r="975" spans="1:19" x14ac:dyDescent="0.35">
      <c r="A975" t="s">
        <v>2436</v>
      </c>
      <c r="B975" t="s">
        <v>603</v>
      </c>
      <c r="C975" s="5">
        <v>45727</v>
      </c>
      <c r="D975" s="5">
        <v>45733</v>
      </c>
      <c r="E975" t="s">
        <v>508</v>
      </c>
      <c r="F975" t="s">
        <v>681</v>
      </c>
      <c r="G975" t="s">
        <v>264</v>
      </c>
      <c r="H975" t="s">
        <v>797</v>
      </c>
      <c r="I975" t="s">
        <v>38</v>
      </c>
      <c r="J975" t="s">
        <v>206</v>
      </c>
      <c r="K975" t="s">
        <v>786</v>
      </c>
      <c r="L975" t="s">
        <v>822</v>
      </c>
      <c r="M975" t="s">
        <v>800</v>
      </c>
      <c r="N975">
        <v>5</v>
      </c>
      <c r="O975" s="3">
        <v>23.55</v>
      </c>
      <c r="P975" s="3">
        <v>31.79</v>
      </c>
      <c r="Q975" s="6">
        <v>0.05</v>
      </c>
      <c r="R975" s="3">
        <v>151.0025</v>
      </c>
      <c r="S975" t="s">
        <v>1001</v>
      </c>
    </row>
    <row r="976" spans="1:19" x14ac:dyDescent="0.35">
      <c r="A976" t="s">
        <v>2437</v>
      </c>
      <c r="B976" t="s">
        <v>329</v>
      </c>
      <c r="C976" s="5">
        <v>45839</v>
      </c>
      <c r="D976" s="5">
        <v>45845</v>
      </c>
      <c r="E976" t="s">
        <v>330</v>
      </c>
      <c r="F976" t="s">
        <v>637</v>
      </c>
      <c r="G976" t="s">
        <v>235</v>
      </c>
      <c r="H976" t="s">
        <v>797</v>
      </c>
      <c r="I976" t="s">
        <v>43</v>
      </c>
      <c r="J976" t="s">
        <v>75</v>
      </c>
      <c r="K976" t="s">
        <v>798</v>
      </c>
      <c r="L976" t="s">
        <v>799</v>
      </c>
      <c r="M976" t="s">
        <v>842</v>
      </c>
      <c r="N976">
        <v>1</v>
      </c>
      <c r="O976" s="3">
        <v>24.35</v>
      </c>
      <c r="P976" s="3">
        <v>34.090000000000003</v>
      </c>
      <c r="Q976" s="6">
        <v>0</v>
      </c>
      <c r="R976" s="3">
        <v>34.090000000000003</v>
      </c>
      <c r="S976" t="s">
        <v>839</v>
      </c>
    </row>
    <row r="977" spans="1:19" x14ac:dyDescent="0.35">
      <c r="A977" t="s">
        <v>2438</v>
      </c>
      <c r="B977" t="s">
        <v>405</v>
      </c>
      <c r="C977" s="5">
        <v>46016</v>
      </c>
      <c r="D977" s="5">
        <v>46021</v>
      </c>
      <c r="E977" t="s">
        <v>404</v>
      </c>
      <c r="F977" t="s">
        <v>674</v>
      </c>
      <c r="G977" t="s">
        <v>264</v>
      </c>
      <c r="H977" t="s">
        <v>14</v>
      </c>
      <c r="I977" t="s">
        <v>29</v>
      </c>
      <c r="J977" t="s">
        <v>158</v>
      </c>
      <c r="K977" t="s">
        <v>798</v>
      </c>
      <c r="L977" t="s">
        <v>799</v>
      </c>
      <c r="M977" t="s">
        <v>818</v>
      </c>
      <c r="N977">
        <v>3</v>
      </c>
      <c r="O977" s="3">
        <v>25.8</v>
      </c>
      <c r="P977" s="3">
        <v>36.119999999999997</v>
      </c>
      <c r="Q977" s="6">
        <v>0</v>
      </c>
      <c r="R977" s="3">
        <v>108.35999999999999</v>
      </c>
      <c r="S977" t="s">
        <v>845</v>
      </c>
    </row>
    <row r="978" spans="1:19" x14ac:dyDescent="0.35">
      <c r="A978" t="s">
        <v>2439</v>
      </c>
      <c r="B978" t="s">
        <v>506</v>
      </c>
      <c r="C978" s="5">
        <v>45332</v>
      </c>
      <c r="D978" s="5">
        <v>45337</v>
      </c>
      <c r="E978" t="s">
        <v>287</v>
      </c>
      <c r="F978" t="s">
        <v>696</v>
      </c>
      <c r="G978" t="s">
        <v>243</v>
      </c>
      <c r="H978" t="s">
        <v>797</v>
      </c>
      <c r="I978" t="s">
        <v>38</v>
      </c>
      <c r="J978" t="s">
        <v>126</v>
      </c>
      <c r="K978" t="s">
        <v>786</v>
      </c>
      <c r="L978" t="s">
        <v>799</v>
      </c>
      <c r="M978" t="s">
        <v>800</v>
      </c>
      <c r="N978">
        <v>1</v>
      </c>
      <c r="O978" s="3">
        <v>41.95</v>
      </c>
      <c r="P978" s="3">
        <v>58.73</v>
      </c>
      <c r="Q978" s="6">
        <v>0.05</v>
      </c>
      <c r="R978" s="3">
        <v>55.793499999999995</v>
      </c>
      <c r="S978" t="s">
        <v>1134</v>
      </c>
    </row>
    <row r="979" spans="1:19" x14ac:dyDescent="0.35">
      <c r="A979" t="s">
        <v>2440</v>
      </c>
      <c r="B979" t="s">
        <v>407</v>
      </c>
      <c r="C979" s="5">
        <v>45316</v>
      </c>
      <c r="D979" s="5">
        <v>45326</v>
      </c>
      <c r="E979" t="s">
        <v>408</v>
      </c>
      <c r="F979" t="s">
        <v>674</v>
      </c>
      <c r="G979" t="s">
        <v>235</v>
      </c>
      <c r="H979" t="s">
        <v>797</v>
      </c>
      <c r="I979" t="s">
        <v>20</v>
      </c>
      <c r="J979" t="s">
        <v>18</v>
      </c>
      <c r="K979" t="s">
        <v>798</v>
      </c>
      <c r="L979" t="s">
        <v>799</v>
      </c>
      <c r="M979" t="s">
        <v>800</v>
      </c>
      <c r="N979">
        <v>12</v>
      </c>
      <c r="O979" s="3">
        <v>21.57</v>
      </c>
      <c r="P979" s="3">
        <v>26.96</v>
      </c>
      <c r="Q979" s="6">
        <v>0.15</v>
      </c>
      <c r="R979" s="3">
        <v>274.99199999999996</v>
      </c>
      <c r="S979" t="s">
        <v>829</v>
      </c>
    </row>
    <row r="980" spans="1:19" x14ac:dyDescent="0.35">
      <c r="A980" t="s">
        <v>2441</v>
      </c>
      <c r="B980" t="s">
        <v>599</v>
      </c>
      <c r="C980" s="5">
        <v>45406</v>
      </c>
      <c r="E980" t="s">
        <v>600</v>
      </c>
      <c r="F980" t="s">
        <v>254</v>
      </c>
      <c r="G980" t="s">
        <v>243</v>
      </c>
      <c r="H980" t="s">
        <v>14</v>
      </c>
      <c r="I980" t="s">
        <v>29</v>
      </c>
      <c r="J980" t="s">
        <v>115</v>
      </c>
      <c r="K980" t="s">
        <v>798</v>
      </c>
      <c r="L980" t="s">
        <v>787</v>
      </c>
      <c r="M980" t="s">
        <v>842</v>
      </c>
      <c r="N980">
        <v>12</v>
      </c>
      <c r="O980" s="3">
        <v>34.340000000000003</v>
      </c>
      <c r="P980" s="3">
        <v>44.64</v>
      </c>
      <c r="Q980" s="6">
        <v>0</v>
      </c>
      <c r="R980" s="3">
        <v>535.68000000000006</v>
      </c>
      <c r="S980" t="s">
        <v>888</v>
      </c>
    </row>
    <row r="981" spans="1:19" x14ac:dyDescent="0.35">
      <c r="A981" t="s">
        <v>2443</v>
      </c>
      <c r="B981" t="s">
        <v>481</v>
      </c>
      <c r="C981" s="5">
        <v>45940</v>
      </c>
      <c r="D981" s="5">
        <v>45946</v>
      </c>
      <c r="E981" t="s">
        <v>482</v>
      </c>
      <c r="F981" t="s">
        <v>633</v>
      </c>
      <c r="G981" t="s">
        <v>264</v>
      </c>
      <c r="H981" t="s">
        <v>797</v>
      </c>
      <c r="I981" t="s">
        <v>43</v>
      </c>
      <c r="J981" t="s">
        <v>113</v>
      </c>
      <c r="K981" t="s">
        <v>798</v>
      </c>
      <c r="L981" t="s">
        <v>799</v>
      </c>
      <c r="M981" t="s">
        <v>818</v>
      </c>
      <c r="N981">
        <v>12</v>
      </c>
      <c r="O981" s="3">
        <v>16.91</v>
      </c>
      <c r="P981" s="3">
        <v>21.14</v>
      </c>
      <c r="Q981" s="6">
        <v>0</v>
      </c>
      <c r="R981" s="3">
        <v>253.68</v>
      </c>
      <c r="S981" t="s">
        <v>834</v>
      </c>
    </row>
    <row r="982" spans="1:19" x14ac:dyDescent="0.35">
      <c r="A982" t="s">
        <v>2444</v>
      </c>
      <c r="B982" t="s">
        <v>351</v>
      </c>
      <c r="C982" s="5">
        <v>45673</v>
      </c>
      <c r="D982" s="5">
        <v>45679</v>
      </c>
      <c r="E982" t="s">
        <v>352</v>
      </c>
      <c r="F982" t="s">
        <v>627</v>
      </c>
      <c r="G982" t="s">
        <v>264</v>
      </c>
      <c r="H982" t="s">
        <v>48</v>
      </c>
      <c r="I982" t="s">
        <v>43</v>
      </c>
      <c r="J982" t="s">
        <v>58</v>
      </c>
      <c r="K982" t="s">
        <v>798</v>
      </c>
      <c r="L982" t="s">
        <v>822</v>
      </c>
      <c r="M982" t="s">
        <v>818</v>
      </c>
      <c r="N982">
        <v>1</v>
      </c>
      <c r="O982" s="3">
        <v>11.21</v>
      </c>
      <c r="P982" s="3">
        <v>15.13</v>
      </c>
      <c r="Q982" s="6">
        <v>0.1</v>
      </c>
      <c r="R982" s="3">
        <v>13.617000000000001</v>
      </c>
      <c r="S982" t="s">
        <v>834</v>
      </c>
    </row>
    <row r="983" spans="1:19" x14ac:dyDescent="0.35">
      <c r="A983" t="s">
        <v>2445</v>
      </c>
      <c r="B983" t="s">
        <v>477</v>
      </c>
      <c r="C983" s="5">
        <v>45944</v>
      </c>
      <c r="E983" t="s">
        <v>478</v>
      </c>
      <c r="F983" t="s">
        <v>696</v>
      </c>
      <c r="G983" t="s">
        <v>243</v>
      </c>
      <c r="H983" t="s">
        <v>797</v>
      </c>
      <c r="I983" t="s">
        <v>20</v>
      </c>
      <c r="J983" t="s">
        <v>159</v>
      </c>
      <c r="K983" t="s">
        <v>786</v>
      </c>
      <c r="L983" t="s">
        <v>793</v>
      </c>
      <c r="M983" t="s">
        <v>842</v>
      </c>
      <c r="N983">
        <v>1</v>
      </c>
      <c r="O983" s="3">
        <v>8.2200000000000006</v>
      </c>
      <c r="P983" s="3">
        <v>11.1</v>
      </c>
      <c r="Q983" s="6">
        <v>0.05</v>
      </c>
      <c r="R983" s="3">
        <v>10.545</v>
      </c>
      <c r="S983" t="s">
        <v>919</v>
      </c>
    </row>
    <row r="984" spans="1:19" x14ac:dyDescent="0.35">
      <c r="A984" t="s">
        <v>2446</v>
      </c>
      <c r="B984" t="s">
        <v>405</v>
      </c>
      <c r="C984" s="5">
        <v>45488</v>
      </c>
      <c r="D984" s="5">
        <v>45496</v>
      </c>
      <c r="E984" t="s">
        <v>404</v>
      </c>
      <c r="F984" t="s">
        <v>633</v>
      </c>
      <c r="G984" t="s">
        <v>264</v>
      </c>
      <c r="H984" t="s">
        <v>14</v>
      </c>
      <c r="I984" t="s">
        <v>20</v>
      </c>
      <c r="J984" t="s">
        <v>188</v>
      </c>
      <c r="K984" t="s">
        <v>798</v>
      </c>
      <c r="L984" t="s">
        <v>799</v>
      </c>
      <c r="M984" t="s">
        <v>842</v>
      </c>
      <c r="N984">
        <v>5</v>
      </c>
      <c r="O984" s="3">
        <v>24.6</v>
      </c>
      <c r="P984" s="3">
        <v>35.67</v>
      </c>
      <c r="Q984" s="6">
        <v>0</v>
      </c>
      <c r="R984" s="3">
        <v>178.35000000000002</v>
      </c>
      <c r="S984" t="s">
        <v>803</v>
      </c>
    </row>
    <row r="985" spans="1:19" x14ac:dyDescent="0.35">
      <c r="A985" t="s">
        <v>2447</v>
      </c>
      <c r="B985" t="s">
        <v>411</v>
      </c>
      <c r="C985" s="5">
        <v>45512</v>
      </c>
      <c r="D985" s="5">
        <v>45515</v>
      </c>
      <c r="E985" t="s">
        <v>412</v>
      </c>
      <c r="F985" t="s">
        <v>681</v>
      </c>
      <c r="G985" t="s">
        <v>235</v>
      </c>
      <c r="H985" t="s">
        <v>14</v>
      </c>
      <c r="I985" t="s">
        <v>29</v>
      </c>
      <c r="J985" t="s">
        <v>115</v>
      </c>
      <c r="K985" t="s">
        <v>813</v>
      </c>
      <c r="L985" t="s">
        <v>799</v>
      </c>
      <c r="M985" t="s">
        <v>842</v>
      </c>
      <c r="N985">
        <v>12</v>
      </c>
      <c r="O985" s="3">
        <v>34.340000000000003</v>
      </c>
      <c r="P985" s="3">
        <v>44.64</v>
      </c>
      <c r="Q985" s="6">
        <v>0.1</v>
      </c>
      <c r="R985" s="3">
        <v>482.11200000000008</v>
      </c>
      <c r="S985" t="s">
        <v>935</v>
      </c>
    </row>
    <row r="986" spans="1:19" x14ac:dyDescent="0.35">
      <c r="A986" t="s">
        <v>2448</v>
      </c>
      <c r="B986" t="s">
        <v>409</v>
      </c>
      <c r="C986" s="5">
        <v>45986</v>
      </c>
      <c r="E986" t="s">
        <v>410</v>
      </c>
      <c r="F986" t="s">
        <v>254</v>
      </c>
      <c r="G986" t="s">
        <v>235</v>
      </c>
      <c r="H986" t="s">
        <v>797</v>
      </c>
      <c r="I986" t="s">
        <v>8</v>
      </c>
      <c r="J986" t="s">
        <v>23</v>
      </c>
      <c r="K986" t="s">
        <v>813</v>
      </c>
      <c r="L986" t="s">
        <v>793</v>
      </c>
      <c r="M986" t="s">
        <v>788</v>
      </c>
      <c r="N986">
        <v>10</v>
      </c>
      <c r="O986" s="3">
        <v>58.47</v>
      </c>
      <c r="P986" s="3">
        <v>84.78</v>
      </c>
      <c r="Q986" s="6">
        <v>0</v>
      </c>
      <c r="R986" s="3">
        <v>847.8</v>
      </c>
      <c r="S986" t="s">
        <v>1017</v>
      </c>
    </row>
    <row r="987" spans="1:19" x14ac:dyDescent="0.35">
      <c r="A987" t="s">
        <v>2449</v>
      </c>
      <c r="B987" t="s">
        <v>564</v>
      </c>
      <c r="C987" s="5">
        <v>45765</v>
      </c>
      <c r="D987" s="5">
        <v>45770</v>
      </c>
      <c r="E987" t="s">
        <v>526</v>
      </c>
      <c r="F987" t="s">
        <v>633</v>
      </c>
      <c r="G987" t="s">
        <v>243</v>
      </c>
      <c r="H987" t="s">
        <v>797</v>
      </c>
      <c r="I987" t="s">
        <v>8</v>
      </c>
      <c r="J987" t="s">
        <v>204</v>
      </c>
      <c r="K987" t="s">
        <v>798</v>
      </c>
      <c r="L987" t="s">
        <v>799</v>
      </c>
      <c r="M987" t="s">
        <v>788</v>
      </c>
      <c r="N987">
        <v>5</v>
      </c>
      <c r="O987" s="3">
        <v>28.27</v>
      </c>
      <c r="P987" s="3">
        <v>40.99</v>
      </c>
      <c r="Q987" s="6">
        <v>0</v>
      </c>
      <c r="R987" s="3">
        <v>204.95000000000002</v>
      </c>
      <c r="S987" t="s">
        <v>946</v>
      </c>
    </row>
    <row r="988" spans="1:19" x14ac:dyDescent="0.35">
      <c r="A988" t="s">
        <v>2451</v>
      </c>
      <c r="B988" t="s">
        <v>494</v>
      </c>
      <c r="C988" s="5">
        <v>46037</v>
      </c>
      <c r="D988" s="5">
        <v>46043</v>
      </c>
      <c r="E988" t="s">
        <v>396</v>
      </c>
      <c r="F988" t="s">
        <v>627</v>
      </c>
      <c r="G988" t="s">
        <v>243</v>
      </c>
      <c r="H988" t="s">
        <v>797</v>
      </c>
      <c r="I988" t="s">
        <v>38</v>
      </c>
      <c r="J988" t="s">
        <v>126</v>
      </c>
      <c r="K988" t="s">
        <v>798</v>
      </c>
      <c r="L988" t="s">
        <v>799</v>
      </c>
      <c r="M988" t="s">
        <v>818</v>
      </c>
      <c r="N988">
        <v>1</v>
      </c>
      <c r="O988" s="3">
        <v>41.95</v>
      </c>
      <c r="P988" s="3">
        <v>58.73</v>
      </c>
      <c r="Q988" s="6">
        <v>0.1</v>
      </c>
      <c r="R988" s="3">
        <v>52.856999999999999</v>
      </c>
      <c r="S988" t="s">
        <v>839</v>
      </c>
    </row>
    <row r="989" spans="1:19" x14ac:dyDescent="0.35">
      <c r="A989" t="s">
        <v>2452</v>
      </c>
      <c r="B989" t="s">
        <v>444</v>
      </c>
      <c r="C989" s="5">
        <v>45640</v>
      </c>
      <c r="D989" s="5">
        <v>45643</v>
      </c>
      <c r="E989" t="s">
        <v>445</v>
      </c>
      <c r="F989" t="s">
        <v>637</v>
      </c>
      <c r="G989" t="s">
        <v>264</v>
      </c>
      <c r="H989" t="s">
        <v>797</v>
      </c>
      <c r="I989" t="s">
        <v>8</v>
      </c>
      <c r="J989" t="s">
        <v>174</v>
      </c>
      <c r="K989" t="s">
        <v>798</v>
      </c>
      <c r="L989" t="s">
        <v>799</v>
      </c>
      <c r="M989" t="s">
        <v>788</v>
      </c>
      <c r="N989">
        <v>10</v>
      </c>
      <c r="O989" s="3">
        <v>32.53</v>
      </c>
      <c r="P989" s="3">
        <v>43.92</v>
      </c>
      <c r="Q989" s="6">
        <v>0.1</v>
      </c>
      <c r="R989" s="3">
        <v>395.28000000000003</v>
      </c>
      <c r="S989" t="s">
        <v>1001</v>
      </c>
    </row>
    <row r="990" spans="1:19" x14ac:dyDescent="0.35">
      <c r="A990" t="s">
        <v>2453</v>
      </c>
      <c r="B990" t="s">
        <v>403</v>
      </c>
      <c r="C990" s="5">
        <v>45981</v>
      </c>
      <c r="E990" t="s">
        <v>404</v>
      </c>
      <c r="F990" t="s">
        <v>696</v>
      </c>
      <c r="G990" t="s">
        <v>264</v>
      </c>
      <c r="H990" t="s">
        <v>797</v>
      </c>
      <c r="I990" t="s">
        <v>48</v>
      </c>
      <c r="J990" t="s">
        <v>46</v>
      </c>
      <c r="K990" t="s">
        <v>786</v>
      </c>
      <c r="L990" t="s">
        <v>817</v>
      </c>
      <c r="M990" t="s">
        <v>818</v>
      </c>
      <c r="N990">
        <v>5</v>
      </c>
      <c r="O990" s="3">
        <v>29.16</v>
      </c>
      <c r="P990" s="3">
        <v>36.450000000000003</v>
      </c>
      <c r="Q990" s="6">
        <v>0.1</v>
      </c>
      <c r="R990" s="3">
        <v>164.02500000000001</v>
      </c>
      <c r="S990" t="s">
        <v>814</v>
      </c>
    </row>
    <row r="991" spans="1:19" x14ac:dyDescent="0.35">
      <c r="A991" t="s">
        <v>2454</v>
      </c>
      <c r="B991" t="s">
        <v>605</v>
      </c>
      <c r="C991" s="5">
        <v>45377</v>
      </c>
      <c r="E991" t="s">
        <v>389</v>
      </c>
      <c r="F991" t="s">
        <v>627</v>
      </c>
      <c r="G991" t="s">
        <v>264</v>
      </c>
      <c r="H991" t="s">
        <v>797</v>
      </c>
      <c r="I991" t="s">
        <v>8</v>
      </c>
      <c r="J991" t="s">
        <v>198</v>
      </c>
      <c r="K991" t="s">
        <v>798</v>
      </c>
      <c r="L991" t="s">
        <v>793</v>
      </c>
      <c r="M991" t="s">
        <v>818</v>
      </c>
      <c r="N991">
        <v>20</v>
      </c>
      <c r="O991" s="3">
        <v>30.64</v>
      </c>
      <c r="P991" s="3">
        <v>42.9</v>
      </c>
      <c r="Q991" s="6">
        <v>0</v>
      </c>
      <c r="R991" s="3">
        <v>858</v>
      </c>
      <c r="S991" t="s">
        <v>888</v>
      </c>
    </row>
    <row r="992" spans="1:19" x14ac:dyDescent="0.35">
      <c r="A992" t="s">
        <v>2455</v>
      </c>
      <c r="B992" t="s">
        <v>359</v>
      </c>
      <c r="C992" s="5">
        <v>45931</v>
      </c>
      <c r="E992" t="s">
        <v>360</v>
      </c>
      <c r="F992" t="s">
        <v>627</v>
      </c>
      <c r="G992" t="s">
        <v>235</v>
      </c>
      <c r="H992" t="s">
        <v>797</v>
      </c>
      <c r="I992" t="s">
        <v>48</v>
      </c>
      <c r="J992" t="s">
        <v>202</v>
      </c>
      <c r="K992" t="s">
        <v>798</v>
      </c>
      <c r="L992" t="s">
        <v>817</v>
      </c>
      <c r="M992" t="s">
        <v>842</v>
      </c>
      <c r="N992">
        <v>20</v>
      </c>
      <c r="O992" s="3">
        <v>27</v>
      </c>
      <c r="P992" s="3">
        <v>39.15</v>
      </c>
      <c r="Q992" s="6">
        <v>0</v>
      </c>
      <c r="R992" s="3">
        <v>783</v>
      </c>
      <c r="S992" t="s">
        <v>790</v>
      </c>
    </row>
    <row r="993" spans="1:19" x14ac:dyDescent="0.35">
      <c r="A993" t="s">
        <v>2456</v>
      </c>
      <c r="B993" t="s">
        <v>395</v>
      </c>
      <c r="C993" s="5">
        <v>46053</v>
      </c>
      <c r="D993" s="5">
        <v>46057</v>
      </c>
      <c r="E993" t="s">
        <v>396</v>
      </c>
      <c r="F993" t="s">
        <v>696</v>
      </c>
      <c r="G993" t="s">
        <v>264</v>
      </c>
      <c r="H993" t="s">
        <v>48</v>
      </c>
      <c r="I993" t="s">
        <v>29</v>
      </c>
      <c r="J993" t="s">
        <v>121</v>
      </c>
      <c r="K993" t="s">
        <v>813</v>
      </c>
      <c r="L993" t="s">
        <v>799</v>
      </c>
      <c r="M993" t="s">
        <v>842</v>
      </c>
      <c r="N993">
        <v>2</v>
      </c>
      <c r="O993" s="3">
        <v>15.46</v>
      </c>
      <c r="P993" s="3">
        <v>22.42</v>
      </c>
      <c r="Q993" s="6">
        <v>0</v>
      </c>
      <c r="R993" s="3">
        <v>44.84</v>
      </c>
      <c r="S993" t="s">
        <v>935</v>
      </c>
    </row>
    <row r="994" spans="1:19" x14ac:dyDescent="0.35">
      <c r="A994" t="s">
        <v>2457</v>
      </c>
      <c r="B994" t="s">
        <v>541</v>
      </c>
      <c r="C994" s="5">
        <v>45508</v>
      </c>
      <c r="D994" s="5">
        <v>45514</v>
      </c>
      <c r="E994" t="s">
        <v>542</v>
      </c>
      <c r="F994" t="s">
        <v>633</v>
      </c>
      <c r="G994" t="s">
        <v>235</v>
      </c>
      <c r="H994" t="s">
        <v>797</v>
      </c>
      <c r="I994" t="s">
        <v>29</v>
      </c>
      <c r="J994" t="s">
        <v>183</v>
      </c>
      <c r="K994" t="s">
        <v>813</v>
      </c>
      <c r="L994" t="s">
        <v>799</v>
      </c>
      <c r="M994" t="s">
        <v>818</v>
      </c>
      <c r="N994">
        <v>2</v>
      </c>
      <c r="O994" s="3">
        <v>10.97</v>
      </c>
      <c r="P994" s="3">
        <v>15.91</v>
      </c>
      <c r="Q994" s="6">
        <v>0.1</v>
      </c>
      <c r="R994" s="3">
        <v>28.637999999999998</v>
      </c>
      <c r="S994" t="s">
        <v>876</v>
      </c>
    </row>
    <row r="995" spans="1:19" x14ac:dyDescent="0.35">
      <c r="A995" t="s">
        <v>2458</v>
      </c>
      <c r="B995" t="s">
        <v>552</v>
      </c>
      <c r="C995" s="5">
        <v>45514</v>
      </c>
      <c r="E995" t="s">
        <v>553</v>
      </c>
      <c r="F995" t="s">
        <v>633</v>
      </c>
      <c r="G995" t="s">
        <v>235</v>
      </c>
      <c r="H995" t="s">
        <v>797</v>
      </c>
      <c r="I995" t="s">
        <v>8</v>
      </c>
      <c r="J995" t="s">
        <v>10</v>
      </c>
      <c r="K995" t="s">
        <v>798</v>
      </c>
      <c r="L995" t="s">
        <v>787</v>
      </c>
      <c r="M995" t="s">
        <v>800</v>
      </c>
      <c r="N995">
        <v>12</v>
      </c>
      <c r="O995" s="3">
        <v>22.74</v>
      </c>
      <c r="P995" s="3">
        <v>28.42</v>
      </c>
      <c r="Q995" s="6">
        <v>0.1</v>
      </c>
      <c r="R995" s="3">
        <v>306.93600000000004</v>
      </c>
      <c r="S995" t="s">
        <v>790</v>
      </c>
    </row>
    <row r="996" spans="1:19" x14ac:dyDescent="0.35">
      <c r="A996" t="s">
        <v>2459</v>
      </c>
      <c r="B996" t="s">
        <v>388</v>
      </c>
      <c r="C996" s="5">
        <v>45837</v>
      </c>
      <c r="E996" t="s">
        <v>389</v>
      </c>
      <c r="F996" t="s">
        <v>637</v>
      </c>
      <c r="G996" t="s">
        <v>243</v>
      </c>
      <c r="H996" t="s">
        <v>797</v>
      </c>
      <c r="I996" t="s">
        <v>38</v>
      </c>
      <c r="J996" t="s">
        <v>80</v>
      </c>
      <c r="K996" t="s">
        <v>786</v>
      </c>
      <c r="L996" t="s">
        <v>793</v>
      </c>
      <c r="M996" t="s">
        <v>818</v>
      </c>
      <c r="N996">
        <v>1</v>
      </c>
      <c r="O996" s="3">
        <v>38.57</v>
      </c>
      <c r="P996" s="3">
        <v>48.21</v>
      </c>
      <c r="Q996" s="6">
        <v>0</v>
      </c>
      <c r="R996" s="3">
        <v>48.21</v>
      </c>
      <c r="S996" t="s">
        <v>810</v>
      </c>
    </row>
    <row r="997" spans="1:19" x14ac:dyDescent="0.35">
      <c r="A997" t="s">
        <v>2460</v>
      </c>
      <c r="B997" t="s">
        <v>230</v>
      </c>
      <c r="C997" s="5">
        <v>45701</v>
      </c>
      <c r="D997" s="5">
        <v>45708</v>
      </c>
      <c r="E997" t="s">
        <v>231</v>
      </c>
      <c r="F997" t="s">
        <v>627</v>
      </c>
      <c r="G997" t="s">
        <v>235</v>
      </c>
      <c r="H997" t="s">
        <v>20</v>
      </c>
      <c r="I997" t="s">
        <v>38</v>
      </c>
      <c r="J997" t="s">
        <v>132</v>
      </c>
      <c r="K997" t="s">
        <v>786</v>
      </c>
      <c r="L997" t="s">
        <v>799</v>
      </c>
      <c r="M997" t="s">
        <v>842</v>
      </c>
      <c r="N997">
        <v>5</v>
      </c>
      <c r="O997" s="3">
        <v>12.71</v>
      </c>
      <c r="P997" s="3">
        <v>17.79</v>
      </c>
      <c r="Q997" s="6">
        <v>0.05</v>
      </c>
      <c r="R997" s="3">
        <v>84.502499999999984</v>
      </c>
      <c r="S997" t="s">
        <v>803</v>
      </c>
    </row>
    <row r="998" spans="1:19" x14ac:dyDescent="0.35">
      <c r="A998" t="s">
        <v>2461</v>
      </c>
      <c r="B998" t="s">
        <v>370</v>
      </c>
      <c r="C998" s="5">
        <v>45720</v>
      </c>
      <c r="D998" s="5">
        <v>45727</v>
      </c>
      <c r="E998" t="s">
        <v>371</v>
      </c>
      <c r="F998" t="s">
        <v>681</v>
      </c>
      <c r="G998" t="s">
        <v>264</v>
      </c>
      <c r="H998" t="s">
        <v>797</v>
      </c>
      <c r="I998" t="s">
        <v>48</v>
      </c>
      <c r="J998" t="s">
        <v>61</v>
      </c>
      <c r="K998" t="s">
        <v>798</v>
      </c>
      <c r="L998" t="s">
        <v>799</v>
      </c>
      <c r="M998" t="s">
        <v>842</v>
      </c>
      <c r="N998">
        <v>2</v>
      </c>
      <c r="O998" s="3">
        <v>26.08</v>
      </c>
      <c r="P998" s="3">
        <v>35.21</v>
      </c>
      <c r="Q998" s="6">
        <v>0.1</v>
      </c>
      <c r="R998" s="3">
        <v>63.378</v>
      </c>
      <c r="S998" t="s">
        <v>803</v>
      </c>
    </row>
    <row r="999" spans="1:19" x14ac:dyDescent="0.35">
      <c r="A999" t="s">
        <v>2462</v>
      </c>
      <c r="B999" t="s">
        <v>556</v>
      </c>
      <c r="C999" s="5">
        <v>45315</v>
      </c>
      <c r="D999" s="5">
        <v>45322</v>
      </c>
      <c r="E999" t="s">
        <v>472</v>
      </c>
      <c r="F999" t="s">
        <v>674</v>
      </c>
      <c r="G999" t="s">
        <v>235</v>
      </c>
      <c r="H999" t="s">
        <v>797</v>
      </c>
      <c r="I999" t="s">
        <v>29</v>
      </c>
      <c r="J999" t="s">
        <v>106</v>
      </c>
      <c r="K999" t="s">
        <v>798</v>
      </c>
      <c r="L999" t="s">
        <v>799</v>
      </c>
      <c r="M999" t="s">
        <v>800</v>
      </c>
      <c r="N999">
        <v>5</v>
      </c>
      <c r="O999" s="3">
        <v>29.64</v>
      </c>
      <c r="P999" s="3">
        <v>41.5</v>
      </c>
      <c r="Q999" s="6">
        <v>0</v>
      </c>
      <c r="R999" s="3">
        <v>207.5</v>
      </c>
      <c r="S999" t="s">
        <v>946</v>
      </c>
    </row>
    <row r="1000" spans="1:19" x14ac:dyDescent="0.35">
      <c r="A1000" t="s">
        <v>2463</v>
      </c>
      <c r="B1000" t="s">
        <v>372</v>
      </c>
      <c r="C1000" s="5">
        <v>45857</v>
      </c>
      <c r="D1000" s="5">
        <v>45861</v>
      </c>
      <c r="E1000" t="s">
        <v>373</v>
      </c>
      <c r="F1000" t="s">
        <v>637</v>
      </c>
      <c r="G1000" t="s">
        <v>235</v>
      </c>
      <c r="H1000" t="s">
        <v>48</v>
      </c>
      <c r="I1000" t="s">
        <v>79</v>
      </c>
      <c r="J1000" t="s">
        <v>220</v>
      </c>
      <c r="K1000" t="s">
        <v>798</v>
      </c>
      <c r="L1000" t="s">
        <v>799</v>
      </c>
      <c r="M1000" t="s">
        <v>788</v>
      </c>
      <c r="N1000">
        <v>3</v>
      </c>
      <c r="O1000" s="3">
        <v>46</v>
      </c>
      <c r="P1000" s="3">
        <v>62.1</v>
      </c>
      <c r="Q1000" s="6">
        <v>0</v>
      </c>
      <c r="R1000" s="3">
        <v>186.3</v>
      </c>
      <c r="S1000" t="s">
        <v>819</v>
      </c>
    </row>
    <row r="1001" spans="1:19" x14ac:dyDescent="0.35">
      <c r="A1001" t="s">
        <v>2464</v>
      </c>
      <c r="B1001" t="s">
        <v>421</v>
      </c>
      <c r="C1001" s="5">
        <v>45622</v>
      </c>
      <c r="D1001" s="5">
        <v>45630</v>
      </c>
      <c r="E1001" t="s">
        <v>422</v>
      </c>
      <c r="F1001" t="s">
        <v>254</v>
      </c>
      <c r="G1001" t="s">
        <v>235</v>
      </c>
      <c r="H1001" t="s">
        <v>20</v>
      </c>
      <c r="I1001" t="s">
        <v>43</v>
      </c>
      <c r="J1001" t="s">
        <v>58</v>
      </c>
      <c r="K1001" t="s">
        <v>798</v>
      </c>
      <c r="L1001" t="s">
        <v>799</v>
      </c>
      <c r="M1001" t="s">
        <v>788</v>
      </c>
      <c r="N1001">
        <v>2</v>
      </c>
      <c r="O1001" s="3">
        <v>11.21</v>
      </c>
      <c r="P1001" s="3">
        <v>15.13</v>
      </c>
      <c r="Q1001" s="6">
        <v>0.15</v>
      </c>
      <c r="R1001" s="3">
        <v>25.721000000000004</v>
      </c>
      <c r="S1001" t="s">
        <v>946</v>
      </c>
    </row>
    <row r="1002" spans="1:19" x14ac:dyDescent="0.35">
      <c r="A1002" t="s">
        <v>2465</v>
      </c>
      <c r="B1002" t="s">
        <v>495</v>
      </c>
      <c r="C1002" s="5">
        <v>45539</v>
      </c>
      <c r="D1002" s="5">
        <v>45541</v>
      </c>
      <c r="E1002" t="s">
        <v>496</v>
      </c>
      <c r="F1002" t="s">
        <v>627</v>
      </c>
      <c r="G1002" t="s">
        <v>264</v>
      </c>
      <c r="H1002" t="s">
        <v>14</v>
      </c>
      <c r="I1002" t="s">
        <v>14</v>
      </c>
      <c r="J1002" t="s">
        <v>60</v>
      </c>
      <c r="K1002" t="s">
        <v>786</v>
      </c>
      <c r="L1002" t="s">
        <v>799</v>
      </c>
      <c r="M1002" t="s">
        <v>788</v>
      </c>
      <c r="N1002">
        <v>10</v>
      </c>
      <c r="O1002" s="3">
        <v>18.18</v>
      </c>
      <c r="P1002" s="3">
        <v>24.54</v>
      </c>
      <c r="Q1002" s="6">
        <v>0</v>
      </c>
      <c r="R1002" s="3">
        <v>245.39999999999998</v>
      </c>
      <c r="S1002" t="s">
        <v>845</v>
      </c>
    </row>
    <row r="1003" spans="1:19" x14ac:dyDescent="0.35">
      <c r="A1003" t="s">
        <v>2466</v>
      </c>
      <c r="B1003" t="s">
        <v>580</v>
      </c>
      <c r="C1003" s="5">
        <v>45299</v>
      </c>
      <c r="D1003" s="5">
        <v>45304</v>
      </c>
      <c r="E1003" t="s">
        <v>581</v>
      </c>
      <c r="F1003" t="s">
        <v>681</v>
      </c>
      <c r="G1003" t="s">
        <v>235</v>
      </c>
      <c r="H1003" t="s">
        <v>797</v>
      </c>
      <c r="I1003" t="s">
        <v>48</v>
      </c>
      <c r="J1003" t="s">
        <v>217</v>
      </c>
      <c r="K1003" t="s">
        <v>798</v>
      </c>
      <c r="L1003" t="s">
        <v>799</v>
      </c>
      <c r="M1003" t="s">
        <v>818</v>
      </c>
      <c r="N1003">
        <v>1</v>
      </c>
      <c r="O1003" s="3">
        <v>24.07</v>
      </c>
      <c r="P1003" s="3">
        <v>34.9</v>
      </c>
      <c r="Q1003" s="6">
        <v>0</v>
      </c>
      <c r="R1003" s="3">
        <v>34.9</v>
      </c>
      <c r="S1003" t="s">
        <v>876</v>
      </c>
    </row>
    <row r="1004" spans="1:19" x14ac:dyDescent="0.35">
      <c r="A1004" t="s">
        <v>2467</v>
      </c>
      <c r="B1004" t="s">
        <v>334</v>
      </c>
      <c r="C1004" s="5">
        <v>46025</v>
      </c>
      <c r="D1004" s="5">
        <v>46026</v>
      </c>
      <c r="E1004" t="s">
        <v>335</v>
      </c>
      <c r="F1004" t="s">
        <v>681</v>
      </c>
      <c r="G1004" t="s">
        <v>243</v>
      </c>
      <c r="H1004" t="s">
        <v>20</v>
      </c>
      <c r="I1004" t="s">
        <v>14</v>
      </c>
      <c r="J1004" t="s">
        <v>25</v>
      </c>
      <c r="K1004" t="s">
        <v>798</v>
      </c>
      <c r="L1004" t="s">
        <v>799</v>
      </c>
      <c r="M1004" t="s">
        <v>842</v>
      </c>
      <c r="N1004">
        <v>1</v>
      </c>
      <c r="O1004" s="3">
        <v>18.95</v>
      </c>
      <c r="P1004" s="3">
        <v>25.58</v>
      </c>
      <c r="Q1004" s="6">
        <v>0.05</v>
      </c>
      <c r="R1004" s="3">
        <v>24.300999999999998</v>
      </c>
      <c r="S1004" t="s">
        <v>819</v>
      </c>
    </row>
    <row r="1005" spans="1:19" x14ac:dyDescent="0.35">
      <c r="A1005" t="s">
        <v>2468</v>
      </c>
      <c r="B1005" t="s">
        <v>596</v>
      </c>
      <c r="C1005" s="5">
        <v>45591</v>
      </c>
      <c r="D1005" s="5">
        <v>45593</v>
      </c>
      <c r="E1005" t="s">
        <v>443</v>
      </c>
      <c r="F1005" t="s">
        <v>637</v>
      </c>
      <c r="G1005" t="s">
        <v>264</v>
      </c>
      <c r="H1005" t="s">
        <v>797</v>
      </c>
      <c r="I1005" t="s">
        <v>79</v>
      </c>
      <c r="J1005" t="s">
        <v>166</v>
      </c>
      <c r="K1005" t="s">
        <v>798</v>
      </c>
      <c r="L1005" t="s">
        <v>822</v>
      </c>
      <c r="M1005" t="s">
        <v>818</v>
      </c>
      <c r="N1005">
        <v>3</v>
      </c>
      <c r="O1005" s="3">
        <v>15.73</v>
      </c>
      <c r="P1005" s="3">
        <v>19.66</v>
      </c>
      <c r="Q1005" s="6">
        <v>0.05</v>
      </c>
      <c r="R1005" s="3">
        <v>56.031000000000006</v>
      </c>
      <c r="S1005" t="s">
        <v>919</v>
      </c>
    </row>
    <row r="1006" spans="1:19" x14ac:dyDescent="0.35">
      <c r="A1006" t="s">
        <v>2469</v>
      </c>
      <c r="B1006" t="s">
        <v>609</v>
      </c>
      <c r="C1006" s="5">
        <v>45441</v>
      </c>
      <c r="D1006" s="5">
        <v>45447</v>
      </c>
      <c r="E1006" t="s">
        <v>610</v>
      </c>
      <c r="F1006" t="s">
        <v>637</v>
      </c>
      <c r="H1006" t="s">
        <v>14</v>
      </c>
      <c r="I1006" t="s">
        <v>79</v>
      </c>
      <c r="J1006" t="s">
        <v>184</v>
      </c>
      <c r="K1006" t="s">
        <v>786</v>
      </c>
      <c r="L1006" t="s">
        <v>799</v>
      </c>
      <c r="M1006" t="s">
        <v>800</v>
      </c>
      <c r="N1006">
        <v>10</v>
      </c>
      <c r="O1006" s="3">
        <v>28.87</v>
      </c>
      <c r="P1006" s="3">
        <v>40.42</v>
      </c>
      <c r="Q1006" s="6">
        <v>0.05</v>
      </c>
      <c r="R1006" s="3">
        <v>383.99000000000007</v>
      </c>
      <c r="S1006" t="s">
        <v>825</v>
      </c>
    </row>
    <row r="1007" spans="1:19" x14ac:dyDescent="0.35">
      <c r="A1007" t="s">
        <v>2470</v>
      </c>
      <c r="B1007" t="s">
        <v>502</v>
      </c>
      <c r="C1007" s="5">
        <v>45437</v>
      </c>
      <c r="D1007" s="5">
        <v>45441</v>
      </c>
      <c r="E1007" t="s">
        <v>503</v>
      </c>
      <c r="F1007" t="s">
        <v>674</v>
      </c>
      <c r="G1007" t="s">
        <v>235</v>
      </c>
      <c r="H1007" t="s">
        <v>797</v>
      </c>
      <c r="I1007" t="s">
        <v>14</v>
      </c>
      <c r="J1007" t="s">
        <v>152</v>
      </c>
      <c r="K1007" t="s">
        <v>798</v>
      </c>
      <c r="L1007" t="s">
        <v>799</v>
      </c>
      <c r="M1007" t="s">
        <v>818</v>
      </c>
      <c r="N1007">
        <v>10</v>
      </c>
      <c r="O1007" s="3">
        <v>38.549999999999997</v>
      </c>
      <c r="P1007" s="3">
        <v>53.97</v>
      </c>
      <c r="Q1007" s="6">
        <v>0.15</v>
      </c>
      <c r="R1007" s="3">
        <v>458.74500000000006</v>
      </c>
      <c r="S1007" t="s">
        <v>819</v>
      </c>
    </row>
    <row r="1008" spans="1:19" x14ac:dyDescent="0.35">
      <c r="A1008" t="s">
        <v>2471</v>
      </c>
      <c r="B1008" t="s">
        <v>421</v>
      </c>
      <c r="C1008" s="5">
        <v>45558</v>
      </c>
      <c r="D1008" s="5">
        <v>45561</v>
      </c>
      <c r="E1008" t="s">
        <v>422</v>
      </c>
      <c r="F1008" t="s">
        <v>681</v>
      </c>
      <c r="G1008" t="s">
        <v>235</v>
      </c>
      <c r="H1008" t="s">
        <v>797</v>
      </c>
      <c r="I1008" t="s">
        <v>14</v>
      </c>
      <c r="J1008" t="s">
        <v>67</v>
      </c>
      <c r="K1008" t="s">
        <v>786</v>
      </c>
      <c r="L1008" t="s">
        <v>799</v>
      </c>
      <c r="M1008" t="s">
        <v>800</v>
      </c>
      <c r="N1008">
        <v>12</v>
      </c>
      <c r="O1008" s="3">
        <v>17.63</v>
      </c>
      <c r="P1008" s="3">
        <v>22.92</v>
      </c>
      <c r="Q1008" s="6">
        <v>0.1</v>
      </c>
      <c r="R1008" s="3">
        <v>247.536</v>
      </c>
      <c r="S1008" t="s">
        <v>829</v>
      </c>
    </row>
    <row r="1009" spans="1:19" x14ac:dyDescent="0.35">
      <c r="A1009" t="s">
        <v>2472</v>
      </c>
      <c r="B1009" t="s">
        <v>418</v>
      </c>
      <c r="C1009" s="5">
        <v>45443</v>
      </c>
      <c r="E1009" t="s">
        <v>253</v>
      </c>
      <c r="F1009" t="s">
        <v>254</v>
      </c>
      <c r="G1009" t="s">
        <v>264</v>
      </c>
      <c r="H1009" t="s">
        <v>797</v>
      </c>
      <c r="I1009" t="s">
        <v>48</v>
      </c>
      <c r="J1009" t="s">
        <v>54</v>
      </c>
      <c r="K1009" t="s">
        <v>798</v>
      </c>
      <c r="L1009" t="s">
        <v>793</v>
      </c>
      <c r="M1009" t="s">
        <v>800</v>
      </c>
      <c r="N1009">
        <v>10</v>
      </c>
      <c r="O1009" s="3">
        <v>21.67</v>
      </c>
      <c r="P1009" s="3">
        <v>28.17</v>
      </c>
      <c r="Q1009" s="6">
        <v>0</v>
      </c>
      <c r="R1009" s="3">
        <v>281.70000000000005</v>
      </c>
      <c r="S1009" t="s">
        <v>1001</v>
      </c>
    </row>
    <row r="1010" spans="1:19" x14ac:dyDescent="0.35">
      <c r="A1010" t="s">
        <v>2473</v>
      </c>
      <c r="B1010" t="s">
        <v>564</v>
      </c>
      <c r="C1010" s="5">
        <v>45454</v>
      </c>
      <c r="E1010" t="s">
        <v>526</v>
      </c>
      <c r="F1010" t="s">
        <v>633</v>
      </c>
      <c r="G1010" t="s">
        <v>243</v>
      </c>
      <c r="H1010" t="s">
        <v>14</v>
      </c>
      <c r="I1010" t="s">
        <v>14</v>
      </c>
      <c r="J1010" t="s">
        <v>12</v>
      </c>
      <c r="K1010" t="s">
        <v>798</v>
      </c>
      <c r="L1010" t="s">
        <v>793</v>
      </c>
      <c r="M1010" t="s">
        <v>788</v>
      </c>
      <c r="N1010">
        <v>5</v>
      </c>
      <c r="O1010" s="3">
        <v>35.03</v>
      </c>
      <c r="P1010" s="3">
        <v>50.79</v>
      </c>
      <c r="Q1010" s="6">
        <v>0</v>
      </c>
      <c r="R1010" s="3">
        <v>253.95</v>
      </c>
      <c r="S1010" t="s">
        <v>946</v>
      </c>
    </row>
    <row r="1011" spans="1:19" x14ac:dyDescent="0.35">
      <c r="A1011" t="s">
        <v>2475</v>
      </c>
      <c r="B1011" t="s">
        <v>403</v>
      </c>
      <c r="C1011" s="5">
        <v>45591</v>
      </c>
      <c r="D1011" s="5">
        <v>45596</v>
      </c>
      <c r="E1011" t="s">
        <v>404</v>
      </c>
      <c r="F1011" t="s">
        <v>681</v>
      </c>
      <c r="G1011" t="s">
        <v>264</v>
      </c>
      <c r="H1011" t="s">
        <v>797</v>
      </c>
      <c r="I1011" t="s">
        <v>20</v>
      </c>
      <c r="J1011" t="s">
        <v>197</v>
      </c>
      <c r="K1011" t="s">
        <v>786</v>
      </c>
      <c r="L1011" t="s">
        <v>799</v>
      </c>
      <c r="M1011" t="s">
        <v>788</v>
      </c>
      <c r="N1011">
        <v>10</v>
      </c>
      <c r="O1011" s="3">
        <v>22.45</v>
      </c>
      <c r="P1011" s="3">
        <v>29.18</v>
      </c>
      <c r="Q1011" s="6">
        <v>0.1</v>
      </c>
      <c r="R1011" s="3">
        <v>262.62</v>
      </c>
      <c r="S1011" t="s">
        <v>839</v>
      </c>
    </row>
    <row r="1012" spans="1:19" x14ac:dyDescent="0.35">
      <c r="A1012" t="s">
        <v>2476</v>
      </c>
      <c r="B1012" t="s">
        <v>604</v>
      </c>
      <c r="C1012" s="5">
        <v>45664</v>
      </c>
      <c r="D1012" s="5">
        <v>45667</v>
      </c>
      <c r="E1012" t="s">
        <v>431</v>
      </c>
      <c r="F1012" t="s">
        <v>637</v>
      </c>
      <c r="G1012" t="s">
        <v>243</v>
      </c>
      <c r="H1012" t="s">
        <v>48</v>
      </c>
      <c r="I1012" t="s">
        <v>8</v>
      </c>
      <c r="J1012" t="s">
        <v>21</v>
      </c>
      <c r="K1012" t="s">
        <v>798</v>
      </c>
      <c r="L1012" t="s">
        <v>799</v>
      </c>
      <c r="M1012" t="s">
        <v>788</v>
      </c>
      <c r="N1012">
        <v>3</v>
      </c>
      <c r="O1012" s="3">
        <v>21.57</v>
      </c>
      <c r="P1012" s="3">
        <v>26.96</v>
      </c>
      <c r="Q1012" s="6">
        <v>0</v>
      </c>
      <c r="R1012" s="3">
        <v>80.88</v>
      </c>
      <c r="S1012" t="s">
        <v>869</v>
      </c>
    </row>
    <row r="1013" spans="1:19" x14ac:dyDescent="0.35">
      <c r="A1013" t="s">
        <v>2477</v>
      </c>
      <c r="B1013" t="s">
        <v>430</v>
      </c>
      <c r="C1013" s="5">
        <v>45893</v>
      </c>
      <c r="D1013" s="5">
        <v>45896</v>
      </c>
      <c r="E1013" t="s">
        <v>431</v>
      </c>
      <c r="F1013" t="s">
        <v>627</v>
      </c>
      <c r="G1013" t="s">
        <v>264</v>
      </c>
      <c r="H1013" t="s">
        <v>797</v>
      </c>
      <c r="I1013" t="s">
        <v>8</v>
      </c>
      <c r="J1013" t="s">
        <v>21</v>
      </c>
      <c r="K1013" t="s">
        <v>786</v>
      </c>
      <c r="L1013" t="s">
        <v>799</v>
      </c>
      <c r="M1013" t="s">
        <v>788</v>
      </c>
      <c r="N1013">
        <v>10</v>
      </c>
      <c r="O1013" s="3">
        <v>21.57</v>
      </c>
      <c r="P1013" s="3">
        <v>26.96</v>
      </c>
      <c r="Q1013" s="6">
        <v>0.1</v>
      </c>
      <c r="R1013" s="3">
        <v>242.64000000000001</v>
      </c>
      <c r="S1013" t="s">
        <v>819</v>
      </c>
    </row>
    <row r="1014" spans="1:19" x14ac:dyDescent="0.35">
      <c r="A1014" t="s">
        <v>2478</v>
      </c>
      <c r="B1014" t="s">
        <v>248</v>
      </c>
      <c r="C1014" s="5">
        <v>45787</v>
      </c>
      <c r="E1014" t="s">
        <v>249</v>
      </c>
      <c r="F1014" t="s">
        <v>681</v>
      </c>
      <c r="H1014" t="s">
        <v>48</v>
      </c>
      <c r="I1014" t="s">
        <v>14</v>
      </c>
      <c r="J1014" t="s">
        <v>30</v>
      </c>
      <c r="K1014" t="s">
        <v>798</v>
      </c>
      <c r="L1014" t="s">
        <v>793</v>
      </c>
      <c r="M1014" t="s">
        <v>788</v>
      </c>
      <c r="N1014">
        <v>3</v>
      </c>
      <c r="O1014" s="3">
        <v>19.010000000000002</v>
      </c>
      <c r="P1014" s="3">
        <v>27.56</v>
      </c>
      <c r="Q1014" s="6">
        <v>0</v>
      </c>
      <c r="R1014" s="3">
        <v>82.679999999999993</v>
      </c>
      <c r="S1014" t="s">
        <v>1017</v>
      </c>
    </row>
    <row r="1015" spans="1:19" x14ac:dyDescent="0.35">
      <c r="A1015" t="s">
        <v>2479</v>
      </c>
      <c r="B1015" t="s">
        <v>570</v>
      </c>
      <c r="C1015" s="5">
        <v>45915</v>
      </c>
      <c r="D1015" s="5">
        <v>45919</v>
      </c>
      <c r="E1015" t="s">
        <v>435</v>
      </c>
      <c r="F1015" t="s">
        <v>674</v>
      </c>
      <c r="G1015" t="s">
        <v>264</v>
      </c>
      <c r="H1015" t="s">
        <v>797</v>
      </c>
      <c r="I1015" t="s">
        <v>14</v>
      </c>
      <c r="J1015" t="s">
        <v>152</v>
      </c>
      <c r="K1015" t="s">
        <v>798</v>
      </c>
      <c r="L1015" t="s">
        <v>822</v>
      </c>
      <c r="M1015" t="s">
        <v>842</v>
      </c>
      <c r="N1015">
        <v>5</v>
      </c>
      <c r="O1015" s="3">
        <v>38.549999999999997</v>
      </c>
      <c r="P1015" s="3">
        <v>53.97</v>
      </c>
      <c r="Q1015" s="6">
        <v>0.15</v>
      </c>
      <c r="R1015" s="3">
        <v>229.37250000000003</v>
      </c>
      <c r="S1015" t="s">
        <v>892</v>
      </c>
    </row>
    <row r="1016" spans="1:19" x14ac:dyDescent="0.35">
      <c r="A1016" t="s">
        <v>2480</v>
      </c>
      <c r="B1016" t="s">
        <v>452</v>
      </c>
      <c r="C1016" s="5">
        <v>46051</v>
      </c>
      <c r="D1016" s="5">
        <v>46060</v>
      </c>
      <c r="E1016" t="s">
        <v>420</v>
      </c>
      <c r="F1016" t="s">
        <v>681</v>
      </c>
      <c r="G1016" t="s">
        <v>264</v>
      </c>
      <c r="H1016" t="s">
        <v>797</v>
      </c>
      <c r="I1016" t="s">
        <v>43</v>
      </c>
      <c r="J1016" t="s">
        <v>53</v>
      </c>
      <c r="K1016" t="s">
        <v>798</v>
      </c>
      <c r="L1016" t="s">
        <v>822</v>
      </c>
      <c r="M1016" t="s">
        <v>842</v>
      </c>
      <c r="N1016">
        <v>5</v>
      </c>
      <c r="O1016" s="3">
        <v>54.93</v>
      </c>
      <c r="P1016" s="3">
        <v>79.650000000000006</v>
      </c>
      <c r="Q1016" s="6">
        <v>0</v>
      </c>
      <c r="R1016" s="3">
        <v>398.25</v>
      </c>
      <c r="S1016" t="s">
        <v>790</v>
      </c>
    </row>
    <row r="1017" spans="1:19" x14ac:dyDescent="0.35">
      <c r="A1017" t="s">
        <v>2481</v>
      </c>
      <c r="B1017" t="s">
        <v>310</v>
      </c>
      <c r="C1017" s="5">
        <v>46051</v>
      </c>
      <c r="E1017" t="s">
        <v>311</v>
      </c>
      <c r="F1017" t="s">
        <v>637</v>
      </c>
      <c r="G1017" t="s">
        <v>264</v>
      </c>
      <c r="H1017" t="s">
        <v>797</v>
      </c>
      <c r="I1017" t="s">
        <v>20</v>
      </c>
      <c r="J1017" t="s">
        <v>51</v>
      </c>
      <c r="K1017" t="s">
        <v>798</v>
      </c>
      <c r="L1017" t="s">
        <v>793</v>
      </c>
      <c r="M1017" t="s">
        <v>800</v>
      </c>
      <c r="N1017">
        <v>20</v>
      </c>
      <c r="O1017" s="3">
        <v>11.28</v>
      </c>
      <c r="P1017" s="3">
        <v>15.23</v>
      </c>
      <c r="Q1017" s="6">
        <v>0.15</v>
      </c>
      <c r="R1017" s="3">
        <v>258.91000000000003</v>
      </c>
      <c r="S1017" t="s">
        <v>810</v>
      </c>
    </row>
    <row r="1018" spans="1:19" x14ac:dyDescent="0.35">
      <c r="A1018" t="s">
        <v>2482</v>
      </c>
      <c r="B1018" t="s">
        <v>398</v>
      </c>
      <c r="C1018" s="5">
        <v>45998</v>
      </c>
      <c r="E1018" t="s">
        <v>399</v>
      </c>
      <c r="F1018" t="s">
        <v>674</v>
      </c>
      <c r="G1018" t="s">
        <v>264</v>
      </c>
      <c r="H1018" t="s">
        <v>14</v>
      </c>
      <c r="I1018" t="s">
        <v>14</v>
      </c>
      <c r="J1018" t="s">
        <v>67</v>
      </c>
      <c r="K1018" t="s">
        <v>798</v>
      </c>
      <c r="L1018" t="s">
        <v>787</v>
      </c>
      <c r="M1018" t="s">
        <v>800</v>
      </c>
      <c r="N1018">
        <v>1</v>
      </c>
      <c r="O1018" s="3">
        <v>17.63</v>
      </c>
      <c r="P1018" s="3">
        <v>22.92</v>
      </c>
      <c r="Q1018" s="6">
        <v>0.1</v>
      </c>
      <c r="R1018" s="3">
        <v>20.628</v>
      </c>
      <c r="S1018" t="s">
        <v>1017</v>
      </c>
    </row>
    <row r="1019" spans="1:19" x14ac:dyDescent="0.35">
      <c r="A1019" t="s">
        <v>2483</v>
      </c>
      <c r="B1019" t="s">
        <v>599</v>
      </c>
      <c r="C1019" s="5">
        <v>45385</v>
      </c>
      <c r="E1019" t="s">
        <v>600</v>
      </c>
      <c r="F1019" t="s">
        <v>637</v>
      </c>
      <c r="G1019" t="s">
        <v>243</v>
      </c>
      <c r="H1019" t="s">
        <v>48</v>
      </c>
      <c r="I1019" t="s">
        <v>14</v>
      </c>
      <c r="J1019" t="s">
        <v>30</v>
      </c>
      <c r="K1019" t="s">
        <v>786</v>
      </c>
      <c r="L1019" t="s">
        <v>787</v>
      </c>
      <c r="M1019" t="s">
        <v>800</v>
      </c>
      <c r="N1019">
        <v>10</v>
      </c>
      <c r="O1019" s="3">
        <v>19.010000000000002</v>
      </c>
      <c r="P1019" s="3">
        <v>27.56</v>
      </c>
      <c r="Q1019" s="6">
        <v>0</v>
      </c>
      <c r="R1019" s="3">
        <v>275.59999999999997</v>
      </c>
      <c r="S1019" t="s">
        <v>963</v>
      </c>
    </row>
    <row r="1020" spans="1:19" x14ac:dyDescent="0.35">
      <c r="A1020" t="s">
        <v>2484</v>
      </c>
      <c r="B1020" t="s">
        <v>547</v>
      </c>
      <c r="C1020" s="5">
        <v>45525</v>
      </c>
      <c r="D1020" s="5">
        <v>45527</v>
      </c>
      <c r="E1020" t="s">
        <v>375</v>
      </c>
      <c r="F1020" t="s">
        <v>637</v>
      </c>
      <c r="G1020" t="s">
        <v>243</v>
      </c>
      <c r="H1020" t="s">
        <v>14</v>
      </c>
      <c r="I1020" t="s">
        <v>14</v>
      </c>
      <c r="J1020" t="s">
        <v>56</v>
      </c>
      <c r="K1020" t="s">
        <v>798</v>
      </c>
      <c r="L1020" t="s">
        <v>799</v>
      </c>
      <c r="M1020" t="s">
        <v>842</v>
      </c>
      <c r="N1020">
        <v>3</v>
      </c>
      <c r="O1020" s="3">
        <v>25.46</v>
      </c>
      <c r="P1020" s="3">
        <v>31.83</v>
      </c>
      <c r="Q1020" s="6">
        <v>0</v>
      </c>
      <c r="R1020" s="3">
        <v>95.49</v>
      </c>
      <c r="S1020" t="s">
        <v>869</v>
      </c>
    </row>
    <row r="1021" spans="1:19" x14ac:dyDescent="0.35">
      <c r="A1021" t="s">
        <v>2485</v>
      </c>
      <c r="B1021" t="s">
        <v>331</v>
      </c>
      <c r="C1021" s="5">
        <v>45493</v>
      </c>
      <c r="D1021" s="5">
        <v>45498</v>
      </c>
      <c r="E1021" t="s">
        <v>332</v>
      </c>
      <c r="F1021" t="s">
        <v>696</v>
      </c>
      <c r="G1021" t="s">
        <v>264</v>
      </c>
      <c r="H1021" t="s">
        <v>797</v>
      </c>
      <c r="I1021" t="s">
        <v>79</v>
      </c>
      <c r="J1021" t="s">
        <v>166</v>
      </c>
      <c r="K1021" t="s">
        <v>813</v>
      </c>
      <c r="L1021" t="s">
        <v>799</v>
      </c>
      <c r="M1021" t="s">
        <v>788</v>
      </c>
      <c r="N1021">
        <v>1</v>
      </c>
      <c r="O1021" s="3">
        <v>15.73</v>
      </c>
      <c r="P1021" s="3">
        <v>19.66</v>
      </c>
      <c r="Q1021" s="6">
        <v>0.1</v>
      </c>
      <c r="R1021" s="3">
        <v>17.693999999999999</v>
      </c>
      <c r="S1021" t="s">
        <v>819</v>
      </c>
    </row>
    <row r="1022" spans="1:19" x14ac:dyDescent="0.35">
      <c r="A1022" t="s">
        <v>2486</v>
      </c>
      <c r="B1022" t="s">
        <v>545</v>
      </c>
      <c r="C1022" s="5">
        <v>45874</v>
      </c>
      <c r="D1022" s="5">
        <v>45884</v>
      </c>
      <c r="E1022" t="s">
        <v>546</v>
      </c>
      <c r="F1022" t="s">
        <v>696</v>
      </c>
      <c r="G1022" t="s">
        <v>235</v>
      </c>
      <c r="H1022" t="s">
        <v>20</v>
      </c>
      <c r="I1022" t="s">
        <v>14</v>
      </c>
      <c r="J1022" t="s">
        <v>128</v>
      </c>
      <c r="K1022" t="s">
        <v>813</v>
      </c>
      <c r="L1022" t="s">
        <v>822</v>
      </c>
      <c r="M1022" t="s">
        <v>788</v>
      </c>
      <c r="N1022">
        <v>3</v>
      </c>
      <c r="O1022" s="3">
        <v>18.850000000000001</v>
      </c>
      <c r="P1022" s="3">
        <v>27.33</v>
      </c>
      <c r="Q1022" s="6">
        <v>0.1</v>
      </c>
      <c r="R1022" s="3">
        <v>73.790999999999997</v>
      </c>
      <c r="S1022" t="s">
        <v>869</v>
      </c>
    </row>
    <row r="1023" spans="1:19" x14ac:dyDescent="0.35">
      <c r="A1023" t="s">
        <v>2487</v>
      </c>
      <c r="B1023" t="s">
        <v>401</v>
      </c>
      <c r="C1023" s="5">
        <v>45759</v>
      </c>
      <c r="D1023" s="5">
        <v>45768</v>
      </c>
      <c r="E1023" t="s">
        <v>402</v>
      </c>
      <c r="F1023" t="s">
        <v>637</v>
      </c>
      <c r="G1023" t="s">
        <v>243</v>
      </c>
      <c r="H1023" t="s">
        <v>797</v>
      </c>
      <c r="I1023" t="s">
        <v>79</v>
      </c>
      <c r="J1023" t="s">
        <v>77</v>
      </c>
      <c r="K1023" t="s">
        <v>798</v>
      </c>
      <c r="L1023" t="s">
        <v>799</v>
      </c>
      <c r="M1023" t="s">
        <v>800</v>
      </c>
      <c r="N1023">
        <v>1</v>
      </c>
      <c r="O1023" s="3">
        <v>13.71</v>
      </c>
      <c r="P1023" s="3">
        <v>17.82</v>
      </c>
      <c r="Q1023" s="6">
        <v>0.1</v>
      </c>
      <c r="R1023" s="3">
        <v>16.038</v>
      </c>
      <c r="S1023" t="s">
        <v>819</v>
      </c>
    </row>
    <row r="1024" spans="1:19" x14ac:dyDescent="0.35">
      <c r="A1024" t="s">
        <v>2488</v>
      </c>
      <c r="B1024" t="s">
        <v>423</v>
      </c>
      <c r="C1024" s="5">
        <v>45582</v>
      </c>
      <c r="E1024" t="s">
        <v>424</v>
      </c>
      <c r="F1024" t="s">
        <v>633</v>
      </c>
      <c r="G1024" t="s">
        <v>235</v>
      </c>
      <c r="H1024" t="s">
        <v>20</v>
      </c>
      <c r="I1024" t="s">
        <v>48</v>
      </c>
      <c r="J1024" t="s">
        <v>190</v>
      </c>
      <c r="K1024" t="s">
        <v>798</v>
      </c>
      <c r="L1024" t="s">
        <v>793</v>
      </c>
      <c r="M1024" t="s">
        <v>800</v>
      </c>
      <c r="N1024">
        <v>5</v>
      </c>
      <c r="O1024" s="3">
        <v>21.56</v>
      </c>
      <c r="P1024" s="3">
        <v>31.26</v>
      </c>
      <c r="Q1024" s="6">
        <v>0.15</v>
      </c>
      <c r="R1024" s="3">
        <v>132.85500000000002</v>
      </c>
      <c r="S1024" t="s">
        <v>845</v>
      </c>
    </row>
    <row r="1025" spans="1:19" x14ac:dyDescent="0.35">
      <c r="A1025" t="s">
        <v>2489</v>
      </c>
      <c r="B1025" t="s">
        <v>504</v>
      </c>
      <c r="C1025" s="5">
        <v>45406</v>
      </c>
      <c r="D1025" s="5">
        <v>45413</v>
      </c>
      <c r="E1025" t="s">
        <v>505</v>
      </c>
      <c r="F1025" t="s">
        <v>254</v>
      </c>
      <c r="G1025" t="s">
        <v>264</v>
      </c>
      <c r="H1025" t="s">
        <v>797</v>
      </c>
      <c r="I1025" t="s">
        <v>48</v>
      </c>
      <c r="J1025" t="s">
        <v>135</v>
      </c>
      <c r="K1025" t="s">
        <v>786</v>
      </c>
      <c r="L1025" t="s">
        <v>799</v>
      </c>
      <c r="M1025" t="s">
        <v>788</v>
      </c>
      <c r="N1025">
        <v>5</v>
      </c>
      <c r="O1025" s="3">
        <v>51.72</v>
      </c>
      <c r="P1025" s="3">
        <v>67.239999999999995</v>
      </c>
      <c r="Q1025" s="6">
        <v>0</v>
      </c>
      <c r="R1025" s="3">
        <v>336.2</v>
      </c>
      <c r="S1025" t="s">
        <v>834</v>
      </c>
    </row>
    <row r="1026" spans="1:19" x14ac:dyDescent="0.35">
      <c r="A1026" t="s">
        <v>2490</v>
      </c>
      <c r="B1026" t="s">
        <v>320</v>
      </c>
      <c r="C1026" s="5">
        <v>45981</v>
      </c>
      <c r="D1026" s="5">
        <v>45985</v>
      </c>
      <c r="E1026" t="s">
        <v>321</v>
      </c>
      <c r="F1026" t="s">
        <v>637</v>
      </c>
      <c r="G1026" t="s">
        <v>235</v>
      </c>
      <c r="H1026" t="s">
        <v>797</v>
      </c>
      <c r="I1026" t="s">
        <v>29</v>
      </c>
      <c r="J1026" t="s">
        <v>145</v>
      </c>
      <c r="K1026" t="s">
        <v>798</v>
      </c>
      <c r="L1026" t="s">
        <v>799</v>
      </c>
      <c r="M1026" t="s">
        <v>788</v>
      </c>
      <c r="N1026">
        <v>12</v>
      </c>
      <c r="O1026" s="3">
        <v>57.16</v>
      </c>
      <c r="P1026" s="3">
        <v>82.88</v>
      </c>
      <c r="Q1026" s="6">
        <v>0</v>
      </c>
      <c r="R1026" s="3">
        <v>994.56</v>
      </c>
      <c r="S1026" t="s">
        <v>919</v>
      </c>
    </row>
    <row r="1027" spans="1:19" x14ac:dyDescent="0.35">
      <c r="A1027" t="s">
        <v>2491</v>
      </c>
      <c r="B1027" t="s">
        <v>511</v>
      </c>
      <c r="C1027" s="5">
        <v>45510</v>
      </c>
      <c r="E1027" t="s">
        <v>512</v>
      </c>
      <c r="F1027" t="s">
        <v>633</v>
      </c>
      <c r="G1027" t="s">
        <v>264</v>
      </c>
      <c r="H1027" t="s">
        <v>797</v>
      </c>
      <c r="I1027" t="s">
        <v>38</v>
      </c>
      <c r="J1027" t="s">
        <v>36</v>
      </c>
      <c r="K1027" t="s">
        <v>798</v>
      </c>
      <c r="L1027" t="s">
        <v>787</v>
      </c>
      <c r="M1027" t="s">
        <v>800</v>
      </c>
      <c r="N1027">
        <v>10</v>
      </c>
      <c r="O1027" s="3">
        <v>8.57</v>
      </c>
      <c r="P1027" s="3">
        <v>11.14</v>
      </c>
      <c r="Q1027" s="6">
        <v>0.1</v>
      </c>
      <c r="R1027" s="3">
        <v>100.26</v>
      </c>
      <c r="S1027" t="s">
        <v>963</v>
      </c>
    </row>
    <row r="1028" spans="1:19" x14ac:dyDescent="0.35">
      <c r="A1028" t="s">
        <v>2492</v>
      </c>
      <c r="B1028" t="s">
        <v>434</v>
      </c>
      <c r="C1028" s="5">
        <v>45876</v>
      </c>
      <c r="E1028" t="s">
        <v>435</v>
      </c>
      <c r="F1028" t="s">
        <v>674</v>
      </c>
      <c r="G1028" t="s">
        <v>264</v>
      </c>
      <c r="H1028" t="s">
        <v>797</v>
      </c>
      <c r="I1028" t="s">
        <v>20</v>
      </c>
      <c r="J1028" t="s">
        <v>34</v>
      </c>
      <c r="K1028" t="s">
        <v>798</v>
      </c>
      <c r="L1028" t="s">
        <v>787</v>
      </c>
      <c r="M1028" t="s">
        <v>788</v>
      </c>
      <c r="N1028">
        <v>5</v>
      </c>
      <c r="O1028" s="3">
        <v>28.02</v>
      </c>
      <c r="P1028" s="3">
        <v>36.43</v>
      </c>
      <c r="Q1028" s="6">
        <v>0.1</v>
      </c>
      <c r="R1028" s="3">
        <v>163.935</v>
      </c>
      <c r="S1028" t="s">
        <v>825</v>
      </c>
    </row>
    <row r="1029" spans="1:19" x14ac:dyDescent="0.35">
      <c r="A1029" t="s">
        <v>2493</v>
      </c>
      <c r="B1029" t="s">
        <v>518</v>
      </c>
      <c r="C1029" s="5">
        <v>45452</v>
      </c>
      <c r="D1029" s="5">
        <v>45460</v>
      </c>
      <c r="E1029" t="s">
        <v>519</v>
      </c>
      <c r="F1029" t="s">
        <v>696</v>
      </c>
      <c r="G1029" t="s">
        <v>264</v>
      </c>
      <c r="H1029" t="s">
        <v>14</v>
      </c>
      <c r="I1029" t="s">
        <v>8</v>
      </c>
      <c r="J1029" t="s">
        <v>207</v>
      </c>
      <c r="K1029" t="s">
        <v>786</v>
      </c>
      <c r="L1029" t="s">
        <v>799</v>
      </c>
      <c r="M1029" t="s">
        <v>800</v>
      </c>
      <c r="N1029">
        <v>5</v>
      </c>
      <c r="O1029" s="3">
        <v>8.5399999999999991</v>
      </c>
      <c r="P1029" s="3">
        <v>10.67</v>
      </c>
      <c r="Q1029" s="6">
        <v>0</v>
      </c>
      <c r="R1029" s="3">
        <v>53.35</v>
      </c>
      <c r="S1029" t="s">
        <v>1017</v>
      </c>
    </row>
    <row r="1030" spans="1:19" x14ac:dyDescent="0.35">
      <c r="A1030" t="s">
        <v>2496</v>
      </c>
      <c r="B1030" t="s">
        <v>351</v>
      </c>
      <c r="C1030" s="5">
        <v>45602</v>
      </c>
      <c r="D1030" s="5">
        <v>45612</v>
      </c>
      <c r="E1030" t="s">
        <v>352</v>
      </c>
      <c r="F1030" t="s">
        <v>633</v>
      </c>
      <c r="G1030" t="s">
        <v>264</v>
      </c>
      <c r="H1030" t="s">
        <v>797</v>
      </c>
      <c r="I1030" t="s">
        <v>14</v>
      </c>
      <c r="J1030" t="s">
        <v>169</v>
      </c>
      <c r="K1030" t="s">
        <v>798</v>
      </c>
      <c r="L1030" t="s">
        <v>799</v>
      </c>
      <c r="M1030" t="s">
        <v>818</v>
      </c>
      <c r="N1030">
        <v>2</v>
      </c>
      <c r="O1030" s="3">
        <v>40.590000000000003</v>
      </c>
      <c r="P1030" s="3">
        <v>58.86</v>
      </c>
      <c r="Q1030" s="6">
        <v>0</v>
      </c>
      <c r="R1030" s="3">
        <v>117.72</v>
      </c>
      <c r="S1030" t="s">
        <v>876</v>
      </c>
    </row>
    <row r="1031" spans="1:19" x14ac:dyDescent="0.35">
      <c r="A1031" t="s">
        <v>2497</v>
      </c>
      <c r="B1031" t="s">
        <v>238</v>
      </c>
      <c r="C1031" s="5">
        <v>45694</v>
      </c>
      <c r="E1031" t="s">
        <v>239</v>
      </c>
      <c r="F1031" t="s">
        <v>637</v>
      </c>
      <c r="G1031" t="s">
        <v>243</v>
      </c>
      <c r="H1031" t="s">
        <v>48</v>
      </c>
      <c r="I1031" t="s">
        <v>14</v>
      </c>
      <c r="J1031" t="s">
        <v>152</v>
      </c>
      <c r="K1031" t="s">
        <v>813</v>
      </c>
      <c r="L1031" t="s">
        <v>793</v>
      </c>
      <c r="M1031" t="s">
        <v>788</v>
      </c>
      <c r="N1031">
        <v>10</v>
      </c>
      <c r="O1031" s="3">
        <v>38.549999999999997</v>
      </c>
      <c r="P1031" s="3">
        <v>53.97</v>
      </c>
      <c r="Q1031" s="6">
        <v>0.05</v>
      </c>
      <c r="R1031" s="3">
        <v>512.71500000000003</v>
      </c>
      <c r="S1031" t="s">
        <v>1017</v>
      </c>
    </row>
    <row r="1032" spans="1:19" x14ac:dyDescent="0.35">
      <c r="A1032" t="s">
        <v>2498</v>
      </c>
      <c r="B1032" t="s">
        <v>379</v>
      </c>
      <c r="C1032" s="5">
        <v>45311</v>
      </c>
      <c r="E1032" t="s">
        <v>380</v>
      </c>
      <c r="F1032" t="s">
        <v>681</v>
      </c>
      <c r="G1032" t="s">
        <v>264</v>
      </c>
      <c r="H1032" t="s">
        <v>20</v>
      </c>
      <c r="I1032" t="s">
        <v>29</v>
      </c>
      <c r="J1032" t="s">
        <v>123</v>
      </c>
      <c r="K1032" t="s">
        <v>798</v>
      </c>
      <c r="L1032" t="s">
        <v>793</v>
      </c>
      <c r="M1032" t="s">
        <v>800</v>
      </c>
      <c r="N1032">
        <v>1</v>
      </c>
      <c r="O1032" s="3">
        <v>20.7</v>
      </c>
      <c r="P1032" s="3">
        <v>30.01</v>
      </c>
      <c r="Q1032" s="6">
        <v>0.05</v>
      </c>
      <c r="R1032" s="3">
        <v>28.509500000000003</v>
      </c>
      <c r="S1032" t="s">
        <v>935</v>
      </c>
    </row>
    <row r="1033" spans="1:19" x14ac:dyDescent="0.35">
      <c r="A1033" t="s">
        <v>2499</v>
      </c>
      <c r="B1033" t="s">
        <v>536</v>
      </c>
      <c r="C1033" s="5">
        <v>45625</v>
      </c>
      <c r="D1033" s="5">
        <v>45629</v>
      </c>
      <c r="E1033" t="s">
        <v>537</v>
      </c>
      <c r="F1033" t="s">
        <v>681</v>
      </c>
      <c r="G1033" t="s">
        <v>235</v>
      </c>
      <c r="H1033" t="s">
        <v>797</v>
      </c>
      <c r="I1033" t="s">
        <v>8</v>
      </c>
      <c r="J1033" t="s">
        <v>181</v>
      </c>
      <c r="K1033" t="s">
        <v>798</v>
      </c>
      <c r="L1033" t="s">
        <v>799</v>
      </c>
      <c r="M1033" t="s">
        <v>800</v>
      </c>
      <c r="N1033">
        <v>1</v>
      </c>
      <c r="O1033" s="3">
        <v>20.49</v>
      </c>
      <c r="P1033" s="3">
        <v>29.71</v>
      </c>
      <c r="Q1033" s="6">
        <v>0</v>
      </c>
      <c r="R1033" s="3">
        <v>29.71</v>
      </c>
      <c r="S1033" t="s">
        <v>834</v>
      </c>
    </row>
    <row r="1034" spans="1:19" x14ac:dyDescent="0.35">
      <c r="A1034" t="s">
        <v>2500</v>
      </c>
      <c r="B1034" t="s">
        <v>596</v>
      </c>
      <c r="C1034" s="5">
        <v>45456</v>
      </c>
      <c r="D1034" s="5">
        <v>45464</v>
      </c>
      <c r="E1034" t="s">
        <v>443</v>
      </c>
      <c r="F1034" t="s">
        <v>696</v>
      </c>
      <c r="G1034" t="s">
        <v>264</v>
      </c>
      <c r="H1034" t="s">
        <v>48</v>
      </c>
      <c r="I1034" t="s">
        <v>14</v>
      </c>
      <c r="J1034" t="s">
        <v>169</v>
      </c>
      <c r="K1034" t="s">
        <v>798</v>
      </c>
      <c r="L1034" t="s">
        <v>822</v>
      </c>
      <c r="M1034" t="s">
        <v>842</v>
      </c>
      <c r="N1034">
        <v>3</v>
      </c>
      <c r="O1034" s="3">
        <v>40.590000000000003</v>
      </c>
      <c r="P1034" s="3">
        <v>58.86</v>
      </c>
      <c r="Q1034" s="6">
        <v>0.15</v>
      </c>
      <c r="R1034" s="3">
        <v>150.09299999999999</v>
      </c>
      <c r="S1034" t="s">
        <v>935</v>
      </c>
    </row>
    <row r="1035" spans="1:19" x14ac:dyDescent="0.35">
      <c r="A1035" t="s">
        <v>2501</v>
      </c>
      <c r="B1035" t="s">
        <v>555</v>
      </c>
      <c r="C1035" s="5">
        <v>45547</v>
      </c>
      <c r="D1035" s="5">
        <v>45555</v>
      </c>
      <c r="E1035" t="s">
        <v>391</v>
      </c>
      <c r="F1035" t="s">
        <v>627</v>
      </c>
      <c r="G1035" t="s">
        <v>264</v>
      </c>
      <c r="H1035" t="s">
        <v>797</v>
      </c>
      <c r="I1035" t="s">
        <v>14</v>
      </c>
      <c r="J1035" t="s">
        <v>111</v>
      </c>
      <c r="K1035" t="s">
        <v>813</v>
      </c>
      <c r="L1035" t="s">
        <v>799</v>
      </c>
      <c r="M1035" t="s">
        <v>800</v>
      </c>
      <c r="N1035">
        <v>2</v>
      </c>
      <c r="O1035" s="3">
        <v>19.850000000000001</v>
      </c>
      <c r="P1035" s="3">
        <v>28.78</v>
      </c>
      <c r="Q1035" s="6">
        <v>0.1</v>
      </c>
      <c r="R1035" s="3">
        <v>51.804000000000002</v>
      </c>
      <c r="S1035" t="s">
        <v>814</v>
      </c>
    </row>
    <row r="1036" spans="1:19" x14ac:dyDescent="0.35">
      <c r="A1036" t="s">
        <v>2502</v>
      </c>
      <c r="B1036" t="s">
        <v>498</v>
      </c>
      <c r="C1036" s="5">
        <v>45583</v>
      </c>
      <c r="E1036" t="s">
        <v>499</v>
      </c>
      <c r="F1036" t="s">
        <v>674</v>
      </c>
      <c r="G1036" t="s">
        <v>235</v>
      </c>
      <c r="H1036" t="s">
        <v>20</v>
      </c>
      <c r="I1036" t="s">
        <v>48</v>
      </c>
      <c r="J1036" t="s">
        <v>54</v>
      </c>
      <c r="K1036" t="s">
        <v>813</v>
      </c>
      <c r="L1036" t="s">
        <v>817</v>
      </c>
      <c r="M1036" t="s">
        <v>818</v>
      </c>
      <c r="N1036">
        <v>2</v>
      </c>
      <c r="O1036" s="3">
        <v>21.67</v>
      </c>
      <c r="P1036" s="3">
        <v>28.17</v>
      </c>
      <c r="Q1036" s="6">
        <v>0</v>
      </c>
      <c r="R1036" s="3">
        <v>56.34</v>
      </c>
      <c r="S1036" t="s">
        <v>888</v>
      </c>
    </row>
    <row r="1037" spans="1:19" x14ac:dyDescent="0.35">
      <c r="A1037" t="s">
        <v>2503</v>
      </c>
      <c r="B1037" t="s">
        <v>541</v>
      </c>
      <c r="C1037" s="5">
        <v>45895</v>
      </c>
      <c r="E1037" t="s">
        <v>542</v>
      </c>
      <c r="F1037" t="s">
        <v>674</v>
      </c>
      <c r="G1037" t="s">
        <v>235</v>
      </c>
      <c r="H1037" t="s">
        <v>14</v>
      </c>
      <c r="I1037" t="s">
        <v>20</v>
      </c>
      <c r="J1037" t="s">
        <v>34</v>
      </c>
      <c r="K1037" t="s">
        <v>798</v>
      </c>
      <c r="L1037" t="s">
        <v>793</v>
      </c>
      <c r="M1037" t="s">
        <v>800</v>
      </c>
      <c r="N1037">
        <v>2</v>
      </c>
      <c r="O1037" s="3">
        <v>28.02</v>
      </c>
      <c r="P1037" s="3">
        <v>36.43</v>
      </c>
      <c r="Q1037" s="6">
        <v>0.1</v>
      </c>
      <c r="R1037" s="3">
        <v>65.573999999999998</v>
      </c>
      <c r="S1037" t="s">
        <v>892</v>
      </c>
    </row>
    <row r="1038" spans="1:19" x14ac:dyDescent="0.35">
      <c r="A1038" t="s">
        <v>2504</v>
      </c>
      <c r="B1038" t="s">
        <v>345</v>
      </c>
      <c r="C1038" s="5">
        <v>45590</v>
      </c>
      <c r="D1038" s="5">
        <v>45594</v>
      </c>
      <c r="E1038" t="s">
        <v>346</v>
      </c>
      <c r="F1038" t="s">
        <v>637</v>
      </c>
      <c r="G1038" t="s">
        <v>264</v>
      </c>
      <c r="H1038" t="s">
        <v>20</v>
      </c>
      <c r="I1038" t="s">
        <v>14</v>
      </c>
      <c r="J1038" t="s">
        <v>60</v>
      </c>
      <c r="K1038" t="s">
        <v>786</v>
      </c>
      <c r="L1038" t="s">
        <v>799</v>
      </c>
      <c r="M1038" t="s">
        <v>800</v>
      </c>
      <c r="N1038">
        <v>1</v>
      </c>
      <c r="O1038" s="3">
        <v>18.18</v>
      </c>
      <c r="P1038" s="3">
        <v>24.54</v>
      </c>
      <c r="Q1038" s="6">
        <v>0</v>
      </c>
      <c r="R1038" s="3">
        <v>24.54</v>
      </c>
      <c r="S1038" t="s">
        <v>845</v>
      </c>
    </row>
    <row r="1039" spans="1:19" x14ac:dyDescent="0.35">
      <c r="A1039" t="s">
        <v>2505</v>
      </c>
      <c r="B1039" t="s">
        <v>497</v>
      </c>
      <c r="C1039" s="5">
        <v>45480</v>
      </c>
      <c r="D1039" s="5">
        <v>45481</v>
      </c>
      <c r="E1039" t="s">
        <v>296</v>
      </c>
      <c r="F1039" t="s">
        <v>674</v>
      </c>
      <c r="G1039" t="s">
        <v>235</v>
      </c>
      <c r="H1039" t="s">
        <v>14</v>
      </c>
      <c r="I1039" t="s">
        <v>79</v>
      </c>
      <c r="J1039" t="s">
        <v>88</v>
      </c>
      <c r="K1039" t="s">
        <v>798</v>
      </c>
      <c r="L1039" t="s">
        <v>799</v>
      </c>
      <c r="M1039" t="s">
        <v>800</v>
      </c>
      <c r="N1039">
        <v>3</v>
      </c>
      <c r="O1039" s="3">
        <v>11.82</v>
      </c>
      <c r="P1039" s="3">
        <v>17.14</v>
      </c>
      <c r="Q1039" s="6">
        <v>0</v>
      </c>
      <c r="R1039" s="3">
        <v>51.42</v>
      </c>
      <c r="S1039" t="s">
        <v>946</v>
      </c>
    </row>
    <row r="1040" spans="1:19" x14ac:dyDescent="0.35">
      <c r="A1040" t="s">
        <v>2506</v>
      </c>
      <c r="B1040" t="s">
        <v>568</v>
      </c>
      <c r="C1040" s="5">
        <v>45435</v>
      </c>
      <c r="D1040" s="5">
        <v>45436</v>
      </c>
      <c r="E1040" t="s">
        <v>360</v>
      </c>
      <c r="F1040" t="s">
        <v>696</v>
      </c>
      <c r="H1040" t="s">
        <v>797</v>
      </c>
      <c r="I1040" t="s">
        <v>8</v>
      </c>
      <c r="J1040" t="s">
        <v>207</v>
      </c>
      <c r="K1040" t="s">
        <v>786</v>
      </c>
      <c r="L1040" t="s">
        <v>799</v>
      </c>
      <c r="M1040" t="s">
        <v>842</v>
      </c>
      <c r="N1040">
        <v>5</v>
      </c>
      <c r="O1040" s="3">
        <v>8.5399999999999991</v>
      </c>
      <c r="P1040" s="3">
        <v>10.67</v>
      </c>
      <c r="Q1040" s="6">
        <v>0.1</v>
      </c>
      <c r="R1040" s="3">
        <v>48.015000000000001</v>
      </c>
      <c r="S1040" t="s">
        <v>814</v>
      </c>
    </row>
    <row r="1041" spans="1:19" x14ac:dyDescent="0.35">
      <c r="A1041" t="s">
        <v>2507</v>
      </c>
      <c r="B1041" t="s">
        <v>270</v>
      </c>
      <c r="C1041" s="5">
        <v>45871</v>
      </c>
      <c r="D1041" s="5">
        <v>45873</v>
      </c>
      <c r="E1041" t="s">
        <v>231</v>
      </c>
      <c r="F1041" t="s">
        <v>627</v>
      </c>
      <c r="G1041" t="s">
        <v>235</v>
      </c>
      <c r="H1041" t="s">
        <v>20</v>
      </c>
      <c r="I1041" t="s">
        <v>8</v>
      </c>
      <c r="J1041" t="s">
        <v>192</v>
      </c>
      <c r="K1041" t="s">
        <v>798</v>
      </c>
      <c r="L1041" t="s">
        <v>799</v>
      </c>
      <c r="M1041" t="s">
        <v>800</v>
      </c>
      <c r="N1041">
        <v>2</v>
      </c>
      <c r="O1041" s="3">
        <v>19.47</v>
      </c>
      <c r="P1041" s="3">
        <v>28.23</v>
      </c>
      <c r="Q1041" s="6">
        <v>0.1</v>
      </c>
      <c r="R1041" s="3">
        <v>50.814</v>
      </c>
      <c r="S1041" t="s">
        <v>1134</v>
      </c>
    </row>
    <row r="1042" spans="1:19" x14ac:dyDescent="0.35">
      <c r="A1042" t="s">
        <v>2508</v>
      </c>
      <c r="B1042" t="s">
        <v>538</v>
      </c>
      <c r="C1042" s="5">
        <v>46044</v>
      </c>
      <c r="D1042" s="5">
        <v>46054</v>
      </c>
      <c r="E1042" t="s">
        <v>539</v>
      </c>
      <c r="F1042" t="s">
        <v>254</v>
      </c>
      <c r="G1042" t="s">
        <v>264</v>
      </c>
      <c r="H1042" t="s">
        <v>48</v>
      </c>
      <c r="I1042" t="s">
        <v>48</v>
      </c>
      <c r="J1042" t="s">
        <v>135</v>
      </c>
      <c r="K1042" t="s">
        <v>786</v>
      </c>
      <c r="L1042" t="s">
        <v>799</v>
      </c>
      <c r="M1042" t="s">
        <v>842</v>
      </c>
      <c r="N1042">
        <v>10</v>
      </c>
      <c r="O1042" s="3">
        <v>51.72</v>
      </c>
      <c r="P1042" s="3">
        <v>67.239999999999995</v>
      </c>
      <c r="Q1042" s="6">
        <v>0.1</v>
      </c>
      <c r="R1042" s="3">
        <v>605.16</v>
      </c>
      <c r="S1042" t="s">
        <v>845</v>
      </c>
    </row>
    <row r="1043" spans="1:19" x14ac:dyDescent="0.35">
      <c r="A1043" t="s">
        <v>2509</v>
      </c>
      <c r="B1043" t="s">
        <v>606</v>
      </c>
      <c r="C1043" s="5">
        <v>45957</v>
      </c>
      <c r="E1043" t="s">
        <v>600</v>
      </c>
      <c r="F1043" t="s">
        <v>254</v>
      </c>
      <c r="H1043" t="s">
        <v>20</v>
      </c>
      <c r="I1043" t="s">
        <v>14</v>
      </c>
      <c r="J1043" t="s">
        <v>194</v>
      </c>
      <c r="K1043" t="s">
        <v>798</v>
      </c>
      <c r="L1043" t="s">
        <v>793</v>
      </c>
      <c r="M1043" t="s">
        <v>818</v>
      </c>
      <c r="N1043">
        <v>20</v>
      </c>
      <c r="O1043" s="3">
        <v>20.32</v>
      </c>
      <c r="P1043" s="3">
        <v>25.4</v>
      </c>
      <c r="Q1043" s="6">
        <v>0.15</v>
      </c>
      <c r="R1043" s="3">
        <v>431.8</v>
      </c>
      <c r="S1043" t="s">
        <v>888</v>
      </c>
    </row>
    <row r="1044" spans="1:19" x14ac:dyDescent="0.35">
      <c r="A1044" t="s">
        <v>2510</v>
      </c>
      <c r="B1044" t="s">
        <v>303</v>
      </c>
      <c r="C1044" s="5">
        <v>45958</v>
      </c>
      <c r="D1044" s="5">
        <v>45968</v>
      </c>
      <c r="E1044" t="s">
        <v>304</v>
      </c>
      <c r="F1044" t="s">
        <v>674</v>
      </c>
      <c r="G1044" t="s">
        <v>243</v>
      </c>
      <c r="H1044" t="s">
        <v>14</v>
      </c>
      <c r="I1044" t="s">
        <v>8</v>
      </c>
      <c r="J1044" t="s">
        <v>65</v>
      </c>
      <c r="K1044" t="s">
        <v>798</v>
      </c>
      <c r="L1044" t="s">
        <v>799</v>
      </c>
      <c r="M1044" t="s">
        <v>818</v>
      </c>
      <c r="N1044">
        <v>10</v>
      </c>
      <c r="O1044" s="3">
        <v>30.16</v>
      </c>
      <c r="P1044" s="3">
        <v>40.72</v>
      </c>
      <c r="Q1044" s="6">
        <v>0</v>
      </c>
      <c r="R1044" s="3">
        <v>407.2</v>
      </c>
      <c r="S1044" t="s">
        <v>935</v>
      </c>
    </row>
    <row r="1045" spans="1:19" x14ac:dyDescent="0.35">
      <c r="A1045" t="s">
        <v>2511</v>
      </c>
      <c r="B1045" t="s">
        <v>560</v>
      </c>
      <c r="C1045" s="5">
        <v>45592</v>
      </c>
      <c r="E1045" t="s">
        <v>292</v>
      </c>
      <c r="F1045" t="s">
        <v>637</v>
      </c>
      <c r="G1045" t="s">
        <v>264</v>
      </c>
      <c r="H1045" t="s">
        <v>797</v>
      </c>
      <c r="I1045" t="s">
        <v>14</v>
      </c>
      <c r="J1045" t="s">
        <v>167</v>
      </c>
      <c r="K1045" t="s">
        <v>813</v>
      </c>
      <c r="L1045" t="s">
        <v>793</v>
      </c>
      <c r="M1045" t="s">
        <v>788</v>
      </c>
      <c r="N1045">
        <v>20</v>
      </c>
      <c r="O1045" s="3">
        <v>18.62</v>
      </c>
      <c r="P1045" s="3">
        <v>26.07</v>
      </c>
      <c r="Q1045" s="6">
        <v>0</v>
      </c>
      <c r="R1045" s="3">
        <v>521.4</v>
      </c>
      <c r="S1045" t="s">
        <v>794</v>
      </c>
    </row>
    <row r="1046" spans="1:19" x14ac:dyDescent="0.35">
      <c r="A1046" t="s">
        <v>2512</v>
      </c>
      <c r="B1046" t="s">
        <v>525</v>
      </c>
      <c r="C1046" s="5">
        <v>45890</v>
      </c>
      <c r="D1046" s="5">
        <v>45893</v>
      </c>
      <c r="E1046" t="s">
        <v>526</v>
      </c>
      <c r="F1046" t="s">
        <v>696</v>
      </c>
      <c r="G1046" t="s">
        <v>243</v>
      </c>
      <c r="H1046" t="s">
        <v>14</v>
      </c>
      <c r="I1046" t="s">
        <v>14</v>
      </c>
      <c r="J1046" t="s">
        <v>12</v>
      </c>
      <c r="K1046" t="s">
        <v>798</v>
      </c>
      <c r="L1046" t="s">
        <v>799</v>
      </c>
      <c r="M1046" t="s">
        <v>800</v>
      </c>
      <c r="N1046">
        <v>12</v>
      </c>
      <c r="O1046" s="3">
        <v>35.03</v>
      </c>
      <c r="P1046" s="3">
        <v>50.79</v>
      </c>
      <c r="Q1046" s="6">
        <v>0.15</v>
      </c>
      <c r="R1046" s="3">
        <v>518.05799999999999</v>
      </c>
      <c r="S1046" t="s">
        <v>803</v>
      </c>
    </row>
    <row r="1047" spans="1:19" x14ac:dyDescent="0.35">
      <c r="A1047" t="s">
        <v>2513</v>
      </c>
      <c r="B1047" t="s">
        <v>377</v>
      </c>
      <c r="C1047" s="5">
        <v>45485</v>
      </c>
      <c r="D1047" s="5">
        <v>45491</v>
      </c>
      <c r="E1047" t="s">
        <v>378</v>
      </c>
      <c r="F1047" t="s">
        <v>633</v>
      </c>
      <c r="G1047" t="s">
        <v>243</v>
      </c>
      <c r="H1047" t="s">
        <v>797</v>
      </c>
      <c r="I1047" t="s">
        <v>48</v>
      </c>
      <c r="J1047" t="s">
        <v>177</v>
      </c>
      <c r="K1047" t="s">
        <v>813</v>
      </c>
      <c r="L1047" t="s">
        <v>799</v>
      </c>
      <c r="M1047" t="s">
        <v>842</v>
      </c>
      <c r="N1047">
        <v>1</v>
      </c>
      <c r="O1047" s="3">
        <v>41.79</v>
      </c>
      <c r="P1047" s="3">
        <v>60.6</v>
      </c>
      <c r="Q1047" s="6">
        <v>0</v>
      </c>
      <c r="R1047" s="3">
        <v>60.6</v>
      </c>
      <c r="S1047" t="s">
        <v>790</v>
      </c>
    </row>
    <row r="1048" spans="1:19" x14ac:dyDescent="0.35">
      <c r="A1048" t="s">
        <v>2514</v>
      </c>
      <c r="B1048" t="s">
        <v>430</v>
      </c>
      <c r="C1048" s="5">
        <v>45362</v>
      </c>
      <c r="E1048" t="s">
        <v>431</v>
      </c>
      <c r="F1048" t="s">
        <v>674</v>
      </c>
      <c r="G1048" t="s">
        <v>264</v>
      </c>
      <c r="H1048" t="s">
        <v>14</v>
      </c>
      <c r="I1048" t="s">
        <v>8</v>
      </c>
      <c r="J1048" t="s">
        <v>212</v>
      </c>
      <c r="K1048" t="s">
        <v>798</v>
      </c>
      <c r="L1048" t="s">
        <v>787</v>
      </c>
      <c r="M1048" t="s">
        <v>800</v>
      </c>
      <c r="N1048">
        <v>3</v>
      </c>
      <c r="O1048" s="3">
        <v>95.09</v>
      </c>
      <c r="P1048" s="3">
        <v>133.13</v>
      </c>
      <c r="Q1048" s="6">
        <v>0</v>
      </c>
      <c r="R1048" s="3">
        <v>399.39</v>
      </c>
      <c r="S1048" t="s">
        <v>963</v>
      </c>
    </row>
    <row r="1049" spans="1:19" x14ac:dyDescent="0.35">
      <c r="A1049" t="s">
        <v>2515</v>
      </c>
      <c r="B1049" t="s">
        <v>345</v>
      </c>
      <c r="C1049" s="5">
        <v>45655</v>
      </c>
      <c r="E1049" t="s">
        <v>346</v>
      </c>
      <c r="F1049" t="s">
        <v>696</v>
      </c>
      <c r="G1049" t="s">
        <v>264</v>
      </c>
      <c r="H1049" t="s">
        <v>797</v>
      </c>
      <c r="I1049" t="s">
        <v>29</v>
      </c>
      <c r="J1049" t="s">
        <v>86</v>
      </c>
      <c r="K1049" t="s">
        <v>786</v>
      </c>
      <c r="L1049" t="s">
        <v>787</v>
      </c>
      <c r="M1049" t="s">
        <v>788</v>
      </c>
      <c r="N1049">
        <v>1</v>
      </c>
      <c r="O1049" s="3">
        <v>8.35</v>
      </c>
      <c r="P1049" s="3">
        <v>12.11</v>
      </c>
      <c r="Q1049" s="6">
        <v>0.05</v>
      </c>
      <c r="R1049" s="3">
        <v>11.5045</v>
      </c>
      <c r="S1049" t="s">
        <v>829</v>
      </c>
    </row>
    <row r="1050" spans="1:19" x14ac:dyDescent="0.35">
      <c r="A1050" t="s">
        <v>2516</v>
      </c>
      <c r="B1050" t="s">
        <v>467</v>
      </c>
      <c r="C1050" s="5">
        <v>45749</v>
      </c>
      <c r="D1050" s="5">
        <v>45759</v>
      </c>
      <c r="E1050" t="s">
        <v>468</v>
      </c>
      <c r="F1050" t="s">
        <v>674</v>
      </c>
      <c r="G1050" t="s">
        <v>235</v>
      </c>
      <c r="H1050" t="s">
        <v>797</v>
      </c>
      <c r="I1050" t="s">
        <v>8</v>
      </c>
      <c r="J1050" t="s">
        <v>192</v>
      </c>
      <c r="K1050" t="s">
        <v>798</v>
      </c>
      <c r="L1050" t="s">
        <v>799</v>
      </c>
      <c r="M1050" t="s">
        <v>842</v>
      </c>
      <c r="N1050">
        <v>5</v>
      </c>
      <c r="O1050" s="3">
        <v>19.47</v>
      </c>
      <c r="P1050" s="3">
        <v>28.23</v>
      </c>
      <c r="Q1050" s="6">
        <v>0</v>
      </c>
      <c r="R1050" s="3">
        <v>141.15</v>
      </c>
      <c r="S1050" t="s">
        <v>892</v>
      </c>
    </row>
    <row r="1051" spans="1:19" x14ac:dyDescent="0.35">
      <c r="A1051" t="s">
        <v>2517</v>
      </c>
      <c r="B1051" t="s">
        <v>337</v>
      </c>
      <c r="C1051" s="5">
        <v>46033</v>
      </c>
      <c r="D1051" s="5">
        <v>46040</v>
      </c>
      <c r="E1051" t="s">
        <v>338</v>
      </c>
      <c r="F1051" t="s">
        <v>674</v>
      </c>
      <c r="G1051" t="s">
        <v>243</v>
      </c>
      <c r="H1051" t="s">
        <v>20</v>
      </c>
      <c r="I1051" t="s">
        <v>29</v>
      </c>
      <c r="J1051" t="s">
        <v>106</v>
      </c>
      <c r="K1051" t="s">
        <v>813</v>
      </c>
      <c r="L1051" t="s">
        <v>799</v>
      </c>
      <c r="M1051" t="s">
        <v>800</v>
      </c>
      <c r="N1051">
        <v>2</v>
      </c>
      <c r="O1051" s="3">
        <v>29.64</v>
      </c>
      <c r="P1051" s="3">
        <v>41.5</v>
      </c>
      <c r="Q1051" s="6">
        <v>0.15</v>
      </c>
      <c r="R1051" s="3">
        <v>70.55</v>
      </c>
      <c r="S1051" t="s">
        <v>1134</v>
      </c>
    </row>
    <row r="1052" spans="1:19" x14ac:dyDescent="0.35">
      <c r="A1052" t="s">
        <v>2518</v>
      </c>
      <c r="B1052" t="s">
        <v>317</v>
      </c>
      <c r="C1052" s="5">
        <v>45487</v>
      </c>
      <c r="D1052" s="5">
        <v>45494</v>
      </c>
      <c r="E1052" t="s">
        <v>318</v>
      </c>
      <c r="F1052" t="s">
        <v>637</v>
      </c>
      <c r="G1052" t="s">
        <v>264</v>
      </c>
      <c r="H1052" t="s">
        <v>14</v>
      </c>
      <c r="I1052" t="s">
        <v>43</v>
      </c>
      <c r="J1052" t="s">
        <v>146</v>
      </c>
      <c r="K1052" t="s">
        <v>798</v>
      </c>
      <c r="L1052" t="s">
        <v>799</v>
      </c>
      <c r="M1052" t="s">
        <v>818</v>
      </c>
      <c r="N1052">
        <v>12</v>
      </c>
      <c r="O1052" s="3">
        <v>24.05</v>
      </c>
      <c r="P1052" s="3">
        <v>31.27</v>
      </c>
      <c r="Q1052" s="6">
        <v>0</v>
      </c>
      <c r="R1052" s="3">
        <v>375.24</v>
      </c>
      <c r="S1052" t="s">
        <v>839</v>
      </c>
    </row>
    <row r="1053" spans="1:19" x14ac:dyDescent="0.35">
      <c r="A1053" t="s">
        <v>2519</v>
      </c>
      <c r="B1053" t="s">
        <v>322</v>
      </c>
      <c r="C1053" s="5">
        <v>45722</v>
      </c>
      <c r="E1053" t="s">
        <v>245</v>
      </c>
      <c r="F1053" t="s">
        <v>633</v>
      </c>
      <c r="G1053" t="s">
        <v>243</v>
      </c>
      <c r="H1053" t="s">
        <v>797</v>
      </c>
      <c r="I1053" t="s">
        <v>79</v>
      </c>
      <c r="J1053" t="s">
        <v>124</v>
      </c>
      <c r="K1053" t="s">
        <v>798</v>
      </c>
      <c r="L1053" t="s">
        <v>787</v>
      </c>
      <c r="M1053" t="s">
        <v>800</v>
      </c>
      <c r="N1053">
        <v>1</v>
      </c>
      <c r="O1053" s="3">
        <v>29.44</v>
      </c>
      <c r="P1053" s="3">
        <v>41.22</v>
      </c>
      <c r="Q1053" s="6">
        <v>0</v>
      </c>
      <c r="R1053" s="3">
        <v>41.22</v>
      </c>
      <c r="S1053" t="s">
        <v>1001</v>
      </c>
    </row>
    <row r="1054" spans="1:19" x14ac:dyDescent="0.35">
      <c r="A1054" t="s">
        <v>2520</v>
      </c>
      <c r="B1054" t="s">
        <v>568</v>
      </c>
      <c r="C1054" s="5">
        <v>45378</v>
      </c>
      <c r="D1054" s="5">
        <v>45384</v>
      </c>
      <c r="E1054" t="s">
        <v>360</v>
      </c>
      <c r="F1054" t="s">
        <v>637</v>
      </c>
      <c r="H1054" t="s">
        <v>797</v>
      </c>
      <c r="I1054" t="s">
        <v>48</v>
      </c>
      <c r="J1054" t="s">
        <v>202</v>
      </c>
      <c r="K1054" t="s">
        <v>798</v>
      </c>
      <c r="L1054" t="s">
        <v>822</v>
      </c>
      <c r="M1054" t="s">
        <v>800</v>
      </c>
      <c r="N1054">
        <v>5</v>
      </c>
      <c r="O1054" s="3">
        <v>27</v>
      </c>
      <c r="P1054" s="3">
        <v>39.15</v>
      </c>
      <c r="Q1054" s="6">
        <v>0.15</v>
      </c>
      <c r="R1054" s="3">
        <v>166.38749999999999</v>
      </c>
      <c r="S1054" t="s">
        <v>869</v>
      </c>
    </row>
    <row r="1055" spans="1:19" x14ac:dyDescent="0.35">
      <c r="A1055" t="s">
        <v>2521</v>
      </c>
      <c r="B1055" t="s">
        <v>400</v>
      </c>
      <c r="C1055" s="5">
        <v>45338</v>
      </c>
      <c r="E1055" t="s">
        <v>383</v>
      </c>
      <c r="F1055" t="s">
        <v>674</v>
      </c>
      <c r="G1055" t="s">
        <v>235</v>
      </c>
      <c r="H1055" t="s">
        <v>14</v>
      </c>
      <c r="I1055" t="s">
        <v>38</v>
      </c>
      <c r="J1055" t="s">
        <v>172</v>
      </c>
      <c r="K1055" t="s">
        <v>813</v>
      </c>
      <c r="L1055" t="s">
        <v>787</v>
      </c>
      <c r="M1055" t="s">
        <v>818</v>
      </c>
      <c r="N1055">
        <v>5</v>
      </c>
      <c r="O1055" s="3">
        <v>18.329999999999998</v>
      </c>
      <c r="P1055" s="3">
        <v>22.91</v>
      </c>
      <c r="Q1055" s="6">
        <v>0</v>
      </c>
      <c r="R1055" s="3">
        <v>114.55</v>
      </c>
      <c r="S1055" t="s">
        <v>829</v>
      </c>
    </row>
    <row r="1056" spans="1:19" x14ac:dyDescent="0.35">
      <c r="A1056" t="s">
        <v>2523</v>
      </c>
      <c r="B1056" t="s">
        <v>603</v>
      </c>
      <c r="C1056" s="5">
        <v>45902</v>
      </c>
      <c r="D1056" s="5">
        <v>45911</v>
      </c>
      <c r="E1056" t="s">
        <v>508</v>
      </c>
      <c r="F1056" t="s">
        <v>681</v>
      </c>
      <c r="G1056" t="s">
        <v>264</v>
      </c>
      <c r="H1056" t="s">
        <v>797</v>
      </c>
      <c r="I1056" t="s">
        <v>29</v>
      </c>
      <c r="J1056" t="s">
        <v>158</v>
      </c>
      <c r="K1056" t="s">
        <v>798</v>
      </c>
      <c r="L1056" t="s">
        <v>799</v>
      </c>
      <c r="M1056" t="s">
        <v>818</v>
      </c>
      <c r="N1056">
        <v>20</v>
      </c>
      <c r="O1056" s="3">
        <v>25.8</v>
      </c>
      <c r="P1056" s="3">
        <v>36.119999999999997</v>
      </c>
      <c r="Q1056" s="6">
        <v>0</v>
      </c>
      <c r="R1056" s="3">
        <v>722.4</v>
      </c>
      <c r="S1056" t="s">
        <v>810</v>
      </c>
    </row>
    <row r="1057" spans="1:19" x14ac:dyDescent="0.35">
      <c r="A1057" t="s">
        <v>2524</v>
      </c>
      <c r="B1057" t="s">
        <v>452</v>
      </c>
      <c r="C1057" s="5">
        <v>45447</v>
      </c>
      <c r="E1057" t="s">
        <v>420</v>
      </c>
      <c r="F1057" t="s">
        <v>254</v>
      </c>
      <c r="G1057" t="s">
        <v>264</v>
      </c>
      <c r="H1057" t="s">
        <v>20</v>
      </c>
      <c r="I1057" t="s">
        <v>20</v>
      </c>
      <c r="J1057" t="s">
        <v>197</v>
      </c>
      <c r="K1057" t="s">
        <v>813</v>
      </c>
      <c r="L1057" t="s">
        <v>793</v>
      </c>
      <c r="M1057" t="s">
        <v>818</v>
      </c>
      <c r="N1057">
        <v>3</v>
      </c>
      <c r="O1057" s="3">
        <v>22.45</v>
      </c>
      <c r="P1057" s="3">
        <v>29.18</v>
      </c>
      <c r="Q1057" s="6">
        <v>0.15</v>
      </c>
      <c r="R1057" s="3">
        <v>74.408999999999992</v>
      </c>
      <c r="S1057" t="s">
        <v>814</v>
      </c>
    </row>
    <row r="1058" spans="1:19" x14ac:dyDescent="0.35">
      <c r="A1058" t="s">
        <v>2525</v>
      </c>
      <c r="B1058" t="s">
        <v>434</v>
      </c>
      <c r="C1058" s="5">
        <v>45563</v>
      </c>
      <c r="D1058" s="5">
        <v>45570</v>
      </c>
      <c r="E1058" t="s">
        <v>435</v>
      </c>
      <c r="F1058" t="s">
        <v>254</v>
      </c>
      <c r="G1058" t="s">
        <v>264</v>
      </c>
      <c r="H1058" t="s">
        <v>20</v>
      </c>
      <c r="I1058" t="s">
        <v>29</v>
      </c>
      <c r="J1058" t="s">
        <v>106</v>
      </c>
      <c r="K1058" t="s">
        <v>798</v>
      </c>
      <c r="L1058" t="s">
        <v>822</v>
      </c>
      <c r="M1058" t="s">
        <v>842</v>
      </c>
      <c r="N1058">
        <v>1</v>
      </c>
      <c r="O1058" s="3">
        <v>29.64</v>
      </c>
      <c r="P1058" s="3">
        <v>41.5</v>
      </c>
      <c r="Q1058" s="6">
        <v>0.15</v>
      </c>
      <c r="R1058" s="3">
        <v>35.274999999999999</v>
      </c>
      <c r="S1058" t="s">
        <v>888</v>
      </c>
    </row>
    <row r="1059" spans="1:19" x14ac:dyDescent="0.35">
      <c r="A1059" t="s">
        <v>2526</v>
      </c>
      <c r="B1059" t="s">
        <v>457</v>
      </c>
      <c r="C1059" s="5">
        <v>45339</v>
      </c>
      <c r="E1059" t="s">
        <v>458</v>
      </c>
      <c r="F1059" t="s">
        <v>637</v>
      </c>
      <c r="G1059" t="s">
        <v>243</v>
      </c>
      <c r="H1059" t="s">
        <v>14</v>
      </c>
      <c r="I1059" t="s">
        <v>48</v>
      </c>
      <c r="J1059" t="s">
        <v>61</v>
      </c>
      <c r="K1059" t="s">
        <v>798</v>
      </c>
      <c r="L1059" t="s">
        <v>787</v>
      </c>
      <c r="M1059" t="s">
        <v>842</v>
      </c>
      <c r="N1059">
        <v>12</v>
      </c>
      <c r="O1059" s="3">
        <v>26.08</v>
      </c>
      <c r="P1059" s="3">
        <v>35.21</v>
      </c>
      <c r="Q1059" s="6">
        <v>0</v>
      </c>
      <c r="R1059" s="3">
        <v>422.52</v>
      </c>
      <c r="S1059" t="s">
        <v>794</v>
      </c>
    </row>
    <row r="1060" spans="1:19" x14ac:dyDescent="0.35">
      <c r="A1060" t="s">
        <v>2527</v>
      </c>
      <c r="B1060" t="s">
        <v>295</v>
      </c>
      <c r="C1060" s="5">
        <v>45386</v>
      </c>
      <c r="E1060" t="s">
        <v>296</v>
      </c>
      <c r="F1060" t="s">
        <v>254</v>
      </c>
      <c r="G1060" t="s">
        <v>264</v>
      </c>
      <c r="H1060" t="s">
        <v>48</v>
      </c>
      <c r="I1060" t="s">
        <v>43</v>
      </c>
      <c r="J1060" t="s">
        <v>141</v>
      </c>
      <c r="K1060" t="s">
        <v>798</v>
      </c>
      <c r="L1060" t="s">
        <v>793</v>
      </c>
      <c r="M1060" t="s">
        <v>818</v>
      </c>
      <c r="N1060">
        <v>3</v>
      </c>
      <c r="O1060" s="3">
        <v>17.2</v>
      </c>
      <c r="P1060" s="3">
        <v>22.36</v>
      </c>
      <c r="Q1060" s="6">
        <v>0</v>
      </c>
      <c r="R1060" s="3">
        <v>67.08</v>
      </c>
      <c r="S1060" t="s">
        <v>946</v>
      </c>
    </row>
    <row r="1061" spans="1:19" x14ac:dyDescent="0.35">
      <c r="A1061" t="s">
        <v>2528</v>
      </c>
      <c r="B1061" t="s">
        <v>428</v>
      </c>
      <c r="C1061" s="5">
        <v>45944</v>
      </c>
      <c r="E1061" t="s">
        <v>429</v>
      </c>
      <c r="F1061" t="s">
        <v>696</v>
      </c>
      <c r="G1061" t="s">
        <v>264</v>
      </c>
      <c r="H1061" t="s">
        <v>14</v>
      </c>
      <c r="I1061" t="s">
        <v>29</v>
      </c>
      <c r="J1061" t="s">
        <v>154</v>
      </c>
      <c r="K1061" t="s">
        <v>786</v>
      </c>
      <c r="L1061" t="s">
        <v>787</v>
      </c>
      <c r="M1061" t="s">
        <v>800</v>
      </c>
      <c r="N1061">
        <v>5</v>
      </c>
      <c r="O1061" s="3">
        <v>25.74</v>
      </c>
      <c r="P1061" s="3">
        <v>33.46</v>
      </c>
      <c r="Q1061" s="6">
        <v>0.1</v>
      </c>
      <c r="R1061" s="3">
        <v>150.57000000000002</v>
      </c>
      <c r="S1061" t="s">
        <v>825</v>
      </c>
    </row>
    <row r="1062" spans="1:19" x14ac:dyDescent="0.35">
      <c r="A1062" t="s">
        <v>2529</v>
      </c>
      <c r="B1062" t="s">
        <v>501</v>
      </c>
      <c r="C1062" s="5">
        <v>46025</v>
      </c>
      <c r="E1062" t="s">
        <v>363</v>
      </c>
      <c r="F1062" t="s">
        <v>696</v>
      </c>
      <c r="G1062" t="s">
        <v>264</v>
      </c>
      <c r="H1062" t="s">
        <v>20</v>
      </c>
      <c r="I1062" t="s">
        <v>48</v>
      </c>
      <c r="J1062" t="s">
        <v>61</v>
      </c>
      <c r="K1062" t="s">
        <v>786</v>
      </c>
      <c r="L1062" t="s">
        <v>793</v>
      </c>
      <c r="M1062" t="s">
        <v>788</v>
      </c>
      <c r="N1062">
        <v>20</v>
      </c>
      <c r="O1062" s="3">
        <v>26.08</v>
      </c>
      <c r="P1062" s="3">
        <v>35.21</v>
      </c>
      <c r="Q1062" s="6">
        <v>0.1</v>
      </c>
      <c r="R1062" s="3">
        <v>633.78000000000009</v>
      </c>
      <c r="S1062" t="s">
        <v>888</v>
      </c>
    </row>
    <row r="1063" spans="1:19" x14ac:dyDescent="0.35">
      <c r="A1063" t="s">
        <v>2530</v>
      </c>
      <c r="B1063" t="s">
        <v>573</v>
      </c>
      <c r="C1063" s="5">
        <v>45438</v>
      </c>
      <c r="E1063" t="s">
        <v>277</v>
      </c>
      <c r="F1063" t="s">
        <v>254</v>
      </c>
      <c r="G1063" t="s">
        <v>235</v>
      </c>
      <c r="H1063" t="s">
        <v>20</v>
      </c>
      <c r="I1063" t="s">
        <v>38</v>
      </c>
      <c r="J1063" t="s">
        <v>117</v>
      </c>
      <c r="K1063" t="s">
        <v>798</v>
      </c>
      <c r="L1063" t="s">
        <v>793</v>
      </c>
      <c r="M1063" t="s">
        <v>842</v>
      </c>
      <c r="N1063">
        <v>1</v>
      </c>
      <c r="O1063" s="3">
        <v>43.25</v>
      </c>
      <c r="P1063" s="3">
        <v>60.55</v>
      </c>
      <c r="Q1063" s="6">
        <v>0</v>
      </c>
      <c r="R1063" s="3">
        <v>60.55</v>
      </c>
      <c r="S1063" t="s">
        <v>794</v>
      </c>
    </row>
    <row r="1064" spans="1:19" x14ac:dyDescent="0.35">
      <c r="A1064" t="s">
        <v>2531</v>
      </c>
      <c r="B1064" t="s">
        <v>597</v>
      </c>
      <c r="C1064" s="5">
        <v>45548</v>
      </c>
      <c r="D1064" s="5">
        <v>45555</v>
      </c>
      <c r="E1064" t="s">
        <v>598</v>
      </c>
      <c r="F1064" t="s">
        <v>681</v>
      </c>
      <c r="G1064" t="s">
        <v>235</v>
      </c>
      <c r="H1064" t="s">
        <v>797</v>
      </c>
      <c r="I1064" t="s">
        <v>79</v>
      </c>
      <c r="J1064" t="s">
        <v>108</v>
      </c>
      <c r="K1064" t="s">
        <v>798</v>
      </c>
      <c r="L1064" t="s">
        <v>799</v>
      </c>
      <c r="M1064" t="s">
        <v>800</v>
      </c>
      <c r="N1064">
        <v>2</v>
      </c>
      <c r="O1064" s="3">
        <v>9.3000000000000007</v>
      </c>
      <c r="P1064" s="3">
        <v>12.56</v>
      </c>
      <c r="Q1064" s="6">
        <v>0</v>
      </c>
      <c r="R1064" s="3">
        <v>25.12</v>
      </c>
      <c r="S1064" t="s">
        <v>1134</v>
      </c>
    </row>
    <row r="1065" spans="1:19" x14ac:dyDescent="0.35">
      <c r="A1065" t="s">
        <v>2532</v>
      </c>
      <c r="B1065" t="s">
        <v>545</v>
      </c>
      <c r="C1065" s="5">
        <v>45675</v>
      </c>
      <c r="D1065" s="5">
        <v>45679</v>
      </c>
      <c r="E1065" t="s">
        <v>546</v>
      </c>
      <c r="F1065" t="s">
        <v>681</v>
      </c>
      <c r="G1065" t="s">
        <v>235</v>
      </c>
      <c r="H1065" t="s">
        <v>48</v>
      </c>
      <c r="I1065" t="s">
        <v>48</v>
      </c>
      <c r="J1065" t="s">
        <v>210</v>
      </c>
      <c r="K1065" t="s">
        <v>813</v>
      </c>
      <c r="L1065" t="s">
        <v>822</v>
      </c>
      <c r="M1065" t="s">
        <v>818</v>
      </c>
      <c r="N1065">
        <v>20</v>
      </c>
      <c r="O1065" s="3">
        <v>25.36</v>
      </c>
      <c r="P1065" s="3">
        <v>34.24</v>
      </c>
      <c r="Q1065" s="6">
        <v>0.15</v>
      </c>
      <c r="R1065" s="3">
        <v>582.08000000000004</v>
      </c>
      <c r="S1065" t="s">
        <v>829</v>
      </c>
    </row>
    <row r="1066" spans="1:19" x14ac:dyDescent="0.35">
      <c r="A1066" t="s">
        <v>2534</v>
      </c>
      <c r="B1066" t="s">
        <v>347</v>
      </c>
      <c r="C1066" s="5">
        <v>45478</v>
      </c>
      <c r="E1066" t="s">
        <v>348</v>
      </c>
      <c r="F1066" t="s">
        <v>681</v>
      </c>
      <c r="G1066" t="s">
        <v>243</v>
      </c>
      <c r="H1066" t="s">
        <v>797</v>
      </c>
      <c r="I1066" t="s">
        <v>20</v>
      </c>
      <c r="J1066" t="s">
        <v>119</v>
      </c>
      <c r="K1066" t="s">
        <v>786</v>
      </c>
      <c r="L1066" t="s">
        <v>787</v>
      </c>
      <c r="M1066" t="s">
        <v>800</v>
      </c>
      <c r="N1066">
        <v>3</v>
      </c>
      <c r="O1066" s="3">
        <v>40.94</v>
      </c>
      <c r="P1066" s="3">
        <v>53.22</v>
      </c>
      <c r="Q1066" s="6">
        <v>0</v>
      </c>
      <c r="R1066" s="3">
        <v>159.66</v>
      </c>
      <c r="S1066" t="s">
        <v>803</v>
      </c>
    </row>
    <row r="1067" spans="1:19" x14ac:dyDescent="0.35">
      <c r="A1067" t="s">
        <v>2535</v>
      </c>
      <c r="B1067" t="s">
        <v>444</v>
      </c>
      <c r="C1067" s="5">
        <v>45784</v>
      </c>
      <c r="D1067" s="5">
        <v>45794</v>
      </c>
      <c r="E1067" t="s">
        <v>445</v>
      </c>
      <c r="F1067" t="s">
        <v>674</v>
      </c>
      <c r="G1067" t="s">
        <v>264</v>
      </c>
      <c r="H1067" t="s">
        <v>14</v>
      </c>
      <c r="I1067" t="s">
        <v>48</v>
      </c>
      <c r="J1067" t="s">
        <v>219</v>
      </c>
      <c r="K1067" t="s">
        <v>786</v>
      </c>
      <c r="L1067" t="s">
        <v>799</v>
      </c>
      <c r="M1067" t="s">
        <v>818</v>
      </c>
      <c r="N1067">
        <v>20</v>
      </c>
      <c r="O1067" s="3">
        <v>12.9</v>
      </c>
      <c r="P1067" s="3">
        <v>18.7</v>
      </c>
      <c r="Q1067" s="6">
        <v>0</v>
      </c>
      <c r="R1067" s="3">
        <v>374</v>
      </c>
      <c r="S1067" t="s">
        <v>845</v>
      </c>
    </row>
    <row r="1068" spans="1:19" x14ac:dyDescent="0.35">
      <c r="A1068" t="s">
        <v>2536</v>
      </c>
      <c r="B1068" t="s">
        <v>485</v>
      </c>
      <c r="C1068" s="5">
        <v>45561</v>
      </c>
      <c r="D1068" s="5">
        <v>45566</v>
      </c>
      <c r="E1068" t="s">
        <v>486</v>
      </c>
      <c r="F1068" t="s">
        <v>254</v>
      </c>
      <c r="G1068" t="s">
        <v>243</v>
      </c>
      <c r="H1068" t="s">
        <v>20</v>
      </c>
      <c r="I1068" t="s">
        <v>8</v>
      </c>
      <c r="J1068" t="s">
        <v>10</v>
      </c>
      <c r="K1068" t="s">
        <v>798</v>
      </c>
      <c r="L1068" t="s">
        <v>799</v>
      </c>
      <c r="M1068" t="s">
        <v>800</v>
      </c>
      <c r="N1068">
        <v>2</v>
      </c>
      <c r="O1068" s="3">
        <v>22.74</v>
      </c>
      <c r="P1068" s="3">
        <v>28.42</v>
      </c>
      <c r="Q1068" s="6">
        <v>0</v>
      </c>
      <c r="R1068" s="3">
        <v>56.84</v>
      </c>
      <c r="S1068" t="s">
        <v>810</v>
      </c>
    </row>
    <row r="1069" spans="1:19" x14ac:dyDescent="0.35">
      <c r="A1069" t="s">
        <v>2537</v>
      </c>
      <c r="B1069" t="s">
        <v>613</v>
      </c>
      <c r="C1069" s="5">
        <v>45641</v>
      </c>
      <c r="D1069" s="5">
        <v>45648</v>
      </c>
      <c r="E1069" t="s">
        <v>304</v>
      </c>
      <c r="F1069" t="s">
        <v>627</v>
      </c>
      <c r="G1069" t="s">
        <v>243</v>
      </c>
      <c r="H1069" t="s">
        <v>14</v>
      </c>
      <c r="I1069" t="s">
        <v>14</v>
      </c>
      <c r="J1069" t="s">
        <v>128</v>
      </c>
      <c r="K1069" t="s">
        <v>813</v>
      </c>
      <c r="L1069" t="s">
        <v>799</v>
      </c>
      <c r="M1069" t="s">
        <v>800</v>
      </c>
      <c r="N1069">
        <v>3</v>
      </c>
      <c r="O1069" s="3">
        <v>18.850000000000001</v>
      </c>
      <c r="P1069" s="3">
        <v>27.33</v>
      </c>
      <c r="Q1069" s="6">
        <v>0</v>
      </c>
      <c r="R1069" s="3">
        <v>81.99</v>
      </c>
      <c r="S1069" t="s">
        <v>814</v>
      </c>
    </row>
    <row r="1070" spans="1:19" x14ac:dyDescent="0.35">
      <c r="A1070" t="s">
        <v>2538</v>
      </c>
      <c r="B1070" t="s">
        <v>529</v>
      </c>
      <c r="C1070" s="5">
        <v>45949</v>
      </c>
      <c r="D1070" s="5">
        <v>45954</v>
      </c>
      <c r="E1070" t="s">
        <v>253</v>
      </c>
      <c r="F1070" t="s">
        <v>674</v>
      </c>
      <c r="G1070" t="s">
        <v>235</v>
      </c>
      <c r="H1070" t="s">
        <v>797</v>
      </c>
      <c r="I1070" t="s">
        <v>8</v>
      </c>
      <c r="J1070" t="s">
        <v>65</v>
      </c>
      <c r="K1070" t="s">
        <v>786</v>
      </c>
      <c r="L1070" t="s">
        <v>799</v>
      </c>
      <c r="M1070" t="s">
        <v>842</v>
      </c>
      <c r="N1070">
        <v>5</v>
      </c>
      <c r="O1070" s="3">
        <v>30.16</v>
      </c>
      <c r="P1070" s="3">
        <v>40.72</v>
      </c>
      <c r="Q1070" s="6">
        <v>0.1</v>
      </c>
      <c r="R1070" s="3">
        <v>183.24</v>
      </c>
      <c r="S1070" t="s">
        <v>1001</v>
      </c>
    </row>
    <row r="1071" spans="1:19" x14ac:dyDescent="0.35">
      <c r="A1071" t="s">
        <v>2539</v>
      </c>
      <c r="B1071" t="s">
        <v>426</v>
      </c>
      <c r="C1071" s="5">
        <v>45421</v>
      </c>
      <c r="E1071" t="s">
        <v>427</v>
      </c>
      <c r="F1071" t="s">
        <v>696</v>
      </c>
      <c r="G1071" t="s">
        <v>264</v>
      </c>
      <c r="H1071" t="s">
        <v>797</v>
      </c>
      <c r="I1071" t="s">
        <v>14</v>
      </c>
      <c r="J1071" t="s">
        <v>150</v>
      </c>
      <c r="K1071" t="s">
        <v>786</v>
      </c>
      <c r="L1071" t="s">
        <v>787</v>
      </c>
      <c r="M1071" t="s">
        <v>788</v>
      </c>
      <c r="N1071">
        <v>3</v>
      </c>
      <c r="O1071" s="3">
        <v>5.81</v>
      </c>
      <c r="P1071" s="3">
        <v>7.55</v>
      </c>
      <c r="Q1071" s="6">
        <v>0.05</v>
      </c>
      <c r="R1071" s="3">
        <v>21.517499999999998</v>
      </c>
      <c r="S1071" t="s">
        <v>892</v>
      </c>
    </row>
    <row r="1072" spans="1:19" x14ac:dyDescent="0.35">
      <c r="A1072" t="s">
        <v>2540</v>
      </c>
      <c r="B1072" t="s">
        <v>580</v>
      </c>
      <c r="C1072" s="5">
        <v>45491</v>
      </c>
      <c r="D1072" s="5">
        <v>45500</v>
      </c>
      <c r="E1072" t="s">
        <v>581</v>
      </c>
      <c r="F1072" t="s">
        <v>674</v>
      </c>
      <c r="G1072" t="s">
        <v>235</v>
      </c>
      <c r="H1072" t="s">
        <v>20</v>
      </c>
      <c r="I1072" t="s">
        <v>14</v>
      </c>
      <c r="J1072" t="s">
        <v>16</v>
      </c>
      <c r="K1072" t="s">
        <v>813</v>
      </c>
      <c r="L1072" t="s">
        <v>799</v>
      </c>
      <c r="M1072" t="s">
        <v>788</v>
      </c>
      <c r="N1072">
        <v>2</v>
      </c>
      <c r="O1072" s="3">
        <v>56.69</v>
      </c>
      <c r="P1072" s="3">
        <v>79.37</v>
      </c>
      <c r="Q1072" s="6">
        <v>0.1</v>
      </c>
      <c r="R1072" s="3">
        <v>142.86600000000001</v>
      </c>
      <c r="S1072" t="s">
        <v>892</v>
      </c>
    </row>
    <row r="1073" spans="1:19" x14ac:dyDescent="0.35">
      <c r="A1073" t="s">
        <v>2541</v>
      </c>
      <c r="B1073" t="s">
        <v>451</v>
      </c>
      <c r="C1073" s="5">
        <v>45340</v>
      </c>
      <c r="D1073" s="5">
        <v>45343</v>
      </c>
      <c r="E1073" t="s">
        <v>368</v>
      </c>
      <c r="F1073" t="s">
        <v>627</v>
      </c>
      <c r="G1073" t="s">
        <v>264</v>
      </c>
      <c r="H1073" t="s">
        <v>797</v>
      </c>
      <c r="I1073" t="s">
        <v>8</v>
      </c>
      <c r="J1073" t="s">
        <v>65</v>
      </c>
      <c r="K1073" t="s">
        <v>786</v>
      </c>
      <c r="L1073" t="s">
        <v>799</v>
      </c>
      <c r="M1073" t="s">
        <v>800</v>
      </c>
      <c r="N1073">
        <v>2</v>
      </c>
      <c r="O1073" s="3">
        <v>30.16</v>
      </c>
      <c r="P1073" s="3">
        <v>40.72</v>
      </c>
      <c r="Q1073" s="6">
        <v>0</v>
      </c>
      <c r="R1073" s="3">
        <v>81.44</v>
      </c>
      <c r="S1073" t="s">
        <v>919</v>
      </c>
    </row>
    <row r="1074" spans="1:19" x14ac:dyDescent="0.35">
      <c r="A1074" t="s">
        <v>2542</v>
      </c>
      <c r="B1074" t="s">
        <v>559</v>
      </c>
      <c r="C1074" s="5">
        <v>45942</v>
      </c>
      <c r="E1074" t="s">
        <v>311</v>
      </c>
      <c r="F1074" t="s">
        <v>674</v>
      </c>
      <c r="G1074" t="s">
        <v>235</v>
      </c>
      <c r="H1074" t="s">
        <v>20</v>
      </c>
      <c r="I1074" t="s">
        <v>14</v>
      </c>
      <c r="J1074" t="s">
        <v>25</v>
      </c>
      <c r="K1074" t="s">
        <v>786</v>
      </c>
      <c r="L1074" t="s">
        <v>787</v>
      </c>
      <c r="M1074" t="s">
        <v>818</v>
      </c>
      <c r="N1074">
        <v>12</v>
      </c>
      <c r="O1074" s="3">
        <v>18.95</v>
      </c>
      <c r="P1074" s="3">
        <v>25.58</v>
      </c>
      <c r="Q1074" s="6">
        <v>0</v>
      </c>
      <c r="R1074" s="3">
        <v>306.95999999999998</v>
      </c>
      <c r="S1074" t="s">
        <v>1017</v>
      </c>
    </row>
    <row r="1075" spans="1:19" x14ac:dyDescent="0.35">
      <c r="A1075" t="s">
        <v>2543</v>
      </c>
      <c r="B1075" t="s">
        <v>421</v>
      </c>
      <c r="C1075" s="5">
        <v>45342</v>
      </c>
      <c r="D1075" s="5">
        <v>45347</v>
      </c>
      <c r="E1075" t="s">
        <v>422</v>
      </c>
      <c r="F1075" t="s">
        <v>696</v>
      </c>
      <c r="G1075" t="s">
        <v>235</v>
      </c>
      <c r="H1075" t="s">
        <v>48</v>
      </c>
      <c r="I1075" t="s">
        <v>79</v>
      </c>
      <c r="J1075" t="s">
        <v>124</v>
      </c>
      <c r="K1075" t="s">
        <v>786</v>
      </c>
      <c r="L1075" t="s">
        <v>822</v>
      </c>
      <c r="M1075" t="s">
        <v>818</v>
      </c>
      <c r="N1075">
        <v>20</v>
      </c>
      <c r="O1075" s="3">
        <v>29.44</v>
      </c>
      <c r="P1075" s="3">
        <v>41.22</v>
      </c>
      <c r="Q1075" s="6">
        <v>0</v>
      </c>
      <c r="R1075" s="3">
        <v>824.4</v>
      </c>
      <c r="S1075" t="s">
        <v>888</v>
      </c>
    </row>
    <row r="1076" spans="1:19" x14ac:dyDescent="0.35">
      <c r="A1076" t="s">
        <v>2544</v>
      </c>
      <c r="B1076" t="s">
        <v>401</v>
      </c>
      <c r="C1076" s="5">
        <v>45292</v>
      </c>
      <c r="D1076" s="5">
        <v>45295</v>
      </c>
      <c r="E1076" t="s">
        <v>402</v>
      </c>
      <c r="F1076" t="s">
        <v>681</v>
      </c>
      <c r="G1076" t="s">
        <v>243</v>
      </c>
      <c r="H1076" t="s">
        <v>14</v>
      </c>
      <c r="I1076" t="s">
        <v>38</v>
      </c>
      <c r="J1076" t="s">
        <v>69</v>
      </c>
      <c r="K1076" t="s">
        <v>798</v>
      </c>
      <c r="L1076" t="s">
        <v>822</v>
      </c>
      <c r="M1076" t="s">
        <v>842</v>
      </c>
      <c r="N1076">
        <v>12</v>
      </c>
      <c r="O1076" s="3">
        <v>20.9</v>
      </c>
      <c r="P1076" s="3">
        <v>28.21</v>
      </c>
      <c r="Q1076" s="6">
        <v>0</v>
      </c>
      <c r="R1076" s="3">
        <v>338.52</v>
      </c>
      <c r="S1076" t="s">
        <v>876</v>
      </c>
    </row>
    <row r="1077" spans="1:19" x14ac:dyDescent="0.35">
      <c r="A1077" t="s">
        <v>2547</v>
      </c>
      <c r="B1077" t="s">
        <v>358</v>
      </c>
      <c r="C1077" s="5">
        <v>45439</v>
      </c>
      <c r="E1077" t="s">
        <v>287</v>
      </c>
      <c r="F1077" t="s">
        <v>637</v>
      </c>
      <c r="G1077" t="s">
        <v>243</v>
      </c>
      <c r="H1077" t="s">
        <v>48</v>
      </c>
      <c r="I1077" t="s">
        <v>20</v>
      </c>
      <c r="J1077" t="s">
        <v>196</v>
      </c>
      <c r="K1077" t="s">
        <v>786</v>
      </c>
      <c r="L1077" t="s">
        <v>817</v>
      </c>
      <c r="M1077" t="s">
        <v>818</v>
      </c>
      <c r="N1077">
        <v>3</v>
      </c>
      <c r="O1077" s="3">
        <v>15.78</v>
      </c>
      <c r="P1077" s="3">
        <v>19.72</v>
      </c>
      <c r="Q1077" s="6">
        <v>0</v>
      </c>
      <c r="R1077" s="3">
        <v>59.16</v>
      </c>
      <c r="S1077" t="s">
        <v>869</v>
      </c>
    </row>
    <row r="1078" spans="1:19" x14ac:dyDescent="0.35">
      <c r="A1078" t="s">
        <v>2548</v>
      </c>
      <c r="B1078" t="s">
        <v>550</v>
      </c>
      <c r="C1078" s="5">
        <v>45721</v>
      </c>
      <c r="E1078" t="s">
        <v>408</v>
      </c>
      <c r="F1078" t="s">
        <v>674</v>
      </c>
      <c r="G1078" t="s">
        <v>243</v>
      </c>
      <c r="H1078" t="s">
        <v>797</v>
      </c>
      <c r="I1078" t="s">
        <v>20</v>
      </c>
      <c r="J1078" t="s">
        <v>97</v>
      </c>
      <c r="K1078" t="s">
        <v>798</v>
      </c>
      <c r="L1078" t="s">
        <v>793</v>
      </c>
      <c r="M1078" t="s">
        <v>800</v>
      </c>
      <c r="N1078">
        <v>10</v>
      </c>
      <c r="O1078" s="3">
        <v>20.79</v>
      </c>
      <c r="P1078" s="3">
        <v>28.07</v>
      </c>
      <c r="Q1078" s="6">
        <v>0</v>
      </c>
      <c r="R1078" s="3">
        <v>280.7</v>
      </c>
      <c r="S1078" t="s">
        <v>935</v>
      </c>
    </row>
    <row r="1079" spans="1:19" x14ac:dyDescent="0.35">
      <c r="A1079" t="s">
        <v>2549</v>
      </c>
      <c r="B1079" t="s">
        <v>578</v>
      </c>
      <c r="C1079" s="5">
        <v>45418</v>
      </c>
      <c r="E1079" t="s">
        <v>368</v>
      </c>
      <c r="F1079" t="s">
        <v>674</v>
      </c>
      <c r="G1079" t="s">
        <v>235</v>
      </c>
      <c r="H1079" t="s">
        <v>797</v>
      </c>
      <c r="I1079" t="s">
        <v>43</v>
      </c>
      <c r="J1079" t="s">
        <v>222</v>
      </c>
      <c r="K1079" t="s">
        <v>813</v>
      </c>
      <c r="L1079" t="s">
        <v>793</v>
      </c>
      <c r="M1079" t="s">
        <v>800</v>
      </c>
      <c r="N1079">
        <v>5</v>
      </c>
      <c r="O1079" s="3">
        <v>37.1</v>
      </c>
      <c r="P1079" s="3">
        <v>48.23</v>
      </c>
      <c r="Q1079" s="6">
        <v>0</v>
      </c>
      <c r="R1079" s="3">
        <v>241.14999999999998</v>
      </c>
      <c r="S1079" t="s">
        <v>869</v>
      </c>
    </row>
    <row r="1080" spans="1:19" x14ac:dyDescent="0.35">
      <c r="A1080" t="s">
        <v>2550</v>
      </c>
      <c r="B1080" t="s">
        <v>428</v>
      </c>
      <c r="C1080" s="5">
        <v>45412</v>
      </c>
      <c r="D1080" s="5">
        <v>45421</v>
      </c>
      <c r="E1080" t="s">
        <v>429</v>
      </c>
      <c r="F1080" t="s">
        <v>627</v>
      </c>
      <c r="G1080" t="s">
        <v>264</v>
      </c>
      <c r="H1080" t="s">
        <v>797</v>
      </c>
      <c r="I1080" t="s">
        <v>14</v>
      </c>
      <c r="J1080" t="s">
        <v>111</v>
      </c>
      <c r="K1080" t="s">
        <v>798</v>
      </c>
      <c r="L1080" t="s">
        <v>799</v>
      </c>
      <c r="M1080" t="s">
        <v>818</v>
      </c>
      <c r="N1080">
        <v>10</v>
      </c>
      <c r="O1080" s="3">
        <v>19.850000000000001</v>
      </c>
      <c r="P1080" s="3">
        <v>28.78</v>
      </c>
      <c r="Q1080" s="6">
        <v>0</v>
      </c>
      <c r="R1080" s="3">
        <v>287.8</v>
      </c>
      <c r="S1080" t="s">
        <v>919</v>
      </c>
    </row>
    <row r="1081" spans="1:19" x14ac:dyDescent="0.35">
      <c r="A1081" t="s">
        <v>2551</v>
      </c>
      <c r="B1081" t="s">
        <v>493</v>
      </c>
      <c r="C1081" s="5">
        <v>46052</v>
      </c>
      <c r="D1081" s="5">
        <v>46059</v>
      </c>
      <c r="E1081" t="s">
        <v>311</v>
      </c>
      <c r="F1081" t="s">
        <v>674</v>
      </c>
      <c r="G1081" t="s">
        <v>243</v>
      </c>
      <c r="H1081" t="s">
        <v>797</v>
      </c>
      <c r="I1081" t="s">
        <v>38</v>
      </c>
      <c r="J1081" t="s">
        <v>80</v>
      </c>
      <c r="K1081" t="s">
        <v>786</v>
      </c>
      <c r="L1081" t="s">
        <v>822</v>
      </c>
      <c r="M1081" t="s">
        <v>800</v>
      </c>
      <c r="N1081">
        <v>12</v>
      </c>
      <c r="O1081" s="3">
        <v>38.57</v>
      </c>
      <c r="P1081" s="3">
        <v>48.21</v>
      </c>
      <c r="Q1081" s="6">
        <v>0</v>
      </c>
      <c r="R1081" s="3">
        <v>578.52</v>
      </c>
      <c r="S1081" t="s">
        <v>829</v>
      </c>
    </row>
    <row r="1082" spans="1:19" x14ac:dyDescent="0.35">
      <c r="A1082" t="s">
        <v>2552</v>
      </c>
      <c r="B1082" t="s">
        <v>561</v>
      </c>
      <c r="C1082" s="5">
        <v>45553</v>
      </c>
      <c r="D1082" s="5">
        <v>45562</v>
      </c>
      <c r="E1082" t="s">
        <v>562</v>
      </c>
      <c r="F1082" t="s">
        <v>696</v>
      </c>
      <c r="G1082" t="s">
        <v>243</v>
      </c>
      <c r="H1082" t="s">
        <v>797</v>
      </c>
      <c r="I1082" t="s">
        <v>8</v>
      </c>
      <c r="J1082" t="s">
        <v>129</v>
      </c>
      <c r="K1082" t="s">
        <v>813</v>
      </c>
      <c r="L1082" t="s">
        <v>799</v>
      </c>
      <c r="M1082" t="s">
        <v>818</v>
      </c>
      <c r="N1082">
        <v>12</v>
      </c>
      <c r="O1082" s="3">
        <v>22.15</v>
      </c>
      <c r="P1082" s="3">
        <v>31.01</v>
      </c>
      <c r="Q1082" s="6">
        <v>0</v>
      </c>
      <c r="R1082" s="3">
        <v>372.12</v>
      </c>
      <c r="S1082" t="s">
        <v>794</v>
      </c>
    </row>
    <row r="1083" spans="1:19" x14ac:dyDescent="0.35">
      <c r="A1083" t="s">
        <v>2553</v>
      </c>
      <c r="B1083" t="s">
        <v>599</v>
      </c>
      <c r="C1083" s="5">
        <v>45397</v>
      </c>
      <c r="E1083" t="s">
        <v>600</v>
      </c>
      <c r="F1083" t="s">
        <v>627</v>
      </c>
      <c r="G1083" t="s">
        <v>243</v>
      </c>
      <c r="H1083" t="s">
        <v>48</v>
      </c>
      <c r="I1083" t="s">
        <v>20</v>
      </c>
      <c r="J1083" t="s">
        <v>104</v>
      </c>
      <c r="K1083" t="s">
        <v>786</v>
      </c>
      <c r="L1083" t="s">
        <v>793</v>
      </c>
      <c r="M1083" t="s">
        <v>818</v>
      </c>
      <c r="N1083">
        <v>10</v>
      </c>
      <c r="O1083" s="3">
        <v>43.88</v>
      </c>
      <c r="P1083" s="3">
        <v>54.85</v>
      </c>
      <c r="Q1083" s="6">
        <v>0.15</v>
      </c>
      <c r="R1083" s="3">
        <v>466.22500000000002</v>
      </c>
      <c r="S1083" t="s">
        <v>876</v>
      </c>
    </row>
    <row r="1084" spans="1:19" x14ac:dyDescent="0.35">
      <c r="A1084" t="s">
        <v>2554</v>
      </c>
      <c r="B1084" t="s">
        <v>565</v>
      </c>
      <c r="C1084" s="5">
        <v>45723</v>
      </c>
      <c r="D1084" s="5">
        <v>45732</v>
      </c>
      <c r="E1084" t="s">
        <v>566</v>
      </c>
      <c r="F1084" t="s">
        <v>254</v>
      </c>
      <c r="H1084" t="s">
        <v>20</v>
      </c>
      <c r="I1084" t="s">
        <v>43</v>
      </c>
      <c r="J1084" t="s">
        <v>171</v>
      </c>
      <c r="K1084" t="s">
        <v>798</v>
      </c>
      <c r="L1084" t="s">
        <v>799</v>
      </c>
      <c r="M1084" t="s">
        <v>800</v>
      </c>
      <c r="N1084">
        <v>2</v>
      </c>
      <c r="O1084" s="3">
        <v>29.39</v>
      </c>
      <c r="P1084" s="3">
        <v>39.68</v>
      </c>
      <c r="Q1084" s="6">
        <v>0</v>
      </c>
      <c r="R1084" s="3">
        <v>79.36</v>
      </c>
      <c r="S1084" t="s">
        <v>869</v>
      </c>
    </row>
    <row r="1085" spans="1:19" x14ac:dyDescent="0.35">
      <c r="A1085" t="s">
        <v>2555</v>
      </c>
      <c r="B1085" t="s">
        <v>575</v>
      </c>
      <c r="C1085" s="5">
        <v>45628</v>
      </c>
      <c r="E1085" t="s">
        <v>439</v>
      </c>
      <c r="F1085" t="s">
        <v>637</v>
      </c>
      <c r="G1085" t="s">
        <v>264</v>
      </c>
      <c r="H1085" t="s">
        <v>797</v>
      </c>
      <c r="I1085" t="s">
        <v>48</v>
      </c>
      <c r="J1085" t="s">
        <v>219</v>
      </c>
      <c r="K1085" t="s">
        <v>798</v>
      </c>
      <c r="L1085" t="s">
        <v>787</v>
      </c>
      <c r="M1085" t="s">
        <v>818</v>
      </c>
      <c r="N1085">
        <v>10</v>
      </c>
      <c r="O1085" s="3">
        <v>12.9</v>
      </c>
      <c r="P1085" s="3">
        <v>18.7</v>
      </c>
      <c r="Q1085" s="6">
        <v>0</v>
      </c>
      <c r="R1085" s="3">
        <v>187</v>
      </c>
      <c r="S1085" t="s">
        <v>803</v>
      </c>
    </row>
    <row r="1086" spans="1:19" x14ac:dyDescent="0.35">
      <c r="A1086" t="s">
        <v>2556</v>
      </c>
      <c r="B1086" t="s">
        <v>550</v>
      </c>
      <c r="C1086" s="5">
        <v>45798</v>
      </c>
      <c r="D1086" s="5">
        <v>45808</v>
      </c>
      <c r="E1086" t="s">
        <v>408</v>
      </c>
      <c r="F1086" t="s">
        <v>696</v>
      </c>
      <c r="G1086" t="s">
        <v>243</v>
      </c>
      <c r="H1086" t="s">
        <v>14</v>
      </c>
      <c r="I1086" t="s">
        <v>8</v>
      </c>
      <c r="J1086" t="s">
        <v>204</v>
      </c>
      <c r="K1086" t="s">
        <v>813</v>
      </c>
      <c r="L1086" t="s">
        <v>799</v>
      </c>
      <c r="M1086" t="s">
        <v>818</v>
      </c>
      <c r="N1086">
        <v>3</v>
      </c>
      <c r="O1086" s="3">
        <v>28.27</v>
      </c>
      <c r="P1086" s="3">
        <v>40.99</v>
      </c>
      <c r="Q1086" s="6">
        <v>0.1</v>
      </c>
      <c r="R1086" s="3">
        <v>110.673</v>
      </c>
      <c r="S1086" t="s">
        <v>946</v>
      </c>
    </row>
    <row r="1087" spans="1:19" x14ac:dyDescent="0.35">
      <c r="A1087" t="s">
        <v>2557</v>
      </c>
      <c r="B1087" t="s">
        <v>518</v>
      </c>
      <c r="C1087" s="5">
        <v>45676</v>
      </c>
      <c r="D1087" s="5">
        <v>45678</v>
      </c>
      <c r="E1087" t="s">
        <v>519</v>
      </c>
      <c r="F1087" t="s">
        <v>637</v>
      </c>
      <c r="G1087" t="s">
        <v>264</v>
      </c>
      <c r="H1087" t="s">
        <v>48</v>
      </c>
      <c r="I1087" t="s">
        <v>14</v>
      </c>
      <c r="J1087" t="s">
        <v>24</v>
      </c>
      <c r="K1087" t="s">
        <v>798</v>
      </c>
      <c r="L1087" t="s">
        <v>799</v>
      </c>
      <c r="M1087" t="s">
        <v>842</v>
      </c>
      <c r="N1087">
        <v>10</v>
      </c>
      <c r="O1087" s="3">
        <v>37.42</v>
      </c>
      <c r="P1087" s="3">
        <v>50.52</v>
      </c>
      <c r="Q1087" s="6">
        <v>0.1</v>
      </c>
      <c r="R1087" s="3">
        <v>454.68000000000006</v>
      </c>
      <c r="S1087" t="s">
        <v>919</v>
      </c>
    </row>
    <row r="1088" spans="1:19" x14ac:dyDescent="0.35">
      <c r="A1088" t="s">
        <v>2558</v>
      </c>
      <c r="B1088" t="s">
        <v>545</v>
      </c>
      <c r="C1088" s="5">
        <v>45536</v>
      </c>
      <c r="D1088" s="5">
        <v>45544</v>
      </c>
      <c r="E1088" t="s">
        <v>546</v>
      </c>
      <c r="F1088" t="s">
        <v>681</v>
      </c>
      <c r="G1088" t="s">
        <v>235</v>
      </c>
      <c r="H1088" t="s">
        <v>20</v>
      </c>
      <c r="I1088" t="s">
        <v>8</v>
      </c>
      <c r="J1088" t="s">
        <v>65</v>
      </c>
      <c r="K1088" t="s">
        <v>798</v>
      </c>
      <c r="L1088" t="s">
        <v>799</v>
      </c>
      <c r="M1088" t="s">
        <v>842</v>
      </c>
      <c r="N1088">
        <v>3</v>
      </c>
      <c r="O1088" s="3">
        <v>30.16</v>
      </c>
      <c r="P1088" s="3">
        <v>40.72</v>
      </c>
      <c r="Q1088" s="6">
        <v>0</v>
      </c>
      <c r="R1088" s="3">
        <v>122.16</v>
      </c>
      <c r="S1088" t="s">
        <v>869</v>
      </c>
    </row>
    <row r="1089" spans="1:19" x14ac:dyDescent="0.35">
      <c r="A1089" t="s">
        <v>2560</v>
      </c>
      <c r="B1089" t="s">
        <v>520</v>
      </c>
      <c r="C1089" s="5">
        <v>45763</v>
      </c>
      <c r="D1089" s="5">
        <v>45767</v>
      </c>
      <c r="E1089" t="s">
        <v>521</v>
      </c>
      <c r="F1089" t="s">
        <v>254</v>
      </c>
      <c r="G1089" t="s">
        <v>243</v>
      </c>
      <c r="H1089" t="s">
        <v>48</v>
      </c>
      <c r="I1089" t="s">
        <v>38</v>
      </c>
      <c r="J1089" t="s">
        <v>69</v>
      </c>
      <c r="K1089" t="s">
        <v>786</v>
      </c>
      <c r="L1089" t="s">
        <v>799</v>
      </c>
      <c r="M1089" t="s">
        <v>818</v>
      </c>
      <c r="N1089">
        <v>12</v>
      </c>
      <c r="O1089" s="3">
        <v>20.9</v>
      </c>
      <c r="P1089" s="3">
        <v>28.21</v>
      </c>
      <c r="Q1089" s="6">
        <v>0.15</v>
      </c>
      <c r="R1089" s="3">
        <v>287.74199999999996</v>
      </c>
      <c r="S1089" t="s">
        <v>839</v>
      </c>
    </row>
    <row r="1090" spans="1:19" x14ac:dyDescent="0.35">
      <c r="A1090" t="s">
        <v>2561</v>
      </c>
      <c r="B1090" t="s">
        <v>260</v>
      </c>
      <c r="C1090" s="5">
        <v>45872</v>
      </c>
      <c r="D1090" s="5">
        <v>45877</v>
      </c>
      <c r="E1090" t="s">
        <v>261</v>
      </c>
      <c r="F1090" t="s">
        <v>681</v>
      </c>
      <c r="G1090" t="s">
        <v>264</v>
      </c>
      <c r="H1090" t="s">
        <v>48</v>
      </c>
      <c r="I1090" t="s">
        <v>38</v>
      </c>
      <c r="J1090" t="s">
        <v>69</v>
      </c>
      <c r="K1090" t="s">
        <v>813</v>
      </c>
      <c r="L1090" t="s">
        <v>822</v>
      </c>
      <c r="M1090" t="s">
        <v>842</v>
      </c>
      <c r="N1090">
        <v>5</v>
      </c>
      <c r="O1090" s="3">
        <v>20.9</v>
      </c>
      <c r="P1090" s="3">
        <v>28.21</v>
      </c>
      <c r="Q1090" s="6">
        <v>0.15</v>
      </c>
      <c r="R1090" s="3">
        <v>119.89250000000001</v>
      </c>
      <c r="S1090" t="s">
        <v>845</v>
      </c>
    </row>
    <row r="1091" spans="1:19" x14ac:dyDescent="0.35">
      <c r="A1091" t="s">
        <v>2562</v>
      </c>
      <c r="B1091" t="s">
        <v>448</v>
      </c>
      <c r="C1091" s="5">
        <v>45659</v>
      </c>
      <c r="E1091" t="s">
        <v>427</v>
      </c>
      <c r="F1091" t="s">
        <v>674</v>
      </c>
      <c r="G1091" t="s">
        <v>243</v>
      </c>
      <c r="H1091" t="s">
        <v>797</v>
      </c>
      <c r="I1091" t="s">
        <v>29</v>
      </c>
      <c r="J1091" t="s">
        <v>191</v>
      </c>
      <c r="K1091" t="s">
        <v>786</v>
      </c>
      <c r="L1091" t="s">
        <v>793</v>
      </c>
      <c r="M1091" t="s">
        <v>800</v>
      </c>
      <c r="N1091">
        <v>10</v>
      </c>
      <c r="O1091" s="3">
        <v>11.26</v>
      </c>
      <c r="P1091" s="3">
        <v>15.2</v>
      </c>
      <c r="Q1091" s="6">
        <v>0</v>
      </c>
      <c r="R1091" s="3">
        <v>152</v>
      </c>
      <c r="S1091" t="s">
        <v>963</v>
      </c>
    </row>
    <row r="1092" spans="1:19" x14ac:dyDescent="0.35">
      <c r="A1092" t="s">
        <v>2563</v>
      </c>
      <c r="B1092" t="s">
        <v>569</v>
      </c>
      <c r="C1092" s="5">
        <v>45863</v>
      </c>
      <c r="D1092" s="5">
        <v>45869</v>
      </c>
      <c r="E1092" t="s">
        <v>535</v>
      </c>
      <c r="F1092" t="s">
        <v>633</v>
      </c>
      <c r="H1092" t="s">
        <v>20</v>
      </c>
      <c r="I1092" t="s">
        <v>79</v>
      </c>
      <c r="J1092" t="s">
        <v>108</v>
      </c>
      <c r="K1092" t="s">
        <v>786</v>
      </c>
      <c r="L1092" t="s">
        <v>799</v>
      </c>
      <c r="M1092" t="s">
        <v>788</v>
      </c>
      <c r="N1092">
        <v>1</v>
      </c>
      <c r="O1092" s="3">
        <v>9.3000000000000007</v>
      </c>
      <c r="P1092" s="3">
        <v>12.56</v>
      </c>
      <c r="Q1092" s="6">
        <v>0.05</v>
      </c>
      <c r="R1092" s="3">
        <v>11.932</v>
      </c>
      <c r="S1092" t="s">
        <v>834</v>
      </c>
    </row>
    <row r="1093" spans="1:19" x14ac:dyDescent="0.35">
      <c r="A1093" t="s">
        <v>2564</v>
      </c>
      <c r="B1093" t="s">
        <v>527</v>
      </c>
      <c r="C1093" s="5">
        <v>45652</v>
      </c>
      <c r="E1093" t="s">
        <v>282</v>
      </c>
      <c r="F1093" t="s">
        <v>681</v>
      </c>
      <c r="G1093" t="s">
        <v>235</v>
      </c>
      <c r="H1093" t="s">
        <v>20</v>
      </c>
      <c r="I1093" t="s">
        <v>38</v>
      </c>
      <c r="J1093" t="s">
        <v>172</v>
      </c>
      <c r="K1093" t="s">
        <v>786</v>
      </c>
      <c r="L1093" t="s">
        <v>793</v>
      </c>
      <c r="M1093" t="s">
        <v>800</v>
      </c>
      <c r="N1093">
        <v>12</v>
      </c>
      <c r="O1093" s="3">
        <v>18.329999999999998</v>
      </c>
      <c r="P1093" s="3">
        <v>22.91</v>
      </c>
      <c r="Q1093" s="6">
        <v>0</v>
      </c>
      <c r="R1093" s="3">
        <v>274.92</v>
      </c>
      <c r="S1093" t="s">
        <v>834</v>
      </c>
    </row>
    <row r="1094" spans="1:19" x14ac:dyDescent="0.35">
      <c r="A1094" t="s">
        <v>2565</v>
      </c>
      <c r="B1094" t="s">
        <v>430</v>
      </c>
      <c r="C1094" s="5">
        <v>45946</v>
      </c>
      <c r="E1094" t="s">
        <v>431</v>
      </c>
      <c r="F1094" t="s">
        <v>627</v>
      </c>
      <c r="G1094" t="s">
        <v>264</v>
      </c>
      <c r="H1094" t="s">
        <v>14</v>
      </c>
      <c r="I1094" t="s">
        <v>20</v>
      </c>
      <c r="J1094" t="s">
        <v>159</v>
      </c>
      <c r="K1094" t="s">
        <v>813</v>
      </c>
      <c r="L1094" t="s">
        <v>793</v>
      </c>
      <c r="M1094" t="s">
        <v>800</v>
      </c>
      <c r="N1094">
        <v>5</v>
      </c>
      <c r="O1094" s="3">
        <v>8.2200000000000006</v>
      </c>
      <c r="P1094" s="3">
        <v>11.1</v>
      </c>
      <c r="Q1094" s="6">
        <v>0.15</v>
      </c>
      <c r="R1094" s="3">
        <v>47.174999999999997</v>
      </c>
      <c r="S1094" t="s">
        <v>819</v>
      </c>
    </row>
    <row r="1095" spans="1:19" x14ac:dyDescent="0.35">
      <c r="A1095" t="s">
        <v>2566</v>
      </c>
      <c r="B1095" t="s">
        <v>485</v>
      </c>
      <c r="C1095" s="5">
        <v>45651</v>
      </c>
      <c r="E1095" t="s">
        <v>486</v>
      </c>
      <c r="F1095" t="s">
        <v>633</v>
      </c>
      <c r="G1095" t="s">
        <v>243</v>
      </c>
      <c r="H1095" t="s">
        <v>20</v>
      </c>
      <c r="I1095" t="s">
        <v>20</v>
      </c>
      <c r="J1095" t="s">
        <v>97</v>
      </c>
      <c r="K1095" t="s">
        <v>786</v>
      </c>
      <c r="L1095" t="s">
        <v>793</v>
      </c>
      <c r="M1095" t="s">
        <v>842</v>
      </c>
      <c r="N1095">
        <v>3</v>
      </c>
      <c r="O1095" s="3">
        <v>20.79</v>
      </c>
      <c r="P1095" s="3">
        <v>28.07</v>
      </c>
      <c r="Q1095" s="6">
        <v>0</v>
      </c>
      <c r="R1095" s="3">
        <v>84.210000000000008</v>
      </c>
      <c r="S1095" t="s">
        <v>803</v>
      </c>
    </row>
    <row r="1096" spans="1:19" x14ac:dyDescent="0.35">
      <c r="A1096" t="s">
        <v>2567</v>
      </c>
      <c r="B1096" t="s">
        <v>588</v>
      </c>
      <c r="C1096" s="5">
        <v>45609</v>
      </c>
      <c r="D1096" s="5">
        <v>45611</v>
      </c>
      <c r="E1096" t="s">
        <v>435</v>
      </c>
      <c r="F1096" t="s">
        <v>681</v>
      </c>
      <c r="G1096" t="s">
        <v>264</v>
      </c>
      <c r="H1096" t="s">
        <v>14</v>
      </c>
      <c r="I1096" t="s">
        <v>79</v>
      </c>
      <c r="J1096" t="s">
        <v>77</v>
      </c>
      <c r="K1096" t="s">
        <v>786</v>
      </c>
      <c r="L1096" t="s">
        <v>799</v>
      </c>
      <c r="M1096" t="s">
        <v>818</v>
      </c>
      <c r="N1096">
        <v>1</v>
      </c>
      <c r="O1096" s="3">
        <v>13.71</v>
      </c>
      <c r="P1096" s="3">
        <v>17.82</v>
      </c>
      <c r="Q1096" s="6">
        <v>0.1</v>
      </c>
      <c r="R1096" s="3">
        <v>16.038</v>
      </c>
      <c r="S1096" t="s">
        <v>1001</v>
      </c>
    </row>
    <row r="1097" spans="1:19" x14ac:dyDescent="0.35">
      <c r="A1097" t="s">
        <v>2568</v>
      </c>
      <c r="B1097" t="s">
        <v>317</v>
      </c>
      <c r="C1097" s="5">
        <v>45495</v>
      </c>
      <c r="E1097" t="s">
        <v>318</v>
      </c>
      <c r="F1097" t="s">
        <v>681</v>
      </c>
      <c r="G1097" t="s">
        <v>264</v>
      </c>
      <c r="H1097" t="s">
        <v>14</v>
      </c>
      <c r="I1097" t="s">
        <v>43</v>
      </c>
      <c r="J1097" t="s">
        <v>141</v>
      </c>
      <c r="K1097" t="s">
        <v>786</v>
      </c>
      <c r="L1097" t="s">
        <v>793</v>
      </c>
      <c r="M1097" t="s">
        <v>800</v>
      </c>
      <c r="N1097">
        <v>20</v>
      </c>
      <c r="O1097" s="3">
        <v>17.2</v>
      </c>
      <c r="P1097" s="3">
        <v>22.36</v>
      </c>
      <c r="Q1097" s="6">
        <v>0</v>
      </c>
      <c r="R1097" s="3">
        <v>447.2</v>
      </c>
      <c r="S1097" t="s">
        <v>1001</v>
      </c>
    </row>
    <row r="1098" spans="1:19" x14ac:dyDescent="0.35">
      <c r="A1098" t="s">
        <v>2569</v>
      </c>
      <c r="B1098" t="s">
        <v>448</v>
      </c>
      <c r="C1098" s="5">
        <v>45640</v>
      </c>
      <c r="D1098" s="5">
        <v>45642</v>
      </c>
      <c r="E1098" t="s">
        <v>427</v>
      </c>
      <c r="F1098" t="s">
        <v>696</v>
      </c>
      <c r="G1098" t="s">
        <v>243</v>
      </c>
      <c r="H1098" t="s">
        <v>797</v>
      </c>
      <c r="I1098" t="s">
        <v>20</v>
      </c>
      <c r="J1098" t="s">
        <v>34</v>
      </c>
      <c r="K1098" t="s">
        <v>798</v>
      </c>
      <c r="L1098" t="s">
        <v>799</v>
      </c>
      <c r="M1098" t="s">
        <v>800</v>
      </c>
      <c r="N1098">
        <v>10</v>
      </c>
      <c r="O1098" s="3">
        <v>28.02</v>
      </c>
      <c r="P1098" s="3">
        <v>36.43</v>
      </c>
      <c r="Q1098" s="6">
        <v>0.1</v>
      </c>
      <c r="R1098" s="3">
        <v>327.87</v>
      </c>
      <c r="S1098" t="s">
        <v>803</v>
      </c>
    </row>
    <row r="1099" spans="1:19" x14ac:dyDescent="0.35">
      <c r="A1099" t="s">
        <v>2570</v>
      </c>
      <c r="B1099" t="s">
        <v>487</v>
      </c>
      <c r="C1099" s="5">
        <v>45623</v>
      </c>
      <c r="D1099" s="5">
        <v>45627</v>
      </c>
      <c r="E1099" t="s">
        <v>488</v>
      </c>
      <c r="F1099" t="s">
        <v>637</v>
      </c>
      <c r="G1099" t="s">
        <v>243</v>
      </c>
      <c r="H1099" t="s">
        <v>797</v>
      </c>
      <c r="I1099" t="s">
        <v>20</v>
      </c>
      <c r="J1099" t="s">
        <v>34</v>
      </c>
      <c r="K1099" t="s">
        <v>798</v>
      </c>
      <c r="L1099" t="s">
        <v>799</v>
      </c>
      <c r="M1099" t="s">
        <v>800</v>
      </c>
      <c r="N1099">
        <v>3</v>
      </c>
      <c r="O1099" s="3">
        <v>28.02</v>
      </c>
      <c r="P1099" s="3">
        <v>36.43</v>
      </c>
      <c r="Q1099" s="6">
        <v>0</v>
      </c>
      <c r="R1099" s="3">
        <v>109.28999999999999</v>
      </c>
      <c r="S1099" t="s">
        <v>819</v>
      </c>
    </row>
    <row r="1100" spans="1:19" x14ac:dyDescent="0.35">
      <c r="A1100" t="s">
        <v>2571</v>
      </c>
      <c r="B1100" t="s">
        <v>398</v>
      </c>
      <c r="C1100" s="5">
        <v>46003</v>
      </c>
      <c r="E1100" t="s">
        <v>399</v>
      </c>
      <c r="F1100" t="s">
        <v>674</v>
      </c>
      <c r="G1100" t="s">
        <v>264</v>
      </c>
      <c r="H1100" t="s">
        <v>797</v>
      </c>
      <c r="I1100" t="s">
        <v>29</v>
      </c>
      <c r="J1100" t="s">
        <v>123</v>
      </c>
      <c r="K1100" t="s">
        <v>786</v>
      </c>
      <c r="L1100" t="s">
        <v>787</v>
      </c>
      <c r="M1100" t="s">
        <v>800</v>
      </c>
      <c r="N1100">
        <v>10</v>
      </c>
      <c r="O1100" s="3">
        <v>20.7</v>
      </c>
      <c r="P1100" s="3">
        <v>30.01</v>
      </c>
      <c r="Q1100" s="6">
        <v>0</v>
      </c>
      <c r="R1100" s="3">
        <v>300.10000000000002</v>
      </c>
      <c r="S1100" t="s">
        <v>839</v>
      </c>
    </row>
    <row r="1101" spans="1:19" x14ac:dyDescent="0.35">
      <c r="A1101" t="s">
        <v>2572</v>
      </c>
      <c r="B1101" t="s">
        <v>485</v>
      </c>
      <c r="C1101" s="5">
        <v>45918</v>
      </c>
      <c r="E1101" t="s">
        <v>486</v>
      </c>
      <c r="F1101" t="s">
        <v>696</v>
      </c>
      <c r="G1101" t="s">
        <v>243</v>
      </c>
      <c r="H1101" t="s">
        <v>14</v>
      </c>
      <c r="I1101" t="s">
        <v>20</v>
      </c>
      <c r="J1101" t="s">
        <v>18</v>
      </c>
      <c r="K1101" t="s">
        <v>786</v>
      </c>
      <c r="L1101" t="s">
        <v>793</v>
      </c>
      <c r="M1101" t="s">
        <v>788</v>
      </c>
      <c r="N1101">
        <v>3</v>
      </c>
      <c r="O1101" s="3">
        <v>21.57</v>
      </c>
      <c r="P1101" s="3">
        <v>26.96</v>
      </c>
      <c r="Q1101" s="6">
        <v>0.1</v>
      </c>
      <c r="R1101" s="3">
        <v>72.792000000000002</v>
      </c>
      <c r="S1101" t="s">
        <v>803</v>
      </c>
    </row>
    <row r="1102" spans="1:19" x14ac:dyDescent="0.35">
      <c r="A1102" t="s">
        <v>2573</v>
      </c>
      <c r="B1102" t="s">
        <v>543</v>
      </c>
      <c r="C1102" s="5">
        <v>45701</v>
      </c>
      <c r="E1102" t="s">
        <v>544</v>
      </c>
      <c r="F1102" t="s">
        <v>696</v>
      </c>
      <c r="G1102" t="s">
        <v>243</v>
      </c>
      <c r="H1102" t="s">
        <v>20</v>
      </c>
      <c r="I1102" t="s">
        <v>20</v>
      </c>
      <c r="J1102" t="s">
        <v>163</v>
      </c>
      <c r="K1102" t="s">
        <v>798</v>
      </c>
      <c r="L1102" t="s">
        <v>817</v>
      </c>
      <c r="M1102" t="s">
        <v>800</v>
      </c>
      <c r="N1102">
        <v>1</v>
      </c>
      <c r="O1102" s="3">
        <v>55.3</v>
      </c>
      <c r="P1102" s="3">
        <v>74.66</v>
      </c>
      <c r="Q1102" s="6">
        <v>0.05</v>
      </c>
      <c r="R1102" s="3">
        <v>70.926999999999992</v>
      </c>
      <c r="S1102" t="s">
        <v>814</v>
      </c>
    </row>
    <row r="1103" spans="1:19" x14ac:dyDescent="0.35">
      <c r="A1103" t="s">
        <v>2574</v>
      </c>
      <c r="B1103" t="s">
        <v>432</v>
      </c>
      <c r="C1103" s="5">
        <v>45665</v>
      </c>
      <c r="E1103" t="s">
        <v>433</v>
      </c>
      <c r="F1103" t="s">
        <v>627</v>
      </c>
      <c r="G1103" t="s">
        <v>243</v>
      </c>
      <c r="H1103" t="s">
        <v>797</v>
      </c>
      <c r="I1103" t="s">
        <v>29</v>
      </c>
      <c r="J1103" t="s">
        <v>27</v>
      </c>
      <c r="K1103" t="s">
        <v>786</v>
      </c>
      <c r="L1103" t="s">
        <v>787</v>
      </c>
      <c r="M1103" t="s">
        <v>788</v>
      </c>
      <c r="N1103">
        <v>10</v>
      </c>
      <c r="O1103" s="3">
        <v>33.06</v>
      </c>
      <c r="P1103" s="3">
        <v>47.94</v>
      </c>
      <c r="Q1103" s="6">
        <v>0.1</v>
      </c>
      <c r="R1103" s="3">
        <v>431.46</v>
      </c>
      <c r="S1103" t="s">
        <v>803</v>
      </c>
    </row>
    <row r="1104" spans="1:19" x14ac:dyDescent="0.35">
      <c r="A1104" t="s">
        <v>2575</v>
      </c>
      <c r="B1104" t="s">
        <v>513</v>
      </c>
      <c r="C1104" s="5">
        <v>45423</v>
      </c>
      <c r="D1104" s="5">
        <v>45432</v>
      </c>
      <c r="E1104" t="s">
        <v>514</v>
      </c>
      <c r="F1104" t="s">
        <v>681</v>
      </c>
      <c r="G1104" t="s">
        <v>264</v>
      </c>
      <c r="H1104" t="s">
        <v>14</v>
      </c>
      <c r="I1104" t="s">
        <v>20</v>
      </c>
      <c r="J1104" t="s">
        <v>137</v>
      </c>
      <c r="K1104" t="s">
        <v>798</v>
      </c>
      <c r="L1104" t="s">
        <v>799</v>
      </c>
      <c r="M1104" t="s">
        <v>788</v>
      </c>
      <c r="N1104">
        <v>1</v>
      </c>
      <c r="O1104" s="3">
        <v>23.58</v>
      </c>
      <c r="P1104" s="3">
        <v>31.83</v>
      </c>
      <c r="Q1104" s="6">
        <v>0.15</v>
      </c>
      <c r="R1104" s="3">
        <v>27.055499999999999</v>
      </c>
      <c r="S1104" t="s">
        <v>814</v>
      </c>
    </row>
    <row r="1105" spans="1:19" x14ac:dyDescent="0.35">
      <c r="A1105" t="s">
        <v>2576</v>
      </c>
      <c r="B1105" t="s">
        <v>407</v>
      </c>
      <c r="C1105" s="5">
        <v>45521</v>
      </c>
      <c r="D1105" s="5">
        <v>45522</v>
      </c>
      <c r="E1105" t="s">
        <v>408</v>
      </c>
      <c r="F1105" t="s">
        <v>627</v>
      </c>
      <c r="G1105" t="s">
        <v>235</v>
      </c>
      <c r="H1105" t="s">
        <v>20</v>
      </c>
      <c r="I1105" t="s">
        <v>8</v>
      </c>
      <c r="J1105" t="s">
        <v>192</v>
      </c>
      <c r="K1105" t="s">
        <v>798</v>
      </c>
      <c r="L1105" t="s">
        <v>799</v>
      </c>
      <c r="M1105" t="s">
        <v>818</v>
      </c>
      <c r="N1105">
        <v>10</v>
      </c>
      <c r="O1105" s="3">
        <v>19.47</v>
      </c>
      <c r="P1105" s="3">
        <v>28.23</v>
      </c>
      <c r="Q1105" s="6">
        <v>0</v>
      </c>
      <c r="R1105" s="3">
        <v>282.3</v>
      </c>
      <c r="S1105" t="s">
        <v>810</v>
      </c>
    </row>
    <row r="1106" spans="1:19" x14ac:dyDescent="0.35">
      <c r="A1106" t="s">
        <v>2577</v>
      </c>
      <c r="B1106" t="s">
        <v>536</v>
      </c>
      <c r="C1106" s="5">
        <v>45865</v>
      </c>
      <c r="D1106" s="5">
        <v>45871</v>
      </c>
      <c r="E1106" t="s">
        <v>537</v>
      </c>
      <c r="F1106" t="s">
        <v>681</v>
      </c>
      <c r="G1106" t="s">
        <v>235</v>
      </c>
      <c r="H1106" t="s">
        <v>797</v>
      </c>
      <c r="I1106" t="s">
        <v>48</v>
      </c>
      <c r="J1106" t="s">
        <v>54</v>
      </c>
      <c r="K1106" t="s">
        <v>798</v>
      </c>
      <c r="L1106" t="s">
        <v>799</v>
      </c>
      <c r="M1106" t="s">
        <v>788</v>
      </c>
      <c r="N1106">
        <v>20</v>
      </c>
      <c r="O1106" s="3">
        <v>21.67</v>
      </c>
      <c r="P1106" s="3">
        <v>28.17</v>
      </c>
      <c r="Q1106" s="6">
        <v>0</v>
      </c>
      <c r="R1106" s="3">
        <v>563.40000000000009</v>
      </c>
      <c r="S1106" t="s">
        <v>825</v>
      </c>
    </row>
    <row r="1107" spans="1:19" x14ac:dyDescent="0.35">
      <c r="A1107" t="s">
        <v>2578</v>
      </c>
      <c r="B1107" t="s">
        <v>540</v>
      </c>
      <c r="C1107" s="5">
        <v>45358</v>
      </c>
      <c r="D1107" s="5">
        <v>45361</v>
      </c>
      <c r="E1107" t="s">
        <v>458</v>
      </c>
      <c r="F1107" t="s">
        <v>633</v>
      </c>
      <c r="G1107" t="s">
        <v>264</v>
      </c>
      <c r="H1107" t="s">
        <v>48</v>
      </c>
      <c r="I1107" t="s">
        <v>14</v>
      </c>
      <c r="J1107" t="s">
        <v>90</v>
      </c>
      <c r="K1107" t="s">
        <v>798</v>
      </c>
      <c r="L1107" t="s">
        <v>799</v>
      </c>
      <c r="M1107" t="s">
        <v>818</v>
      </c>
      <c r="N1107">
        <v>1</v>
      </c>
      <c r="O1107" s="3">
        <v>27.34</v>
      </c>
      <c r="P1107" s="3">
        <v>39.64</v>
      </c>
      <c r="Q1107" s="6">
        <v>0.05</v>
      </c>
      <c r="R1107" s="3">
        <v>37.658000000000001</v>
      </c>
      <c r="S1107" t="s">
        <v>1001</v>
      </c>
    </row>
    <row r="1108" spans="1:19" x14ac:dyDescent="0.35">
      <c r="A1108" t="s">
        <v>2579</v>
      </c>
      <c r="B1108" t="s">
        <v>574</v>
      </c>
      <c r="C1108" s="5">
        <v>45697</v>
      </c>
      <c r="E1108" t="s">
        <v>458</v>
      </c>
      <c r="F1108" t="s">
        <v>696</v>
      </c>
      <c r="H1108" t="s">
        <v>797</v>
      </c>
      <c r="I1108" t="s">
        <v>48</v>
      </c>
      <c r="J1108" t="s">
        <v>148</v>
      </c>
      <c r="K1108" t="s">
        <v>798</v>
      </c>
      <c r="L1108" t="s">
        <v>793</v>
      </c>
      <c r="M1108" t="s">
        <v>788</v>
      </c>
      <c r="N1108">
        <v>5</v>
      </c>
      <c r="O1108" s="3">
        <v>58.01</v>
      </c>
      <c r="P1108" s="3">
        <v>72.510000000000005</v>
      </c>
      <c r="Q1108" s="6">
        <v>0.1</v>
      </c>
      <c r="R1108" s="3">
        <v>326.29500000000002</v>
      </c>
      <c r="S1108" t="s">
        <v>892</v>
      </c>
    </row>
    <row r="1109" spans="1:19" x14ac:dyDescent="0.35">
      <c r="A1109" t="s">
        <v>2580</v>
      </c>
      <c r="B1109" t="s">
        <v>612</v>
      </c>
      <c r="C1109" s="5">
        <v>45708</v>
      </c>
      <c r="D1109" s="5">
        <v>45718</v>
      </c>
      <c r="E1109" t="s">
        <v>447</v>
      </c>
      <c r="F1109" t="s">
        <v>627</v>
      </c>
      <c r="G1109" t="s">
        <v>235</v>
      </c>
      <c r="H1109" t="s">
        <v>48</v>
      </c>
      <c r="I1109" t="s">
        <v>14</v>
      </c>
      <c r="J1109" t="s">
        <v>24</v>
      </c>
      <c r="K1109" t="s">
        <v>798</v>
      </c>
      <c r="L1109" t="s">
        <v>799</v>
      </c>
      <c r="M1109" t="s">
        <v>842</v>
      </c>
      <c r="N1109">
        <v>3</v>
      </c>
      <c r="O1109" s="3">
        <v>37.42</v>
      </c>
      <c r="P1109" s="3">
        <v>50.52</v>
      </c>
      <c r="Q1109" s="6">
        <v>0.15</v>
      </c>
      <c r="R1109" s="3">
        <v>128.82599999999999</v>
      </c>
      <c r="S1109" t="s">
        <v>814</v>
      </c>
    </row>
    <row r="1110" spans="1:19" x14ac:dyDescent="0.35">
      <c r="A1110" t="s">
        <v>2581</v>
      </c>
      <c r="B1110" t="s">
        <v>557</v>
      </c>
      <c r="C1110" s="5">
        <v>45414</v>
      </c>
      <c r="D1110" s="5">
        <v>45417</v>
      </c>
      <c r="E1110" t="s">
        <v>558</v>
      </c>
      <c r="F1110" t="s">
        <v>254</v>
      </c>
      <c r="G1110" t="s">
        <v>235</v>
      </c>
      <c r="H1110" t="s">
        <v>14</v>
      </c>
      <c r="I1110" t="s">
        <v>48</v>
      </c>
      <c r="J1110" t="s">
        <v>135</v>
      </c>
      <c r="K1110" t="s">
        <v>798</v>
      </c>
      <c r="L1110" t="s">
        <v>799</v>
      </c>
      <c r="M1110" t="s">
        <v>788</v>
      </c>
      <c r="N1110">
        <v>10</v>
      </c>
      <c r="O1110" s="3">
        <v>51.72</v>
      </c>
      <c r="P1110" s="3">
        <v>67.239999999999995</v>
      </c>
      <c r="Q1110" s="6">
        <v>0.1</v>
      </c>
      <c r="R1110" s="3">
        <v>605.16</v>
      </c>
      <c r="S1110" t="s">
        <v>810</v>
      </c>
    </row>
    <row r="1111" spans="1:19" x14ac:dyDescent="0.35">
      <c r="A1111" t="s">
        <v>2582</v>
      </c>
      <c r="B1111" t="s">
        <v>507</v>
      </c>
      <c r="C1111" s="5">
        <v>45322</v>
      </c>
      <c r="D1111" s="5">
        <v>45330</v>
      </c>
      <c r="E1111" t="s">
        <v>508</v>
      </c>
      <c r="F1111" t="s">
        <v>681</v>
      </c>
      <c r="G1111" t="s">
        <v>243</v>
      </c>
      <c r="H1111" t="s">
        <v>797</v>
      </c>
      <c r="I1111" t="s">
        <v>29</v>
      </c>
      <c r="J1111" t="s">
        <v>158</v>
      </c>
      <c r="K1111" t="s">
        <v>813</v>
      </c>
      <c r="L1111" t="s">
        <v>822</v>
      </c>
      <c r="M1111" t="s">
        <v>818</v>
      </c>
      <c r="N1111">
        <v>20</v>
      </c>
      <c r="O1111" s="3">
        <v>25.8</v>
      </c>
      <c r="P1111" s="3">
        <v>36.119999999999997</v>
      </c>
      <c r="Q1111" s="6">
        <v>0.05</v>
      </c>
      <c r="R1111" s="3">
        <v>686.28</v>
      </c>
      <c r="S1111" t="s">
        <v>935</v>
      </c>
    </row>
    <row r="1112" spans="1:19" x14ac:dyDescent="0.35">
      <c r="A1112" t="s">
        <v>2583</v>
      </c>
      <c r="B1112" t="s">
        <v>367</v>
      </c>
      <c r="C1112" s="5">
        <v>45433</v>
      </c>
      <c r="D1112" s="5">
        <v>45436</v>
      </c>
      <c r="E1112" t="s">
        <v>368</v>
      </c>
      <c r="F1112" t="s">
        <v>254</v>
      </c>
      <c r="G1112" t="s">
        <v>264</v>
      </c>
      <c r="H1112" t="s">
        <v>797</v>
      </c>
      <c r="I1112" t="s">
        <v>38</v>
      </c>
      <c r="J1112" t="s">
        <v>117</v>
      </c>
      <c r="K1112" t="s">
        <v>813</v>
      </c>
      <c r="L1112" t="s">
        <v>799</v>
      </c>
      <c r="M1112" t="s">
        <v>800</v>
      </c>
      <c r="N1112">
        <v>1</v>
      </c>
      <c r="O1112" s="3">
        <v>43.25</v>
      </c>
      <c r="P1112" s="3">
        <v>60.55</v>
      </c>
      <c r="Q1112" s="6">
        <v>0.05</v>
      </c>
      <c r="R1112" s="3">
        <v>57.522499999999994</v>
      </c>
      <c r="S1112" t="s">
        <v>834</v>
      </c>
    </row>
    <row r="1113" spans="1:19" x14ac:dyDescent="0.35">
      <c r="A1113" t="s">
        <v>2584</v>
      </c>
      <c r="B1113" t="s">
        <v>376</v>
      </c>
      <c r="C1113" s="5">
        <v>45558</v>
      </c>
      <c r="E1113" t="s">
        <v>253</v>
      </c>
      <c r="F1113" t="s">
        <v>674</v>
      </c>
      <c r="G1113" t="s">
        <v>264</v>
      </c>
      <c r="H1113" t="s">
        <v>797</v>
      </c>
      <c r="I1113" t="s">
        <v>48</v>
      </c>
      <c r="J1113" t="s">
        <v>177</v>
      </c>
      <c r="K1113" t="s">
        <v>798</v>
      </c>
      <c r="L1113" t="s">
        <v>787</v>
      </c>
      <c r="M1113" t="s">
        <v>818</v>
      </c>
      <c r="N1113">
        <v>1</v>
      </c>
      <c r="O1113" s="3">
        <v>41.79</v>
      </c>
      <c r="P1113" s="3">
        <v>60.6</v>
      </c>
      <c r="Q1113" s="6">
        <v>0</v>
      </c>
      <c r="R1113" s="3">
        <v>60.6</v>
      </c>
      <c r="S1113" t="s">
        <v>892</v>
      </c>
    </row>
    <row r="1114" spans="1:19" x14ac:dyDescent="0.35">
      <c r="A1114" t="s">
        <v>2585</v>
      </c>
      <c r="B1114" t="s">
        <v>555</v>
      </c>
      <c r="C1114" s="5">
        <v>45555</v>
      </c>
      <c r="E1114" t="s">
        <v>391</v>
      </c>
      <c r="F1114" t="s">
        <v>254</v>
      </c>
      <c r="G1114" t="s">
        <v>264</v>
      </c>
      <c r="H1114" t="s">
        <v>48</v>
      </c>
      <c r="I1114" t="s">
        <v>29</v>
      </c>
      <c r="J1114" t="s">
        <v>176</v>
      </c>
      <c r="K1114" t="s">
        <v>813</v>
      </c>
      <c r="L1114" t="s">
        <v>793</v>
      </c>
      <c r="M1114" t="s">
        <v>788</v>
      </c>
      <c r="N1114">
        <v>2</v>
      </c>
      <c r="O1114" s="3">
        <v>25.88</v>
      </c>
      <c r="P1114" s="3">
        <v>36.229999999999997</v>
      </c>
      <c r="Q1114" s="6">
        <v>0</v>
      </c>
      <c r="R1114" s="3">
        <v>72.459999999999994</v>
      </c>
      <c r="S1114" t="s">
        <v>892</v>
      </c>
    </row>
    <row r="1115" spans="1:19" x14ac:dyDescent="0.35">
      <c r="A1115" t="s">
        <v>2586</v>
      </c>
      <c r="B1115" t="s">
        <v>436</v>
      </c>
      <c r="C1115" s="5">
        <v>45304</v>
      </c>
      <c r="D1115" s="5">
        <v>45308</v>
      </c>
      <c r="E1115" t="s">
        <v>396</v>
      </c>
      <c r="F1115" t="s">
        <v>696</v>
      </c>
      <c r="G1115" t="s">
        <v>235</v>
      </c>
      <c r="H1115" t="s">
        <v>797</v>
      </c>
      <c r="I1115" t="s">
        <v>29</v>
      </c>
      <c r="J1115" t="s">
        <v>121</v>
      </c>
      <c r="K1115" t="s">
        <v>786</v>
      </c>
      <c r="L1115" t="s">
        <v>799</v>
      </c>
      <c r="M1115" t="s">
        <v>800</v>
      </c>
      <c r="N1115">
        <v>20</v>
      </c>
      <c r="O1115" s="3">
        <v>15.46</v>
      </c>
      <c r="P1115" s="3">
        <v>22.42</v>
      </c>
      <c r="Q1115" s="6">
        <v>0</v>
      </c>
      <c r="R1115" s="3">
        <v>448.40000000000003</v>
      </c>
      <c r="S1115" t="s">
        <v>810</v>
      </c>
    </row>
    <row r="1116" spans="1:19" x14ac:dyDescent="0.35">
      <c r="A1116" t="s">
        <v>2587</v>
      </c>
      <c r="B1116" t="s">
        <v>509</v>
      </c>
      <c r="C1116" s="5">
        <v>45943</v>
      </c>
      <c r="E1116" t="s">
        <v>510</v>
      </c>
      <c r="F1116" t="s">
        <v>674</v>
      </c>
      <c r="G1116" t="s">
        <v>235</v>
      </c>
      <c r="H1116" t="s">
        <v>14</v>
      </c>
      <c r="I1116" t="s">
        <v>20</v>
      </c>
      <c r="J1116" t="s">
        <v>163</v>
      </c>
      <c r="K1116" t="s">
        <v>786</v>
      </c>
      <c r="L1116" t="s">
        <v>787</v>
      </c>
      <c r="M1116" t="s">
        <v>788</v>
      </c>
      <c r="N1116">
        <v>12</v>
      </c>
      <c r="O1116" s="3">
        <v>55.3</v>
      </c>
      <c r="P1116" s="3">
        <v>74.66</v>
      </c>
      <c r="Q1116" s="6">
        <v>0.1</v>
      </c>
      <c r="R1116" s="3">
        <v>806.32799999999997</v>
      </c>
      <c r="S1116" t="s">
        <v>814</v>
      </c>
    </row>
    <row r="1117" spans="1:19" x14ac:dyDescent="0.35">
      <c r="A1117" t="s">
        <v>2588</v>
      </c>
      <c r="B1117" t="s">
        <v>485</v>
      </c>
      <c r="C1117" s="5">
        <v>45879</v>
      </c>
      <c r="D1117" s="5">
        <v>45880</v>
      </c>
      <c r="E1117" t="s">
        <v>486</v>
      </c>
      <c r="F1117" t="s">
        <v>681</v>
      </c>
      <c r="G1117" t="s">
        <v>243</v>
      </c>
      <c r="H1117" t="s">
        <v>20</v>
      </c>
      <c r="I1117" t="s">
        <v>8</v>
      </c>
      <c r="J1117" t="s">
        <v>207</v>
      </c>
      <c r="K1117" t="s">
        <v>786</v>
      </c>
      <c r="L1117" t="s">
        <v>799</v>
      </c>
      <c r="M1117" t="s">
        <v>818</v>
      </c>
      <c r="N1117">
        <v>5</v>
      </c>
      <c r="O1117" s="3">
        <v>8.5399999999999991</v>
      </c>
      <c r="P1117" s="3">
        <v>10.67</v>
      </c>
      <c r="Q1117" s="6">
        <v>0</v>
      </c>
      <c r="R1117" s="3">
        <v>53.35</v>
      </c>
      <c r="S1117" t="s">
        <v>946</v>
      </c>
    </row>
    <row r="1118" spans="1:19" x14ac:dyDescent="0.35">
      <c r="A1118" t="s">
        <v>2589</v>
      </c>
      <c r="B1118" t="s">
        <v>428</v>
      </c>
      <c r="C1118" s="5">
        <v>45842</v>
      </c>
      <c r="D1118" s="5">
        <v>45846</v>
      </c>
      <c r="E1118" t="s">
        <v>429</v>
      </c>
      <c r="F1118" t="s">
        <v>633</v>
      </c>
      <c r="G1118" t="s">
        <v>264</v>
      </c>
      <c r="H1118" t="s">
        <v>797</v>
      </c>
      <c r="I1118" t="s">
        <v>43</v>
      </c>
      <c r="J1118" t="s">
        <v>99</v>
      </c>
      <c r="K1118" t="s">
        <v>798</v>
      </c>
      <c r="L1118" t="s">
        <v>799</v>
      </c>
      <c r="M1118" t="s">
        <v>788</v>
      </c>
      <c r="N1118">
        <v>10</v>
      </c>
      <c r="O1118" s="3">
        <v>10.88</v>
      </c>
      <c r="P1118" s="3">
        <v>15.78</v>
      </c>
      <c r="Q1118" s="6">
        <v>0</v>
      </c>
      <c r="R1118" s="3">
        <v>157.79999999999998</v>
      </c>
      <c r="S1118" t="s">
        <v>819</v>
      </c>
    </row>
    <row r="1119" spans="1:19" x14ac:dyDescent="0.35">
      <c r="A1119" t="s">
        <v>2590</v>
      </c>
      <c r="B1119" t="s">
        <v>556</v>
      </c>
      <c r="C1119" s="5">
        <v>45909</v>
      </c>
      <c r="D1119" s="5">
        <v>45918</v>
      </c>
      <c r="E1119" t="s">
        <v>472</v>
      </c>
      <c r="F1119" t="s">
        <v>633</v>
      </c>
      <c r="G1119" t="s">
        <v>235</v>
      </c>
      <c r="H1119" t="s">
        <v>48</v>
      </c>
      <c r="I1119" t="s">
        <v>14</v>
      </c>
      <c r="J1119" t="s">
        <v>152</v>
      </c>
      <c r="K1119" t="s">
        <v>786</v>
      </c>
      <c r="L1119" t="s">
        <v>799</v>
      </c>
      <c r="M1119" t="s">
        <v>818</v>
      </c>
      <c r="N1119">
        <v>2</v>
      </c>
      <c r="O1119" s="3">
        <v>38.549999999999997</v>
      </c>
      <c r="P1119" s="3">
        <v>53.97</v>
      </c>
      <c r="Q1119" s="6">
        <v>0.05</v>
      </c>
      <c r="R1119" s="3">
        <v>102.54299999999999</v>
      </c>
      <c r="S1119" t="s">
        <v>919</v>
      </c>
    </row>
    <row r="1120" spans="1:19" x14ac:dyDescent="0.35">
      <c r="A1120" t="s">
        <v>2591</v>
      </c>
      <c r="B1120" t="s">
        <v>400</v>
      </c>
      <c r="C1120" s="5">
        <v>45359</v>
      </c>
      <c r="D1120" s="5">
        <v>45360</v>
      </c>
      <c r="E1120" t="s">
        <v>383</v>
      </c>
      <c r="F1120" t="s">
        <v>633</v>
      </c>
      <c r="G1120" t="s">
        <v>235</v>
      </c>
      <c r="H1120" t="s">
        <v>797</v>
      </c>
      <c r="I1120" t="s">
        <v>38</v>
      </c>
      <c r="J1120" t="s">
        <v>165</v>
      </c>
      <c r="K1120" t="s">
        <v>786</v>
      </c>
      <c r="L1120" t="s">
        <v>799</v>
      </c>
      <c r="M1120" t="s">
        <v>818</v>
      </c>
      <c r="N1120">
        <v>12</v>
      </c>
      <c r="O1120" s="3">
        <v>18.45</v>
      </c>
      <c r="P1120" s="3">
        <v>25.83</v>
      </c>
      <c r="Q1120" s="6">
        <v>0</v>
      </c>
      <c r="R1120" s="3">
        <v>309.95999999999998</v>
      </c>
      <c r="S1120" t="s">
        <v>814</v>
      </c>
    </row>
    <row r="1121" spans="1:19" x14ac:dyDescent="0.35">
      <c r="A1121" t="s">
        <v>2592</v>
      </c>
      <c r="B1121" t="s">
        <v>322</v>
      </c>
      <c r="C1121" s="5">
        <v>45783</v>
      </c>
      <c r="E1121" t="s">
        <v>245</v>
      </c>
      <c r="F1121" t="s">
        <v>637</v>
      </c>
      <c r="G1121" t="s">
        <v>243</v>
      </c>
      <c r="H1121" t="s">
        <v>14</v>
      </c>
      <c r="I1121" t="s">
        <v>8</v>
      </c>
      <c r="J1121" t="s">
        <v>181</v>
      </c>
      <c r="K1121" t="s">
        <v>798</v>
      </c>
      <c r="L1121" t="s">
        <v>793</v>
      </c>
      <c r="M1121" t="s">
        <v>818</v>
      </c>
      <c r="N1121">
        <v>5</v>
      </c>
      <c r="O1121" s="3">
        <v>20.49</v>
      </c>
      <c r="P1121" s="3">
        <v>29.71</v>
      </c>
      <c r="Q1121" s="6">
        <v>0.1</v>
      </c>
      <c r="R1121" s="3">
        <v>133.69500000000002</v>
      </c>
      <c r="S1121" t="s">
        <v>869</v>
      </c>
    </row>
    <row r="1122" spans="1:19" x14ac:dyDescent="0.35">
      <c r="A1122" t="s">
        <v>2593</v>
      </c>
      <c r="B1122" t="s">
        <v>434</v>
      </c>
      <c r="C1122" s="5">
        <v>45497</v>
      </c>
      <c r="D1122" s="5">
        <v>45504</v>
      </c>
      <c r="E1122" t="s">
        <v>435</v>
      </c>
      <c r="F1122" t="s">
        <v>674</v>
      </c>
      <c r="G1122" t="s">
        <v>264</v>
      </c>
      <c r="H1122" t="s">
        <v>797</v>
      </c>
      <c r="I1122" t="s">
        <v>29</v>
      </c>
      <c r="J1122" t="s">
        <v>182</v>
      </c>
      <c r="K1122" t="s">
        <v>813</v>
      </c>
      <c r="L1122" t="s">
        <v>822</v>
      </c>
      <c r="M1122" t="s">
        <v>818</v>
      </c>
      <c r="N1122">
        <v>5</v>
      </c>
      <c r="O1122" s="3">
        <v>19.77</v>
      </c>
      <c r="P1122" s="3">
        <v>27.68</v>
      </c>
      <c r="Q1122" s="6">
        <v>0.05</v>
      </c>
      <c r="R1122" s="3">
        <v>131.48000000000002</v>
      </c>
      <c r="S1122" t="s">
        <v>876</v>
      </c>
    </row>
    <row r="1123" spans="1:19" x14ac:dyDescent="0.35">
      <c r="A1123" t="s">
        <v>2594</v>
      </c>
      <c r="B1123" t="s">
        <v>260</v>
      </c>
      <c r="C1123" s="5">
        <v>45376</v>
      </c>
      <c r="D1123" s="5">
        <v>45377</v>
      </c>
      <c r="E1123" t="s">
        <v>261</v>
      </c>
      <c r="F1123" t="s">
        <v>696</v>
      </c>
      <c r="G1123" t="s">
        <v>264</v>
      </c>
      <c r="H1123" t="s">
        <v>797</v>
      </c>
      <c r="I1123" t="s">
        <v>48</v>
      </c>
      <c r="J1123" t="s">
        <v>46</v>
      </c>
      <c r="K1123" t="s">
        <v>798</v>
      </c>
      <c r="L1123" t="s">
        <v>799</v>
      </c>
      <c r="M1123" t="s">
        <v>800</v>
      </c>
      <c r="N1123">
        <v>10</v>
      </c>
      <c r="O1123" s="3">
        <v>29.16</v>
      </c>
      <c r="P1123" s="3">
        <v>36.450000000000003</v>
      </c>
      <c r="Q1123" s="6">
        <v>0.05</v>
      </c>
      <c r="R1123" s="3">
        <v>346.27499999999998</v>
      </c>
      <c r="S1123" t="s">
        <v>859</v>
      </c>
    </row>
    <row r="1124" spans="1:19" x14ac:dyDescent="0.35">
      <c r="A1124" t="s">
        <v>2595</v>
      </c>
      <c r="B1124" t="s">
        <v>370</v>
      </c>
      <c r="C1124" s="5">
        <v>45832</v>
      </c>
      <c r="D1124" s="5">
        <v>45833</v>
      </c>
      <c r="E1124" t="s">
        <v>371</v>
      </c>
      <c r="F1124" t="s">
        <v>254</v>
      </c>
      <c r="G1124" t="s">
        <v>264</v>
      </c>
      <c r="H1124" t="s">
        <v>797</v>
      </c>
      <c r="I1124" t="s">
        <v>79</v>
      </c>
      <c r="J1124" t="s">
        <v>88</v>
      </c>
      <c r="K1124" t="s">
        <v>798</v>
      </c>
      <c r="L1124" t="s">
        <v>822</v>
      </c>
      <c r="M1124" t="s">
        <v>788</v>
      </c>
      <c r="N1124">
        <v>2</v>
      </c>
      <c r="O1124" s="3">
        <v>11.82</v>
      </c>
      <c r="P1124" s="3">
        <v>17.14</v>
      </c>
      <c r="Q1124" s="6">
        <v>0.15</v>
      </c>
      <c r="R1124" s="3">
        <v>29.138000000000002</v>
      </c>
      <c r="S1124" t="s">
        <v>1134</v>
      </c>
    </row>
    <row r="1125" spans="1:19" x14ac:dyDescent="0.35">
      <c r="A1125" t="s">
        <v>2596</v>
      </c>
      <c r="B1125" t="s">
        <v>281</v>
      </c>
      <c r="C1125" s="5">
        <v>45839</v>
      </c>
      <c r="D1125" s="5">
        <v>45848</v>
      </c>
      <c r="E1125" t="s">
        <v>282</v>
      </c>
      <c r="F1125" t="s">
        <v>633</v>
      </c>
      <c r="G1125" t="s">
        <v>243</v>
      </c>
      <c r="H1125" t="s">
        <v>797</v>
      </c>
      <c r="I1125" t="s">
        <v>8</v>
      </c>
      <c r="J1125" t="s">
        <v>192</v>
      </c>
      <c r="K1125" t="s">
        <v>798</v>
      </c>
      <c r="L1125" t="s">
        <v>799</v>
      </c>
      <c r="M1125" t="s">
        <v>818</v>
      </c>
      <c r="N1125">
        <v>10</v>
      </c>
      <c r="O1125" s="3">
        <v>19.47</v>
      </c>
      <c r="P1125" s="3">
        <v>28.23</v>
      </c>
      <c r="Q1125" s="6">
        <v>0.15</v>
      </c>
      <c r="R1125" s="3">
        <v>239.95500000000001</v>
      </c>
      <c r="S1125" t="s">
        <v>892</v>
      </c>
    </row>
    <row r="1126" spans="1:19" x14ac:dyDescent="0.35">
      <c r="A1126" t="s">
        <v>2597</v>
      </c>
      <c r="B1126" t="s">
        <v>453</v>
      </c>
      <c r="C1126" s="5">
        <v>45474</v>
      </c>
      <c r="E1126" t="s">
        <v>454</v>
      </c>
      <c r="F1126" t="s">
        <v>681</v>
      </c>
      <c r="G1126" t="s">
        <v>235</v>
      </c>
      <c r="H1126" t="s">
        <v>14</v>
      </c>
      <c r="I1126" t="s">
        <v>38</v>
      </c>
      <c r="J1126" t="s">
        <v>117</v>
      </c>
      <c r="K1126" t="s">
        <v>786</v>
      </c>
      <c r="L1126" t="s">
        <v>787</v>
      </c>
      <c r="M1126" t="s">
        <v>788</v>
      </c>
      <c r="N1126">
        <v>3</v>
      </c>
      <c r="O1126" s="3">
        <v>43.25</v>
      </c>
      <c r="P1126" s="3">
        <v>60.55</v>
      </c>
      <c r="Q1126" s="6">
        <v>0</v>
      </c>
      <c r="R1126" s="3">
        <v>181.64999999999998</v>
      </c>
      <c r="S1126" t="s">
        <v>1001</v>
      </c>
    </row>
    <row r="1127" spans="1:19" x14ac:dyDescent="0.35">
      <c r="A1127" t="s">
        <v>2598</v>
      </c>
      <c r="B1127" t="s">
        <v>592</v>
      </c>
      <c r="C1127" s="5">
        <v>45619</v>
      </c>
      <c r="D1127" s="5">
        <v>45621</v>
      </c>
      <c r="E1127" t="s">
        <v>478</v>
      </c>
      <c r="F1127" t="s">
        <v>674</v>
      </c>
      <c r="G1127" t="s">
        <v>243</v>
      </c>
      <c r="H1127" t="s">
        <v>14</v>
      </c>
      <c r="I1127" t="s">
        <v>14</v>
      </c>
      <c r="J1127" t="s">
        <v>30</v>
      </c>
      <c r="K1127" t="s">
        <v>798</v>
      </c>
      <c r="L1127" t="s">
        <v>799</v>
      </c>
      <c r="M1127" t="s">
        <v>842</v>
      </c>
      <c r="N1127">
        <v>20</v>
      </c>
      <c r="O1127" s="3">
        <v>19.010000000000002</v>
      </c>
      <c r="P1127" s="3">
        <v>27.56</v>
      </c>
      <c r="Q1127" s="6">
        <v>0.05</v>
      </c>
      <c r="R1127" s="3">
        <v>523.64</v>
      </c>
      <c r="S1127" t="s">
        <v>963</v>
      </c>
    </row>
    <row r="1128" spans="1:19" x14ac:dyDescent="0.35">
      <c r="A1128" t="s">
        <v>2599</v>
      </c>
      <c r="B1128" t="s">
        <v>397</v>
      </c>
      <c r="C1128" s="5">
        <v>45589</v>
      </c>
      <c r="E1128" t="s">
        <v>360</v>
      </c>
      <c r="F1128" t="s">
        <v>681</v>
      </c>
      <c r="H1128" t="s">
        <v>20</v>
      </c>
      <c r="I1128" t="s">
        <v>20</v>
      </c>
      <c r="J1128" t="s">
        <v>188</v>
      </c>
      <c r="K1128" t="s">
        <v>786</v>
      </c>
      <c r="L1128" t="s">
        <v>817</v>
      </c>
      <c r="M1128" t="s">
        <v>818</v>
      </c>
      <c r="N1128">
        <v>2</v>
      </c>
      <c r="O1128" s="3">
        <v>24.6</v>
      </c>
      <c r="P1128" s="3">
        <v>35.67</v>
      </c>
      <c r="Q1128" s="6">
        <v>0</v>
      </c>
      <c r="R1128" s="3">
        <v>71.34</v>
      </c>
      <c r="S1128" t="s">
        <v>814</v>
      </c>
    </row>
    <row r="1129" spans="1:19" x14ac:dyDescent="0.35">
      <c r="A1129" t="s">
        <v>2600</v>
      </c>
      <c r="B1129" t="s">
        <v>354</v>
      </c>
      <c r="C1129" s="5">
        <v>45703</v>
      </c>
      <c r="E1129" t="s">
        <v>321</v>
      </c>
      <c r="F1129" t="s">
        <v>674</v>
      </c>
      <c r="G1129" t="s">
        <v>243</v>
      </c>
      <c r="H1129" t="s">
        <v>14</v>
      </c>
      <c r="I1129" t="s">
        <v>8</v>
      </c>
      <c r="J1129" t="s">
        <v>198</v>
      </c>
      <c r="K1129" t="s">
        <v>798</v>
      </c>
      <c r="L1129" t="s">
        <v>793</v>
      </c>
      <c r="M1129" t="s">
        <v>818</v>
      </c>
      <c r="N1129">
        <v>1</v>
      </c>
      <c r="O1129" s="3">
        <v>30.64</v>
      </c>
      <c r="P1129" s="3">
        <v>42.9</v>
      </c>
      <c r="Q1129" s="6">
        <v>0.15</v>
      </c>
      <c r="R1129" s="3">
        <v>36.464999999999996</v>
      </c>
      <c r="S1129" t="s">
        <v>803</v>
      </c>
    </row>
    <row r="1130" spans="1:19" x14ac:dyDescent="0.35">
      <c r="A1130" t="s">
        <v>2601</v>
      </c>
      <c r="B1130" t="s">
        <v>428</v>
      </c>
      <c r="C1130" s="5">
        <v>46019</v>
      </c>
      <c r="D1130" s="5">
        <v>46026</v>
      </c>
      <c r="E1130" t="s">
        <v>429</v>
      </c>
      <c r="F1130" t="s">
        <v>674</v>
      </c>
      <c r="G1130" t="s">
        <v>264</v>
      </c>
      <c r="H1130" t="s">
        <v>48</v>
      </c>
      <c r="I1130" t="s">
        <v>14</v>
      </c>
      <c r="J1130" t="s">
        <v>167</v>
      </c>
      <c r="K1130" t="s">
        <v>798</v>
      </c>
      <c r="L1130" t="s">
        <v>822</v>
      </c>
      <c r="M1130" t="s">
        <v>818</v>
      </c>
      <c r="N1130">
        <v>20</v>
      </c>
      <c r="O1130" s="3">
        <v>18.62</v>
      </c>
      <c r="P1130" s="3">
        <v>26.07</v>
      </c>
      <c r="Q1130" s="6">
        <v>0.15</v>
      </c>
      <c r="R1130" s="3">
        <v>443.19</v>
      </c>
      <c r="S1130" t="s">
        <v>839</v>
      </c>
    </row>
    <row r="1131" spans="1:19" x14ac:dyDescent="0.35">
      <c r="A1131" t="s">
        <v>2602</v>
      </c>
      <c r="B1131" t="s">
        <v>414</v>
      </c>
      <c r="C1131" s="5">
        <v>45715</v>
      </c>
      <c r="D1131" s="5">
        <v>45722</v>
      </c>
      <c r="E1131" t="s">
        <v>415</v>
      </c>
      <c r="F1131" t="s">
        <v>637</v>
      </c>
      <c r="G1131" t="s">
        <v>235</v>
      </c>
      <c r="H1131" t="s">
        <v>48</v>
      </c>
      <c r="I1131" t="s">
        <v>20</v>
      </c>
      <c r="J1131" t="s">
        <v>134</v>
      </c>
      <c r="K1131" t="s">
        <v>786</v>
      </c>
      <c r="L1131" t="s">
        <v>799</v>
      </c>
      <c r="M1131" t="s">
        <v>842</v>
      </c>
      <c r="N1131">
        <v>2</v>
      </c>
      <c r="O1131" s="3">
        <v>38.36</v>
      </c>
      <c r="P1131" s="3">
        <v>53.7</v>
      </c>
      <c r="Q1131" s="6">
        <v>0.15</v>
      </c>
      <c r="R1131" s="3">
        <v>91.29</v>
      </c>
      <c r="S1131" t="s">
        <v>1001</v>
      </c>
    </row>
    <row r="1132" spans="1:19" x14ac:dyDescent="0.35">
      <c r="A1132" t="s">
        <v>2603</v>
      </c>
      <c r="B1132" t="s">
        <v>339</v>
      </c>
      <c r="C1132" s="5">
        <v>45334</v>
      </c>
      <c r="E1132" t="s">
        <v>340</v>
      </c>
      <c r="F1132" t="s">
        <v>681</v>
      </c>
      <c r="G1132" t="s">
        <v>264</v>
      </c>
      <c r="H1132" t="s">
        <v>14</v>
      </c>
      <c r="I1132" t="s">
        <v>8</v>
      </c>
      <c r="J1132" t="s">
        <v>181</v>
      </c>
      <c r="K1132" t="s">
        <v>813</v>
      </c>
      <c r="L1132" t="s">
        <v>787</v>
      </c>
      <c r="M1132" t="s">
        <v>788</v>
      </c>
      <c r="N1132">
        <v>1</v>
      </c>
      <c r="O1132" s="3">
        <v>20.49</v>
      </c>
      <c r="P1132" s="3">
        <v>29.71</v>
      </c>
      <c r="Q1132" s="6">
        <v>0.05</v>
      </c>
      <c r="R1132" s="3">
        <v>28.224499999999999</v>
      </c>
      <c r="S1132" t="s">
        <v>834</v>
      </c>
    </row>
    <row r="1133" spans="1:19" x14ac:dyDescent="0.35">
      <c r="A1133" t="s">
        <v>2604</v>
      </c>
      <c r="B1133" t="s">
        <v>436</v>
      </c>
      <c r="C1133" s="5">
        <v>45479</v>
      </c>
      <c r="D1133" s="5">
        <v>45484</v>
      </c>
      <c r="E1133" t="s">
        <v>396</v>
      </c>
      <c r="F1133" t="s">
        <v>674</v>
      </c>
      <c r="G1133" t="s">
        <v>235</v>
      </c>
      <c r="H1133" t="s">
        <v>48</v>
      </c>
      <c r="I1133" t="s">
        <v>14</v>
      </c>
      <c r="J1133" t="s">
        <v>128</v>
      </c>
      <c r="K1133" t="s">
        <v>798</v>
      </c>
      <c r="L1133" t="s">
        <v>799</v>
      </c>
      <c r="M1133" t="s">
        <v>818</v>
      </c>
      <c r="N1133">
        <v>2</v>
      </c>
      <c r="O1133" s="3">
        <v>18.850000000000001</v>
      </c>
      <c r="P1133" s="3">
        <v>27.33</v>
      </c>
      <c r="Q1133" s="6">
        <v>0</v>
      </c>
      <c r="R1133" s="3">
        <v>54.66</v>
      </c>
      <c r="S1133" t="s">
        <v>790</v>
      </c>
    </row>
    <row r="1134" spans="1:19" x14ac:dyDescent="0.35">
      <c r="A1134" t="s">
        <v>2605</v>
      </c>
      <c r="B1134" t="s">
        <v>405</v>
      </c>
      <c r="C1134" s="5">
        <v>45583</v>
      </c>
      <c r="D1134" s="5">
        <v>45591</v>
      </c>
      <c r="E1134" t="s">
        <v>404</v>
      </c>
      <c r="F1134" t="s">
        <v>254</v>
      </c>
      <c r="G1134" t="s">
        <v>264</v>
      </c>
      <c r="H1134" t="s">
        <v>20</v>
      </c>
      <c r="I1134" t="s">
        <v>14</v>
      </c>
      <c r="J1134" t="s">
        <v>169</v>
      </c>
      <c r="K1134" t="s">
        <v>798</v>
      </c>
      <c r="L1134" t="s">
        <v>822</v>
      </c>
      <c r="M1134" t="s">
        <v>788</v>
      </c>
      <c r="N1134">
        <v>5</v>
      </c>
      <c r="O1134" s="3">
        <v>40.590000000000003</v>
      </c>
      <c r="P1134" s="3">
        <v>58.86</v>
      </c>
      <c r="Q1134" s="6">
        <v>0</v>
      </c>
      <c r="R1134" s="3">
        <v>294.3</v>
      </c>
      <c r="S1134" t="s">
        <v>790</v>
      </c>
    </row>
    <row r="1135" spans="1:19" x14ac:dyDescent="0.35">
      <c r="A1135" t="s">
        <v>2606</v>
      </c>
      <c r="B1135" t="s">
        <v>518</v>
      </c>
      <c r="C1135" s="5">
        <v>45497</v>
      </c>
      <c r="E1135" t="s">
        <v>519</v>
      </c>
      <c r="F1135" t="s">
        <v>254</v>
      </c>
      <c r="G1135" t="s">
        <v>264</v>
      </c>
      <c r="H1135" t="s">
        <v>14</v>
      </c>
      <c r="I1135" t="s">
        <v>20</v>
      </c>
      <c r="J1135" t="s">
        <v>196</v>
      </c>
      <c r="K1135" t="s">
        <v>813</v>
      </c>
      <c r="L1135" t="s">
        <v>793</v>
      </c>
      <c r="M1135" t="s">
        <v>818</v>
      </c>
      <c r="N1135">
        <v>1</v>
      </c>
      <c r="O1135" s="3">
        <v>15.78</v>
      </c>
      <c r="P1135" s="3">
        <v>19.72</v>
      </c>
      <c r="Q1135" s="6">
        <v>0</v>
      </c>
      <c r="R1135" s="3">
        <v>19.72</v>
      </c>
      <c r="S1135" t="s">
        <v>834</v>
      </c>
    </row>
    <row r="1136" spans="1:19" x14ac:dyDescent="0.35">
      <c r="A1136" t="s">
        <v>2607</v>
      </c>
      <c r="B1136" t="s">
        <v>397</v>
      </c>
      <c r="C1136" s="5">
        <v>46002</v>
      </c>
      <c r="E1136" t="s">
        <v>360</v>
      </c>
      <c r="F1136" t="s">
        <v>696</v>
      </c>
      <c r="H1136" t="s">
        <v>14</v>
      </c>
      <c r="I1136" t="s">
        <v>38</v>
      </c>
      <c r="J1136" t="s">
        <v>126</v>
      </c>
      <c r="K1136" t="s">
        <v>798</v>
      </c>
      <c r="L1136" t="s">
        <v>787</v>
      </c>
      <c r="M1136" t="s">
        <v>842</v>
      </c>
      <c r="N1136">
        <v>2</v>
      </c>
      <c r="O1136" s="3">
        <v>41.95</v>
      </c>
      <c r="P1136" s="3">
        <v>58.73</v>
      </c>
      <c r="Q1136" s="6">
        <v>0.15</v>
      </c>
      <c r="R1136" s="3">
        <v>99.840999999999994</v>
      </c>
      <c r="S1136" t="s">
        <v>892</v>
      </c>
    </row>
    <row r="1137" spans="1:19" x14ac:dyDescent="0.35">
      <c r="A1137" t="s">
        <v>2608</v>
      </c>
      <c r="B1137" t="s">
        <v>596</v>
      </c>
      <c r="C1137" s="5">
        <v>45485</v>
      </c>
      <c r="E1137" t="s">
        <v>443</v>
      </c>
      <c r="F1137" t="s">
        <v>633</v>
      </c>
      <c r="G1137" t="s">
        <v>264</v>
      </c>
      <c r="H1137" t="s">
        <v>797</v>
      </c>
      <c r="I1137" t="s">
        <v>48</v>
      </c>
      <c r="J1137" t="s">
        <v>202</v>
      </c>
      <c r="K1137" t="s">
        <v>813</v>
      </c>
      <c r="L1137" t="s">
        <v>787</v>
      </c>
      <c r="M1137" t="s">
        <v>800</v>
      </c>
      <c r="N1137">
        <v>12</v>
      </c>
      <c r="O1137" s="3">
        <v>27</v>
      </c>
      <c r="P1137" s="3">
        <v>39.15</v>
      </c>
      <c r="Q1137" s="6">
        <v>0</v>
      </c>
      <c r="R1137" s="3">
        <v>469.79999999999995</v>
      </c>
      <c r="S1137" t="s">
        <v>814</v>
      </c>
    </row>
    <row r="1138" spans="1:19" x14ac:dyDescent="0.35">
      <c r="A1138" t="s">
        <v>2609</v>
      </c>
      <c r="B1138" t="s">
        <v>568</v>
      </c>
      <c r="C1138" s="5">
        <v>45765</v>
      </c>
      <c r="E1138" t="s">
        <v>360</v>
      </c>
      <c r="F1138" t="s">
        <v>254</v>
      </c>
      <c r="H1138" t="s">
        <v>797</v>
      </c>
      <c r="I1138" t="s">
        <v>79</v>
      </c>
      <c r="J1138" t="s">
        <v>77</v>
      </c>
      <c r="K1138" t="s">
        <v>813</v>
      </c>
      <c r="L1138" t="s">
        <v>793</v>
      </c>
      <c r="M1138" t="s">
        <v>842</v>
      </c>
      <c r="N1138">
        <v>2</v>
      </c>
      <c r="O1138" s="3">
        <v>13.71</v>
      </c>
      <c r="P1138" s="3">
        <v>17.82</v>
      </c>
      <c r="Q1138" s="6">
        <v>0</v>
      </c>
      <c r="R1138" s="3">
        <v>35.64</v>
      </c>
      <c r="S1138" t="s">
        <v>810</v>
      </c>
    </row>
    <row r="1139" spans="1:19" x14ac:dyDescent="0.35">
      <c r="A1139" t="s">
        <v>2610</v>
      </c>
      <c r="B1139" t="s">
        <v>438</v>
      </c>
      <c r="C1139" s="5">
        <v>45934</v>
      </c>
      <c r="D1139" s="5">
        <v>45939</v>
      </c>
      <c r="E1139" t="s">
        <v>439</v>
      </c>
      <c r="F1139" t="s">
        <v>681</v>
      </c>
      <c r="G1139" t="s">
        <v>264</v>
      </c>
      <c r="H1139" t="s">
        <v>20</v>
      </c>
      <c r="I1139" t="s">
        <v>14</v>
      </c>
      <c r="J1139" t="s">
        <v>60</v>
      </c>
      <c r="K1139" t="s">
        <v>813</v>
      </c>
      <c r="L1139" t="s">
        <v>799</v>
      </c>
      <c r="M1139" t="s">
        <v>788</v>
      </c>
      <c r="N1139">
        <v>5</v>
      </c>
      <c r="O1139" s="3">
        <v>18.18</v>
      </c>
      <c r="P1139" s="3">
        <v>24.54</v>
      </c>
      <c r="Q1139" s="6">
        <v>0.1</v>
      </c>
      <c r="R1139" s="3">
        <v>110.42999999999999</v>
      </c>
      <c r="S1139" t="s">
        <v>892</v>
      </c>
    </row>
    <row r="1140" spans="1:19" x14ac:dyDescent="0.35">
      <c r="A1140" t="s">
        <v>2611</v>
      </c>
      <c r="B1140" t="s">
        <v>347</v>
      </c>
      <c r="C1140" s="5">
        <v>45862</v>
      </c>
      <c r="D1140" s="5">
        <v>45863</v>
      </c>
      <c r="E1140" t="s">
        <v>348</v>
      </c>
      <c r="F1140" t="s">
        <v>627</v>
      </c>
      <c r="G1140" t="s">
        <v>243</v>
      </c>
      <c r="H1140" t="s">
        <v>48</v>
      </c>
      <c r="I1140" t="s">
        <v>14</v>
      </c>
      <c r="J1140" t="s">
        <v>60</v>
      </c>
      <c r="K1140" t="s">
        <v>813</v>
      </c>
      <c r="L1140" t="s">
        <v>799</v>
      </c>
      <c r="M1140" t="s">
        <v>818</v>
      </c>
      <c r="N1140">
        <v>12</v>
      </c>
      <c r="O1140" s="3">
        <v>18.18</v>
      </c>
      <c r="P1140" s="3">
        <v>24.54</v>
      </c>
      <c r="Q1140" s="6">
        <v>0.1</v>
      </c>
      <c r="R1140" s="3">
        <v>265.03200000000004</v>
      </c>
      <c r="S1140" t="s">
        <v>790</v>
      </c>
    </row>
    <row r="1141" spans="1:19" x14ac:dyDescent="0.35">
      <c r="A1141" t="s">
        <v>2612</v>
      </c>
      <c r="B1141" t="s">
        <v>596</v>
      </c>
      <c r="C1141" s="5">
        <v>45925</v>
      </c>
      <c r="E1141" t="s">
        <v>443</v>
      </c>
      <c r="F1141" t="s">
        <v>633</v>
      </c>
      <c r="G1141" t="s">
        <v>264</v>
      </c>
      <c r="H1141" t="s">
        <v>797</v>
      </c>
      <c r="I1141" t="s">
        <v>29</v>
      </c>
      <c r="J1141" t="s">
        <v>32</v>
      </c>
      <c r="K1141" t="s">
        <v>813</v>
      </c>
      <c r="L1141" t="s">
        <v>787</v>
      </c>
      <c r="M1141" t="s">
        <v>788</v>
      </c>
      <c r="N1141">
        <v>12</v>
      </c>
      <c r="O1141" s="3">
        <v>18.989999999999998</v>
      </c>
      <c r="P1141" s="3">
        <v>25.64</v>
      </c>
      <c r="Q1141" s="6">
        <v>0</v>
      </c>
      <c r="R1141" s="3">
        <v>307.68</v>
      </c>
      <c r="S1141" t="s">
        <v>935</v>
      </c>
    </row>
    <row r="1142" spans="1:19" x14ac:dyDescent="0.35">
      <c r="A1142" t="s">
        <v>2613</v>
      </c>
      <c r="B1142" t="s">
        <v>286</v>
      </c>
      <c r="C1142" s="5">
        <v>45295</v>
      </c>
      <c r="D1142" s="5">
        <v>45297</v>
      </c>
      <c r="E1142" t="s">
        <v>287</v>
      </c>
      <c r="F1142" t="s">
        <v>637</v>
      </c>
      <c r="G1142" t="s">
        <v>264</v>
      </c>
      <c r="H1142" t="s">
        <v>797</v>
      </c>
      <c r="I1142" t="s">
        <v>48</v>
      </c>
      <c r="J1142" t="s">
        <v>148</v>
      </c>
      <c r="K1142" t="s">
        <v>798</v>
      </c>
      <c r="L1142" t="s">
        <v>799</v>
      </c>
      <c r="M1142" t="s">
        <v>842</v>
      </c>
      <c r="N1142">
        <v>2</v>
      </c>
      <c r="O1142" s="3">
        <v>58.01</v>
      </c>
      <c r="P1142" s="3">
        <v>72.510000000000005</v>
      </c>
      <c r="Q1142" s="6">
        <v>0.1</v>
      </c>
      <c r="R1142" s="3">
        <v>130.518</v>
      </c>
      <c r="S1142" t="s">
        <v>790</v>
      </c>
    </row>
    <row r="1143" spans="1:19" x14ac:dyDescent="0.35">
      <c r="A1143" t="s">
        <v>2614</v>
      </c>
      <c r="B1143" t="s">
        <v>500</v>
      </c>
      <c r="C1143" s="5">
        <v>45312</v>
      </c>
      <c r="D1143" s="5">
        <v>45320</v>
      </c>
      <c r="E1143" t="s">
        <v>447</v>
      </c>
      <c r="F1143" t="s">
        <v>627</v>
      </c>
      <c r="G1143" t="s">
        <v>235</v>
      </c>
      <c r="H1143" t="s">
        <v>14</v>
      </c>
      <c r="I1143" t="s">
        <v>38</v>
      </c>
      <c r="J1143" t="s">
        <v>36</v>
      </c>
      <c r="K1143" t="s">
        <v>798</v>
      </c>
      <c r="L1143" t="s">
        <v>799</v>
      </c>
      <c r="M1143" t="s">
        <v>818</v>
      </c>
      <c r="N1143">
        <v>3</v>
      </c>
      <c r="O1143" s="3">
        <v>8.57</v>
      </c>
      <c r="P1143" s="3">
        <v>11.14</v>
      </c>
      <c r="Q1143" s="6">
        <v>0.15</v>
      </c>
      <c r="R1143" s="3">
        <v>28.407000000000004</v>
      </c>
      <c r="S1143" t="s">
        <v>794</v>
      </c>
    </row>
    <row r="1144" spans="1:19" x14ac:dyDescent="0.35">
      <c r="A1144" t="s">
        <v>2615</v>
      </c>
      <c r="B1144" t="s">
        <v>444</v>
      </c>
      <c r="C1144" s="5">
        <v>45919</v>
      </c>
      <c r="E1144" t="s">
        <v>445</v>
      </c>
      <c r="F1144" t="s">
        <v>681</v>
      </c>
      <c r="G1144" t="s">
        <v>264</v>
      </c>
      <c r="H1144" t="s">
        <v>14</v>
      </c>
      <c r="I1144" t="s">
        <v>43</v>
      </c>
      <c r="J1144" t="s">
        <v>171</v>
      </c>
      <c r="K1144" t="s">
        <v>786</v>
      </c>
      <c r="L1144" t="s">
        <v>787</v>
      </c>
      <c r="M1144" t="s">
        <v>800</v>
      </c>
      <c r="N1144">
        <v>1</v>
      </c>
      <c r="O1144" s="3">
        <v>29.39</v>
      </c>
      <c r="P1144" s="3">
        <v>39.68</v>
      </c>
      <c r="Q1144" s="6">
        <v>0</v>
      </c>
      <c r="R1144" s="3">
        <v>39.68</v>
      </c>
      <c r="S1144" t="s">
        <v>888</v>
      </c>
    </row>
    <row r="1145" spans="1:19" x14ac:dyDescent="0.35">
      <c r="A1145" t="s">
        <v>2616</v>
      </c>
      <c r="B1145" t="s">
        <v>599</v>
      </c>
      <c r="C1145" s="5">
        <v>45585</v>
      </c>
      <c r="E1145" t="s">
        <v>600</v>
      </c>
      <c r="F1145" t="s">
        <v>674</v>
      </c>
      <c r="G1145" t="s">
        <v>243</v>
      </c>
      <c r="H1145" t="s">
        <v>48</v>
      </c>
      <c r="I1145" t="s">
        <v>8</v>
      </c>
      <c r="J1145" t="s">
        <v>95</v>
      </c>
      <c r="K1145" t="s">
        <v>798</v>
      </c>
      <c r="L1145" t="s">
        <v>793</v>
      </c>
      <c r="M1145" t="s">
        <v>788</v>
      </c>
      <c r="N1145">
        <v>5</v>
      </c>
      <c r="O1145" s="3">
        <v>23.02</v>
      </c>
      <c r="P1145" s="3">
        <v>28.77</v>
      </c>
      <c r="Q1145" s="6">
        <v>0</v>
      </c>
      <c r="R1145" s="3">
        <v>143.85</v>
      </c>
      <c r="S1145" t="s">
        <v>839</v>
      </c>
    </row>
    <row r="1146" spans="1:19" x14ac:dyDescent="0.35">
      <c r="A1146" t="s">
        <v>2617</v>
      </c>
      <c r="B1146" t="s">
        <v>347</v>
      </c>
      <c r="C1146" s="5">
        <v>45734</v>
      </c>
      <c r="D1146" s="5">
        <v>45740</v>
      </c>
      <c r="E1146" t="s">
        <v>348</v>
      </c>
      <c r="F1146" t="s">
        <v>254</v>
      </c>
      <c r="G1146" t="s">
        <v>243</v>
      </c>
      <c r="H1146" t="s">
        <v>14</v>
      </c>
      <c r="I1146" t="s">
        <v>8</v>
      </c>
      <c r="J1146" t="s">
        <v>181</v>
      </c>
      <c r="K1146" t="s">
        <v>798</v>
      </c>
      <c r="L1146" t="s">
        <v>799</v>
      </c>
      <c r="M1146" t="s">
        <v>788</v>
      </c>
      <c r="N1146">
        <v>1</v>
      </c>
      <c r="O1146" s="3">
        <v>20.49</v>
      </c>
      <c r="P1146" s="3">
        <v>29.71</v>
      </c>
      <c r="Q1146" s="6">
        <v>0.05</v>
      </c>
      <c r="R1146" s="3">
        <v>28.224499999999999</v>
      </c>
      <c r="S1146" t="s">
        <v>888</v>
      </c>
    </row>
    <row r="1147" spans="1:19" x14ac:dyDescent="0.35">
      <c r="A1147" t="s">
        <v>2618</v>
      </c>
      <c r="B1147" t="s">
        <v>475</v>
      </c>
      <c r="C1147" s="5">
        <v>45505</v>
      </c>
      <c r="D1147" s="5">
        <v>45511</v>
      </c>
      <c r="E1147" t="s">
        <v>476</v>
      </c>
      <c r="F1147" t="s">
        <v>696</v>
      </c>
      <c r="G1147" t="s">
        <v>243</v>
      </c>
      <c r="H1147" t="s">
        <v>14</v>
      </c>
      <c r="I1147" t="s">
        <v>8</v>
      </c>
      <c r="J1147" t="s">
        <v>204</v>
      </c>
      <c r="K1147" t="s">
        <v>798</v>
      </c>
      <c r="L1147" t="s">
        <v>822</v>
      </c>
      <c r="M1147" t="s">
        <v>818</v>
      </c>
      <c r="N1147">
        <v>5</v>
      </c>
      <c r="O1147" s="3">
        <v>28.27</v>
      </c>
      <c r="P1147" s="3">
        <v>40.99</v>
      </c>
      <c r="Q1147" s="6">
        <v>0</v>
      </c>
      <c r="R1147" s="3">
        <v>204.95000000000002</v>
      </c>
      <c r="S1147" t="s">
        <v>1134</v>
      </c>
    </row>
    <row r="1148" spans="1:19" x14ac:dyDescent="0.35">
      <c r="A1148" t="s">
        <v>2619</v>
      </c>
      <c r="B1148" t="s">
        <v>343</v>
      </c>
      <c r="C1148" s="5">
        <v>45973</v>
      </c>
      <c r="D1148" s="5">
        <v>45983</v>
      </c>
      <c r="E1148" t="s">
        <v>344</v>
      </c>
      <c r="F1148" t="s">
        <v>681</v>
      </c>
      <c r="G1148" t="s">
        <v>235</v>
      </c>
      <c r="H1148" t="s">
        <v>14</v>
      </c>
      <c r="I1148" t="s">
        <v>14</v>
      </c>
      <c r="J1148" t="s">
        <v>128</v>
      </c>
      <c r="K1148" t="s">
        <v>798</v>
      </c>
      <c r="L1148" t="s">
        <v>799</v>
      </c>
      <c r="M1148" t="s">
        <v>788</v>
      </c>
      <c r="N1148">
        <v>3</v>
      </c>
      <c r="O1148" s="3">
        <v>18.850000000000001</v>
      </c>
      <c r="P1148" s="3">
        <v>27.33</v>
      </c>
      <c r="Q1148" s="6">
        <v>0.15</v>
      </c>
      <c r="R1148" s="3">
        <v>69.691499999999991</v>
      </c>
      <c r="S1148" t="s">
        <v>825</v>
      </c>
    </row>
    <row r="1149" spans="1:19" x14ac:dyDescent="0.35">
      <c r="A1149" t="s">
        <v>2620</v>
      </c>
      <c r="B1149" t="s">
        <v>530</v>
      </c>
      <c r="C1149" s="5">
        <v>45664</v>
      </c>
      <c r="D1149" s="5">
        <v>45672</v>
      </c>
      <c r="E1149" t="s">
        <v>531</v>
      </c>
      <c r="F1149" t="s">
        <v>637</v>
      </c>
      <c r="G1149" t="s">
        <v>235</v>
      </c>
      <c r="H1149" t="s">
        <v>20</v>
      </c>
      <c r="I1149" t="s">
        <v>8</v>
      </c>
      <c r="J1149" t="s">
        <v>10</v>
      </c>
      <c r="K1149" t="s">
        <v>798</v>
      </c>
      <c r="L1149" t="s">
        <v>799</v>
      </c>
      <c r="M1149" t="s">
        <v>788</v>
      </c>
      <c r="N1149">
        <v>5</v>
      </c>
      <c r="O1149" s="3">
        <v>22.74</v>
      </c>
      <c r="P1149" s="3">
        <v>28.42</v>
      </c>
      <c r="Q1149" s="6">
        <v>0.05</v>
      </c>
      <c r="R1149" s="3">
        <v>134.99500000000003</v>
      </c>
      <c r="S1149" t="s">
        <v>888</v>
      </c>
    </row>
    <row r="1150" spans="1:19" x14ac:dyDescent="0.35">
      <c r="A1150" t="s">
        <v>2621</v>
      </c>
      <c r="B1150" t="s">
        <v>570</v>
      </c>
      <c r="C1150" s="5">
        <v>45403</v>
      </c>
      <c r="D1150" s="5">
        <v>45407</v>
      </c>
      <c r="E1150" t="s">
        <v>435</v>
      </c>
      <c r="F1150" t="s">
        <v>696</v>
      </c>
      <c r="G1150" t="s">
        <v>264</v>
      </c>
      <c r="H1150" t="s">
        <v>797</v>
      </c>
      <c r="I1150" t="s">
        <v>29</v>
      </c>
      <c r="J1150" t="s">
        <v>49</v>
      </c>
      <c r="K1150" t="s">
        <v>786</v>
      </c>
      <c r="L1150" t="s">
        <v>799</v>
      </c>
      <c r="M1150" t="s">
        <v>818</v>
      </c>
      <c r="N1150">
        <v>2</v>
      </c>
      <c r="O1150" s="3">
        <v>14.89</v>
      </c>
      <c r="P1150" s="3">
        <v>20.85</v>
      </c>
      <c r="Q1150" s="6">
        <v>0</v>
      </c>
      <c r="R1150" s="3">
        <v>41.7</v>
      </c>
      <c r="S1150" t="s">
        <v>963</v>
      </c>
    </row>
    <row r="1151" spans="1:19" x14ac:dyDescent="0.35">
      <c r="A1151" t="s">
        <v>2622</v>
      </c>
      <c r="B1151" t="s">
        <v>355</v>
      </c>
      <c r="C1151" s="5">
        <v>45637</v>
      </c>
      <c r="E1151" t="s">
        <v>356</v>
      </c>
      <c r="F1151" t="s">
        <v>681</v>
      </c>
      <c r="G1151" t="s">
        <v>264</v>
      </c>
      <c r="H1151" t="s">
        <v>797</v>
      </c>
      <c r="I1151" t="s">
        <v>8</v>
      </c>
      <c r="J1151" t="s">
        <v>212</v>
      </c>
      <c r="K1151" t="s">
        <v>798</v>
      </c>
      <c r="L1151" t="s">
        <v>793</v>
      </c>
      <c r="M1151" t="s">
        <v>818</v>
      </c>
      <c r="N1151">
        <v>10</v>
      </c>
      <c r="O1151" s="3">
        <v>95.09</v>
      </c>
      <c r="P1151" s="3">
        <v>133.13</v>
      </c>
      <c r="Q1151" s="6">
        <v>0</v>
      </c>
      <c r="R1151" s="3">
        <v>1331.3</v>
      </c>
      <c r="S1151" t="s">
        <v>1001</v>
      </c>
    </row>
    <row r="1152" spans="1:19" x14ac:dyDescent="0.35">
      <c r="A1152" t="s">
        <v>2623</v>
      </c>
      <c r="B1152" t="s">
        <v>540</v>
      </c>
      <c r="C1152" s="5">
        <v>45503</v>
      </c>
      <c r="D1152" s="5">
        <v>45513</v>
      </c>
      <c r="E1152" t="s">
        <v>458</v>
      </c>
      <c r="F1152" t="s">
        <v>681</v>
      </c>
      <c r="G1152" t="s">
        <v>264</v>
      </c>
      <c r="H1152" t="s">
        <v>797</v>
      </c>
      <c r="I1152" t="s">
        <v>14</v>
      </c>
      <c r="J1152" t="s">
        <v>111</v>
      </c>
      <c r="K1152" t="s">
        <v>786</v>
      </c>
      <c r="L1152" t="s">
        <v>799</v>
      </c>
      <c r="M1152" t="s">
        <v>788</v>
      </c>
      <c r="N1152">
        <v>1</v>
      </c>
      <c r="O1152" s="3">
        <v>19.850000000000001</v>
      </c>
      <c r="P1152" s="3">
        <v>28.78</v>
      </c>
      <c r="Q1152" s="6">
        <v>0.15</v>
      </c>
      <c r="R1152" s="3">
        <v>24.463000000000001</v>
      </c>
      <c r="S1152" t="s">
        <v>935</v>
      </c>
    </row>
    <row r="1153" spans="1:19" x14ac:dyDescent="0.35">
      <c r="A1153" t="s">
        <v>2624</v>
      </c>
      <c r="B1153" t="s">
        <v>473</v>
      </c>
      <c r="C1153" s="5">
        <v>45494</v>
      </c>
      <c r="E1153" t="s">
        <v>368</v>
      </c>
      <c r="F1153" t="s">
        <v>633</v>
      </c>
      <c r="G1153" t="s">
        <v>235</v>
      </c>
      <c r="H1153" t="s">
        <v>14</v>
      </c>
      <c r="I1153" t="s">
        <v>48</v>
      </c>
      <c r="J1153" t="s">
        <v>84</v>
      </c>
      <c r="K1153" t="s">
        <v>786</v>
      </c>
      <c r="L1153" t="s">
        <v>787</v>
      </c>
      <c r="M1153" t="s">
        <v>818</v>
      </c>
      <c r="N1153">
        <v>5</v>
      </c>
      <c r="O1153" s="3">
        <v>27.52</v>
      </c>
      <c r="P1153" s="3">
        <v>34.4</v>
      </c>
      <c r="Q1153" s="6">
        <v>0</v>
      </c>
      <c r="R1153" s="3">
        <v>172</v>
      </c>
      <c r="S1153" t="s">
        <v>946</v>
      </c>
    </row>
    <row r="1154" spans="1:19" x14ac:dyDescent="0.35">
      <c r="A1154" t="s">
        <v>2625</v>
      </c>
      <c r="B1154" t="s">
        <v>601</v>
      </c>
      <c r="C1154" s="5">
        <v>45919</v>
      </c>
      <c r="D1154" s="5">
        <v>45920</v>
      </c>
      <c r="E1154" t="s">
        <v>602</v>
      </c>
      <c r="F1154" t="s">
        <v>681</v>
      </c>
      <c r="G1154" t="s">
        <v>235</v>
      </c>
      <c r="H1154" t="s">
        <v>20</v>
      </c>
      <c r="I1154" t="s">
        <v>8</v>
      </c>
      <c r="J1154" t="s">
        <v>65</v>
      </c>
      <c r="K1154" t="s">
        <v>798</v>
      </c>
      <c r="L1154" t="s">
        <v>799</v>
      </c>
      <c r="M1154" t="s">
        <v>842</v>
      </c>
      <c r="N1154">
        <v>20</v>
      </c>
      <c r="O1154" s="3">
        <v>30.16</v>
      </c>
      <c r="P1154" s="3">
        <v>40.72</v>
      </c>
      <c r="Q1154" s="6">
        <v>0</v>
      </c>
      <c r="R1154" s="3">
        <v>814.4</v>
      </c>
      <c r="S1154" t="s">
        <v>839</v>
      </c>
    </row>
    <row r="1155" spans="1:19" x14ac:dyDescent="0.35">
      <c r="A1155" t="s">
        <v>2626</v>
      </c>
      <c r="B1155" t="s">
        <v>430</v>
      </c>
      <c r="C1155" s="5">
        <v>45631</v>
      </c>
      <c r="E1155" t="s">
        <v>431</v>
      </c>
      <c r="F1155" t="s">
        <v>633</v>
      </c>
      <c r="G1155" t="s">
        <v>264</v>
      </c>
      <c r="H1155" t="s">
        <v>797</v>
      </c>
      <c r="I1155" t="s">
        <v>48</v>
      </c>
      <c r="J1155" t="s">
        <v>46</v>
      </c>
      <c r="K1155" t="s">
        <v>813</v>
      </c>
      <c r="L1155" t="s">
        <v>793</v>
      </c>
      <c r="M1155" t="s">
        <v>842</v>
      </c>
      <c r="N1155">
        <v>2</v>
      </c>
      <c r="O1155" s="3">
        <v>29.16</v>
      </c>
      <c r="P1155" s="3">
        <v>36.450000000000003</v>
      </c>
      <c r="Q1155" s="6">
        <v>0</v>
      </c>
      <c r="R1155" s="3">
        <v>72.900000000000006</v>
      </c>
      <c r="S1155" t="s">
        <v>946</v>
      </c>
    </row>
    <row r="1156" spans="1:19" x14ac:dyDescent="0.35">
      <c r="A1156" t="s">
        <v>2627</v>
      </c>
      <c r="B1156" t="s">
        <v>489</v>
      </c>
      <c r="C1156" s="5">
        <v>45615</v>
      </c>
      <c r="E1156" t="s">
        <v>318</v>
      </c>
      <c r="F1156" t="s">
        <v>696</v>
      </c>
      <c r="G1156" t="s">
        <v>243</v>
      </c>
      <c r="H1156" t="s">
        <v>797</v>
      </c>
      <c r="I1156" t="s">
        <v>38</v>
      </c>
      <c r="J1156" t="s">
        <v>165</v>
      </c>
      <c r="K1156" t="s">
        <v>813</v>
      </c>
      <c r="L1156" t="s">
        <v>793</v>
      </c>
      <c r="M1156" t="s">
        <v>788</v>
      </c>
      <c r="N1156">
        <v>5</v>
      </c>
      <c r="O1156" s="3">
        <v>18.45</v>
      </c>
      <c r="P1156" s="3">
        <v>25.83</v>
      </c>
      <c r="Q1156" s="6">
        <v>0</v>
      </c>
      <c r="R1156" s="3">
        <v>129.14999999999998</v>
      </c>
      <c r="S1156" t="s">
        <v>810</v>
      </c>
    </row>
    <row r="1157" spans="1:19" x14ac:dyDescent="0.35">
      <c r="A1157" t="s">
        <v>2628</v>
      </c>
      <c r="B1157" t="s">
        <v>525</v>
      </c>
      <c r="C1157" s="5">
        <v>45717</v>
      </c>
      <c r="D1157" s="5">
        <v>45719</v>
      </c>
      <c r="E1157" t="s">
        <v>526</v>
      </c>
      <c r="F1157" t="s">
        <v>627</v>
      </c>
      <c r="G1157" t="s">
        <v>243</v>
      </c>
      <c r="H1157" t="s">
        <v>797</v>
      </c>
      <c r="I1157" t="s">
        <v>29</v>
      </c>
      <c r="J1157" t="s">
        <v>191</v>
      </c>
      <c r="K1157" t="s">
        <v>798</v>
      </c>
      <c r="L1157" t="s">
        <v>799</v>
      </c>
      <c r="M1157" t="s">
        <v>800</v>
      </c>
      <c r="N1157">
        <v>1</v>
      </c>
      <c r="O1157" s="3">
        <v>11.26</v>
      </c>
      <c r="P1157" s="3">
        <v>15.2</v>
      </c>
      <c r="Q1157" s="6">
        <v>0.15</v>
      </c>
      <c r="R1157" s="3">
        <v>12.92</v>
      </c>
      <c r="S1157" t="s">
        <v>794</v>
      </c>
    </row>
    <row r="1158" spans="1:19" x14ac:dyDescent="0.35">
      <c r="A1158" t="s">
        <v>2629</v>
      </c>
      <c r="B1158" t="s">
        <v>487</v>
      </c>
      <c r="C1158" s="5">
        <v>45971</v>
      </c>
      <c r="E1158" t="s">
        <v>488</v>
      </c>
      <c r="F1158" t="s">
        <v>254</v>
      </c>
      <c r="G1158" t="s">
        <v>243</v>
      </c>
      <c r="H1158" t="s">
        <v>20</v>
      </c>
      <c r="I1158" t="s">
        <v>8</v>
      </c>
      <c r="J1158" t="s">
        <v>95</v>
      </c>
      <c r="K1158" t="s">
        <v>813</v>
      </c>
      <c r="L1158" t="s">
        <v>793</v>
      </c>
      <c r="M1158" t="s">
        <v>818</v>
      </c>
      <c r="N1158">
        <v>3</v>
      </c>
      <c r="O1158" s="3">
        <v>23.02</v>
      </c>
      <c r="P1158" s="3">
        <v>28.77</v>
      </c>
      <c r="Q1158" s="6">
        <v>0.05</v>
      </c>
      <c r="R1158" s="3">
        <v>81.994500000000002</v>
      </c>
      <c r="S1158" t="s">
        <v>810</v>
      </c>
    </row>
    <row r="1159" spans="1:19" x14ac:dyDescent="0.35">
      <c r="A1159" t="s">
        <v>2630</v>
      </c>
      <c r="B1159" t="s">
        <v>584</v>
      </c>
      <c r="C1159" s="5">
        <v>45312</v>
      </c>
      <c r="D1159" s="5">
        <v>45322</v>
      </c>
      <c r="E1159" t="s">
        <v>562</v>
      </c>
      <c r="F1159" t="s">
        <v>637</v>
      </c>
      <c r="G1159" t="s">
        <v>264</v>
      </c>
      <c r="H1159" t="s">
        <v>797</v>
      </c>
      <c r="I1159" t="s">
        <v>38</v>
      </c>
      <c r="J1159" t="s">
        <v>80</v>
      </c>
      <c r="K1159" t="s">
        <v>798</v>
      </c>
      <c r="L1159" t="s">
        <v>799</v>
      </c>
      <c r="M1159" t="s">
        <v>818</v>
      </c>
      <c r="N1159">
        <v>12</v>
      </c>
      <c r="O1159" s="3">
        <v>38.57</v>
      </c>
      <c r="P1159" s="3">
        <v>48.21</v>
      </c>
      <c r="Q1159" s="6">
        <v>0</v>
      </c>
      <c r="R1159" s="3">
        <v>578.52</v>
      </c>
      <c r="S1159" t="s">
        <v>819</v>
      </c>
    </row>
    <row r="1160" spans="1:19" x14ac:dyDescent="0.35">
      <c r="A1160" t="s">
        <v>2631</v>
      </c>
      <c r="B1160" t="s">
        <v>312</v>
      </c>
      <c r="C1160" s="5">
        <v>45644</v>
      </c>
      <c r="E1160" t="s">
        <v>313</v>
      </c>
      <c r="F1160" t="s">
        <v>633</v>
      </c>
      <c r="G1160" t="s">
        <v>235</v>
      </c>
      <c r="H1160" t="s">
        <v>797</v>
      </c>
      <c r="I1160" t="s">
        <v>29</v>
      </c>
      <c r="J1160" t="s">
        <v>32</v>
      </c>
      <c r="K1160" t="s">
        <v>813</v>
      </c>
      <c r="L1160" t="s">
        <v>793</v>
      </c>
      <c r="M1160" t="s">
        <v>818</v>
      </c>
      <c r="N1160">
        <v>2</v>
      </c>
      <c r="O1160" s="3">
        <v>18.989999999999998</v>
      </c>
      <c r="P1160" s="3">
        <v>25.64</v>
      </c>
      <c r="Q1160" s="6">
        <v>0</v>
      </c>
      <c r="R1160" s="3">
        <v>51.28</v>
      </c>
      <c r="S1160" t="s">
        <v>919</v>
      </c>
    </row>
    <row r="1161" spans="1:19" x14ac:dyDescent="0.35">
      <c r="A1161" t="s">
        <v>2632</v>
      </c>
      <c r="B1161" t="s">
        <v>564</v>
      </c>
      <c r="C1161" s="5">
        <v>45976</v>
      </c>
      <c r="D1161" s="5">
        <v>45977</v>
      </c>
      <c r="E1161" t="s">
        <v>526</v>
      </c>
      <c r="F1161" t="s">
        <v>633</v>
      </c>
      <c r="G1161" t="s">
        <v>243</v>
      </c>
      <c r="H1161" t="s">
        <v>797</v>
      </c>
      <c r="I1161" t="s">
        <v>43</v>
      </c>
      <c r="J1161" t="s">
        <v>53</v>
      </c>
      <c r="K1161" t="s">
        <v>786</v>
      </c>
      <c r="L1161" t="s">
        <v>799</v>
      </c>
      <c r="M1161" t="s">
        <v>800</v>
      </c>
      <c r="N1161">
        <v>10</v>
      </c>
      <c r="O1161" s="3">
        <v>54.93</v>
      </c>
      <c r="P1161" s="3">
        <v>79.650000000000006</v>
      </c>
      <c r="Q1161" s="6">
        <v>0.1</v>
      </c>
      <c r="R1161" s="3">
        <v>716.85</v>
      </c>
      <c r="S1161" t="s">
        <v>819</v>
      </c>
    </row>
    <row r="1162" spans="1:19" x14ac:dyDescent="0.35">
      <c r="A1162" t="s">
        <v>2633</v>
      </c>
      <c r="B1162" t="s">
        <v>474</v>
      </c>
      <c r="C1162" s="5">
        <v>45928</v>
      </c>
      <c r="D1162" s="5">
        <v>45931</v>
      </c>
      <c r="E1162" t="s">
        <v>330</v>
      </c>
      <c r="F1162" t="s">
        <v>674</v>
      </c>
      <c r="G1162" t="s">
        <v>235</v>
      </c>
      <c r="H1162" t="s">
        <v>797</v>
      </c>
      <c r="I1162" t="s">
        <v>14</v>
      </c>
      <c r="J1162" t="s">
        <v>67</v>
      </c>
      <c r="K1162" t="s">
        <v>798</v>
      </c>
      <c r="L1162" t="s">
        <v>799</v>
      </c>
      <c r="M1162" t="s">
        <v>842</v>
      </c>
      <c r="N1162">
        <v>10</v>
      </c>
      <c r="O1162" s="3">
        <v>17.63</v>
      </c>
      <c r="P1162" s="3">
        <v>22.92</v>
      </c>
      <c r="Q1162" s="6">
        <v>0.05</v>
      </c>
      <c r="R1162" s="3">
        <v>217.74</v>
      </c>
      <c r="S1162" t="s">
        <v>1134</v>
      </c>
    </row>
    <row r="1163" spans="1:19" x14ac:dyDescent="0.35">
      <c r="A1163" t="s">
        <v>2634</v>
      </c>
      <c r="B1163" t="s">
        <v>397</v>
      </c>
      <c r="C1163" s="5">
        <v>45345</v>
      </c>
      <c r="D1163" s="5">
        <v>45353</v>
      </c>
      <c r="E1163" t="s">
        <v>360</v>
      </c>
      <c r="F1163" t="s">
        <v>681</v>
      </c>
      <c r="H1163" t="s">
        <v>797</v>
      </c>
      <c r="I1163" t="s">
        <v>14</v>
      </c>
      <c r="J1163" t="s">
        <v>138</v>
      </c>
      <c r="K1163" t="s">
        <v>798</v>
      </c>
      <c r="L1163" t="s">
        <v>799</v>
      </c>
      <c r="M1163" t="s">
        <v>842</v>
      </c>
      <c r="N1163">
        <v>20</v>
      </c>
      <c r="O1163" s="3">
        <v>42.6</v>
      </c>
      <c r="P1163" s="3">
        <v>59.64</v>
      </c>
      <c r="Q1163" s="6">
        <v>0</v>
      </c>
      <c r="R1163" s="3">
        <v>1192.8</v>
      </c>
      <c r="S1163" t="s">
        <v>825</v>
      </c>
    </row>
    <row r="1164" spans="1:19" x14ac:dyDescent="0.35">
      <c r="A1164" t="s">
        <v>2635</v>
      </c>
      <c r="B1164" t="s">
        <v>438</v>
      </c>
      <c r="C1164" s="5">
        <v>45967</v>
      </c>
      <c r="D1164" s="5">
        <v>45968</v>
      </c>
      <c r="E1164" t="s">
        <v>439</v>
      </c>
      <c r="F1164" t="s">
        <v>627</v>
      </c>
      <c r="G1164" t="s">
        <v>264</v>
      </c>
      <c r="H1164" t="s">
        <v>797</v>
      </c>
      <c r="I1164" t="s">
        <v>14</v>
      </c>
      <c r="J1164" t="s">
        <v>25</v>
      </c>
      <c r="K1164" t="s">
        <v>786</v>
      </c>
      <c r="L1164" t="s">
        <v>822</v>
      </c>
      <c r="M1164" t="s">
        <v>842</v>
      </c>
      <c r="N1164">
        <v>1</v>
      </c>
      <c r="O1164" s="3">
        <v>18.95</v>
      </c>
      <c r="P1164" s="3">
        <v>25.58</v>
      </c>
      <c r="Q1164" s="6">
        <v>0.15</v>
      </c>
      <c r="R1164" s="3">
        <v>21.742999999999999</v>
      </c>
      <c r="S1164" t="s">
        <v>803</v>
      </c>
    </row>
    <row r="1165" spans="1:19" x14ac:dyDescent="0.35">
      <c r="A1165" t="s">
        <v>2636</v>
      </c>
      <c r="B1165" t="s">
        <v>376</v>
      </c>
      <c r="C1165" s="5">
        <v>45601</v>
      </c>
      <c r="D1165" s="5">
        <v>45610</v>
      </c>
      <c r="E1165" t="s">
        <v>253</v>
      </c>
      <c r="F1165" t="s">
        <v>696</v>
      </c>
      <c r="G1165" t="s">
        <v>264</v>
      </c>
      <c r="H1165" t="s">
        <v>797</v>
      </c>
      <c r="I1165" t="s">
        <v>79</v>
      </c>
      <c r="J1165" t="s">
        <v>88</v>
      </c>
      <c r="K1165" t="s">
        <v>813</v>
      </c>
      <c r="L1165" t="s">
        <v>799</v>
      </c>
      <c r="M1165" t="s">
        <v>818</v>
      </c>
      <c r="N1165">
        <v>3</v>
      </c>
      <c r="O1165" s="3">
        <v>11.82</v>
      </c>
      <c r="P1165" s="3">
        <v>17.14</v>
      </c>
      <c r="Q1165" s="6">
        <v>0</v>
      </c>
      <c r="R1165" s="3">
        <v>51.42</v>
      </c>
      <c r="S1165" t="s">
        <v>814</v>
      </c>
    </row>
    <row r="1166" spans="1:19" x14ac:dyDescent="0.35">
      <c r="A1166" t="s">
        <v>2637</v>
      </c>
      <c r="B1166" t="s">
        <v>590</v>
      </c>
      <c r="C1166" s="5">
        <v>45726</v>
      </c>
      <c r="E1166" t="s">
        <v>591</v>
      </c>
      <c r="F1166" t="s">
        <v>633</v>
      </c>
      <c r="G1166" t="s">
        <v>235</v>
      </c>
      <c r="H1166" t="s">
        <v>797</v>
      </c>
      <c r="I1166" t="s">
        <v>8</v>
      </c>
      <c r="J1166" t="s">
        <v>6</v>
      </c>
      <c r="K1166" t="s">
        <v>798</v>
      </c>
      <c r="L1166" t="s">
        <v>793</v>
      </c>
      <c r="M1166" t="s">
        <v>788</v>
      </c>
      <c r="N1166">
        <v>5</v>
      </c>
      <c r="O1166" s="3">
        <v>32.24</v>
      </c>
      <c r="P1166" s="3">
        <v>41.91</v>
      </c>
      <c r="Q1166" s="6">
        <v>0.05</v>
      </c>
      <c r="R1166" s="3">
        <v>199.07249999999999</v>
      </c>
      <c r="S1166" t="s">
        <v>859</v>
      </c>
    </row>
    <row r="1167" spans="1:19" x14ac:dyDescent="0.35">
      <c r="A1167" t="s">
        <v>2638</v>
      </c>
      <c r="B1167" t="s">
        <v>491</v>
      </c>
      <c r="C1167" s="5">
        <v>45565</v>
      </c>
      <c r="E1167" t="s">
        <v>492</v>
      </c>
      <c r="F1167" t="s">
        <v>681</v>
      </c>
      <c r="G1167" t="s">
        <v>264</v>
      </c>
      <c r="H1167" t="s">
        <v>797</v>
      </c>
      <c r="I1167" t="s">
        <v>38</v>
      </c>
      <c r="J1167" t="s">
        <v>36</v>
      </c>
      <c r="K1167" t="s">
        <v>798</v>
      </c>
      <c r="L1167" t="s">
        <v>793</v>
      </c>
      <c r="M1167" t="s">
        <v>842</v>
      </c>
      <c r="N1167">
        <v>1</v>
      </c>
      <c r="O1167" s="3">
        <v>8.57</v>
      </c>
      <c r="P1167" s="3">
        <v>11.14</v>
      </c>
      <c r="Q1167" s="6">
        <v>0</v>
      </c>
      <c r="R1167" s="3">
        <v>11.14</v>
      </c>
      <c r="S1167" t="s">
        <v>888</v>
      </c>
    </row>
    <row r="1168" spans="1:19" x14ac:dyDescent="0.35">
      <c r="A1168" t="s">
        <v>2639</v>
      </c>
      <c r="B1168" t="s">
        <v>306</v>
      </c>
      <c r="C1168" s="5">
        <v>45401</v>
      </c>
      <c r="D1168" s="5">
        <v>45402</v>
      </c>
      <c r="E1168" t="s">
        <v>307</v>
      </c>
      <c r="F1168" t="s">
        <v>674</v>
      </c>
      <c r="H1168" t="s">
        <v>797</v>
      </c>
      <c r="I1168" t="s">
        <v>29</v>
      </c>
      <c r="J1168" t="s">
        <v>32</v>
      </c>
      <c r="K1168" t="s">
        <v>813</v>
      </c>
      <c r="L1168" t="s">
        <v>799</v>
      </c>
      <c r="M1168" t="s">
        <v>842</v>
      </c>
      <c r="N1168">
        <v>12</v>
      </c>
      <c r="O1168" s="3">
        <v>18.989999999999998</v>
      </c>
      <c r="P1168" s="3">
        <v>25.64</v>
      </c>
      <c r="Q1168" s="6">
        <v>0</v>
      </c>
      <c r="R1168" s="3">
        <v>307.68</v>
      </c>
      <c r="S1168" t="s">
        <v>839</v>
      </c>
    </row>
    <row r="1169" spans="1:19" x14ac:dyDescent="0.35">
      <c r="A1169" t="s">
        <v>2640</v>
      </c>
      <c r="B1169" t="s">
        <v>559</v>
      </c>
      <c r="C1169" s="5">
        <v>46046</v>
      </c>
      <c r="D1169" s="5">
        <v>46048</v>
      </c>
      <c r="E1169" t="s">
        <v>311</v>
      </c>
      <c r="F1169" t="s">
        <v>254</v>
      </c>
      <c r="G1169" t="s">
        <v>235</v>
      </c>
      <c r="H1169" t="s">
        <v>797</v>
      </c>
      <c r="I1169" t="s">
        <v>20</v>
      </c>
      <c r="J1169" t="s">
        <v>18</v>
      </c>
      <c r="K1169" t="s">
        <v>798</v>
      </c>
      <c r="L1169" t="s">
        <v>799</v>
      </c>
      <c r="M1169" t="s">
        <v>818</v>
      </c>
      <c r="N1169">
        <v>10</v>
      </c>
      <c r="O1169" s="3">
        <v>21.57</v>
      </c>
      <c r="P1169" s="3">
        <v>26.96</v>
      </c>
      <c r="Q1169" s="6">
        <v>0.15</v>
      </c>
      <c r="R1169" s="3">
        <v>229.16000000000003</v>
      </c>
      <c r="S1169" t="s">
        <v>1134</v>
      </c>
    </row>
    <row r="1170" spans="1:19" x14ac:dyDescent="0.35">
      <c r="A1170" t="s">
        <v>2641</v>
      </c>
      <c r="B1170" t="s">
        <v>286</v>
      </c>
      <c r="C1170" s="5">
        <v>45919</v>
      </c>
      <c r="D1170" s="5">
        <v>45921</v>
      </c>
      <c r="E1170" t="s">
        <v>287</v>
      </c>
      <c r="F1170" t="s">
        <v>681</v>
      </c>
      <c r="G1170" t="s">
        <v>264</v>
      </c>
      <c r="H1170" t="s">
        <v>797</v>
      </c>
      <c r="I1170" t="s">
        <v>43</v>
      </c>
      <c r="J1170" t="s">
        <v>146</v>
      </c>
      <c r="K1170" t="s">
        <v>786</v>
      </c>
      <c r="L1170" t="s">
        <v>822</v>
      </c>
      <c r="M1170" t="s">
        <v>788</v>
      </c>
      <c r="N1170">
        <v>10</v>
      </c>
      <c r="O1170" s="3">
        <v>24.05</v>
      </c>
      <c r="P1170" s="3">
        <v>31.27</v>
      </c>
      <c r="Q1170" s="6">
        <v>0</v>
      </c>
      <c r="R1170" s="3">
        <v>312.7</v>
      </c>
      <c r="S1170" t="s">
        <v>1001</v>
      </c>
    </row>
    <row r="1171" spans="1:19" x14ac:dyDescent="0.35">
      <c r="A1171" t="s">
        <v>2642</v>
      </c>
      <c r="B1171" t="s">
        <v>582</v>
      </c>
      <c r="C1171" s="5">
        <v>45295</v>
      </c>
      <c r="E1171" t="s">
        <v>583</v>
      </c>
      <c r="F1171" t="s">
        <v>674</v>
      </c>
      <c r="G1171" t="s">
        <v>264</v>
      </c>
      <c r="H1171" t="s">
        <v>797</v>
      </c>
      <c r="I1171" t="s">
        <v>48</v>
      </c>
      <c r="J1171" t="s">
        <v>143</v>
      </c>
      <c r="K1171" t="s">
        <v>798</v>
      </c>
      <c r="L1171" t="s">
        <v>793</v>
      </c>
      <c r="M1171" t="s">
        <v>788</v>
      </c>
      <c r="N1171">
        <v>3</v>
      </c>
      <c r="O1171" s="3">
        <v>29.93</v>
      </c>
      <c r="P1171" s="3">
        <v>38.909999999999997</v>
      </c>
      <c r="Q1171" s="6">
        <v>0.05</v>
      </c>
      <c r="R1171" s="3">
        <v>110.89349999999999</v>
      </c>
      <c r="S1171" t="s">
        <v>963</v>
      </c>
    </row>
    <row r="1172" spans="1:19" x14ac:dyDescent="0.35">
      <c r="A1172" t="s">
        <v>2643</v>
      </c>
      <c r="B1172" t="s">
        <v>554</v>
      </c>
      <c r="C1172" s="5">
        <v>46017</v>
      </c>
      <c r="D1172" s="5">
        <v>46026</v>
      </c>
      <c r="E1172" t="s">
        <v>445</v>
      </c>
      <c r="F1172" t="s">
        <v>681</v>
      </c>
      <c r="G1172" t="s">
        <v>235</v>
      </c>
      <c r="H1172" t="s">
        <v>797</v>
      </c>
      <c r="I1172" t="s">
        <v>38</v>
      </c>
      <c r="J1172" t="s">
        <v>165</v>
      </c>
      <c r="K1172" t="s">
        <v>798</v>
      </c>
      <c r="L1172" t="s">
        <v>799</v>
      </c>
      <c r="M1172" t="s">
        <v>842</v>
      </c>
      <c r="N1172">
        <v>1</v>
      </c>
      <c r="O1172" s="3">
        <v>18.45</v>
      </c>
      <c r="P1172" s="3">
        <v>25.83</v>
      </c>
      <c r="Q1172" s="6">
        <v>0.05</v>
      </c>
      <c r="R1172" s="3">
        <v>24.538499999999999</v>
      </c>
      <c r="S1172" t="s">
        <v>810</v>
      </c>
    </row>
    <row r="1173" spans="1:19" x14ac:dyDescent="0.35">
      <c r="A1173" t="s">
        <v>2644</v>
      </c>
      <c r="B1173" t="s">
        <v>366</v>
      </c>
      <c r="C1173" s="5">
        <v>45298</v>
      </c>
      <c r="D1173" s="5">
        <v>45300</v>
      </c>
      <c r="E1173" t="s">
        <v>245</v>
      </c>
      <c r="F1173" t="s">
        <v>674</v>
      </c>
      <c r="G1173" t="s">
        <v>243</v>
      </c>
      <c r="H1173" t="s">
        <v>797</v>
      </c>
      <c r="I1173" t="s">
        <v>43</v>
      </c>
      <c r="J1173" t="s">
        <v>200</v>
      </c>
      <c r="K1173" t="s">
        <v>786</v>
      </c>
      <c r="L1173" t="s">
        <v>799</v>
      </c>
      <c r="M1173" t="s">
        <v>788</v>
      </c>
      <c r="N1173">
        <v>3</v>
      </c>
      <c r="O1173" s="3">
        <v>69.23</v>
      </c>
      <c r="P1173" s="3">
        <v>86.54</v>
      </c>
      <c r="Q1173" s="6">
        <v>0.15</v>
      </c>
      <c r="R1173" s="3">
        <v>220.67700000000002</v>
      </c>
      <c r="S1173" t="s">
        <v>919</v>
      </c>
    </row>
    <row r="1174" spans="1:19" x14ac:dyDescent="0.35">
      <c r="A1174" t="s">
        <v>2646</v>
      </c>
      <c r="B1174" t="s">
        <v>434</v>
      </c>
      <c r="C1174" s="5">
        <v>45484</v>
      </c>
      <c r="D1174" s="5">
        <v>45493</v>
      </c>
      <c r="E1174" t="s">
        <v>435</v>
      </c>
      <c r="F1174" t="s">
        <v>637</v>
      </c>
      <c r="G1174" t="s">
        <v>264</v>
      </c>
      <c r="H1174" t="s">
        <v>48</v>
      </c>
      <c r="I1174" t="s">
        <v>20</v>
      </c>
      <c r="J1174" t="s">
        <v>197</v>
      </c>
      <c r="K1174" t="s">
        <v>813</v>
      </c>
      <c r="L1174" t="s">
        <v>799</v>
      </c>
      <c r="M1174" t="s">
        <v>800</v>
      </c>
      <c r="N1174">
        <v>10</v>
      </c>
      <c r="O1174" s="3">
        <v>22.45</v>
      </c>
      <c r="P1174" s="3">
        <v>29.18</v>
      </c>
      <c r="Q1174" s="6">
        <v>0.1</v>
      </c>
      <c r="R1174" s="3">
        <v>262.62</v>
      </c>
      <c r="S1174" t="s">
        <v>876</v>
      </c>
    </row>
    <row r="1175" spans="1:19" x14ac:dyDescent="0.35">
      <c r="A1175" t="s">
        <v>2647</v>
      </c>
      <c r="B1175" t="s">
        <v>384</v>
      </c>
      <c r="C1175" s="5">
        <v>45947</v>
      </c>
      <c r="E1175" t="s">
        <v>385</v>
      </c>
      <c r="F1175" t="s">
        <v>696</v>
      </c>
      <c r="G1175" t="s">
        <v>264</v>
      </c>
      <c r="H1175" t="s">
        <v>797</v>
      </c>
      <c r="I1175" t="s">
        <v>14</v>
      </c>
      <c r="J1175" t="s">
        <v>167</v>
      </c>
      <c r="K1175" t="s">
        <v>798</v>
      </c>
      <c r="L1175" t="s">
        <v>793</v>
      </c>
      <c r="M1175" t="s">
        <v>842</v>
      </c>
      <c r="N1175">
        <v>3</v>
      </c>
      <c r="O1175" s="3">
        <v>18.62</v>
      </c>
      <c r="P1175" s="3">
        <v>26.07</v>
      </c>
      <c r="Q1175" s="6">
        <v>0.15</v>
      </c>
      <c r="R1175" s="3">
        <v>66.478500000000011</v>
      </c>
      <c r="S1175" t="s">
        <v>825</v>
      </c>
    </row>
    <row r="1176" spans="1:19" x14ac:dyDescent="0.35">
      <c r="A1176" t="s">
        <v>2648</v>
      </c>
      <c r="B1176" t="s">
        <v>607</v>
      </c>
      <c r="C1176" s="5">
        <v>45549</v>
      </c>
      <c r="E1176" t="s">
        <v>608</v>
      </c>
      <c r="F1176" t="s">
        <v>674</v>
      </c>
      <c r="G1176" t="s">
        <v>264</v>
      </c>
      <c r="H1176" t="s">
        <v>797</v>
      </c>
      <c r="I1176" t="s">
        <v>38</v>
      </c>
      <c r="J1176" t="s">
        <v>36</v>
      </c>
      <c r="K1176" t="s">
        <v>813</v>
      </c>
      <c r="L1176" t="s">
        <v>793</v>
      </c>
      <c r="M1176" t="s">
        <v>842</v>
      </c>
      <c r="N1176">
        <v>2</v>
      </c>
      <c r="O1176" s="3">
        <v>8.57</v>
      </c>
      <c r="P1176" s="3">
        <v>11.14</v>
      </c>
      <c r="Q1176" s="6">
        <v>0.1</v>
      </c>
      <c r="R1176" s="3">
        <v>20.052</v>
      </c>
      <c r="S1176" t="s">
        <v>876</v>
      </c>
    </row>
    <row r="1177" spans="1:19" x14ac:dyDescent="0.35">
      <c r="A1177" t="s">
        <v>2649</v>
      </c>
      <c r="B1177" t="s">
        <v>248</v>
      </c>
      <c r="C1177" s="5">
        <v>45373</v>
      </c>
      <c r="D1177" s="5">
        <v>45383</v>
      </c>
      <c r="E1177" t="s">
        <v>249</v>
      </c>
      <c r="F1177" t="s">
        <v>681</v>
      </c>
      <c r="H1177" t="s">
        <v>14</v>
      </c>
      <c r="I1177" t="s">
        <v>8</v>
      </c>
      <c r="J1177" t="s">
        <v>207</v>
      </c>
      <c r="K1177" t="s">
        <v>798</v>
      </c>
      <c r="L1177" t="s">
        <v>799</v>
      </c>
      <c r="M1177" t="s">
        <v>800</v>
      </c>
      <c r="N1177">
        <v>3</v>
      </c>
      <c r="O1177" s="3">
        <v>8.5399999999999991</v>
      </c>
      <c r="P1177" s="3">
        <v>10.67</v>
      </c>
      <c r="Q1177" s="6">
        <v>0.15</v>
      </c>
      <c r="R1177" s="3">
        <v>27.208499999999997</v>
      </c>
      <c r="S1177" t="s">
        <v>825</v>
      </c>
    </row>
    <row r="1178" spans="1:19" x14ac:dyDescent="0.35">
      <c r="A1178" t="s">
        <v>2650</v>
      </c>
      <c r="B1178" t="s">
        <v>540</v>
      </c>
      <c r="C1178" s="5">
        <v>45986</v>
      </c>
      <c r="E1178" t="s">
        <v>458</v>
      </c>
      <c r="F1178" t="s">
        <v>633</v>
      </c>
      <c r="G1178" t="s">
        <v>264</v>
      </c>
      <c r="H1178" t="s">
        <v>20</v>
      </c>
      <c r="I1178" t="s">
        <v>48</v>
      </c>
      <c r="J1178" t="s">
        <v>202</v>
      </c>
      <c r="K1178" t="s">
        <v>798</v>
      </c>
      <c r="L1178" t="s">
        <v>793</v>
      </c>
      <c r="M1178" t="s">
        <v>818</v>
      </c>
      <c r="N1178">
        <v>5</v>
      </c>
      <c r="O1178" s="3">
        <v>27</v>
      </c>
      <c r="P1178" s="3">
        <v>39.15</v>
      </c>
      <c r="Q1178" s="6">
        <v>0</v>
      </c>
      <c r="R1178" s="3">
        <v>195.75</v>
      </c>
      <c r="S1178" t="s">
        <v>819</v>
      </c>
    </row>
    <row r="1179" spans="1:19" x14ac:dyDescent="0.35">
      <c r="A1179" t="s">
        <v>2651</v>
      </c>
      <c r="B1179" t="s">
        <v>430</v>
      </c>
      <c r="C1179" s="5">
        <v>45599</v>
      </c>
      <c r="D1179" s="5">
        <v>45606</v>
      </c>
      <c r="E1179" t="s">
        <v>431</v>
      </c>
      <c r="F1179" t="s">
        <v>627</v>
      </c>
      <c r="G1179" t="s">
        <v>264</v>
      </c>
      <c r="H1179" t="s">
        <v>48</v>
      </c>
      <c r="I1179" t="s">
        <v>14</v>
      </c>
      <c r="J1179" t="s">
        <v>56</v>
      </c>
      <c r="K1179" t="s">
        <v>813</v>
      </c>
      <c r="L1179" t="s">
        <v>799</v>
      </c>
      <c r="M1179" t="s">
        <v>842</v>
      </c>
      <c r="N1179">
        <v>20</v>
      </c>
      <c r="O1179" s="3">
        <v>25.46</v>
      </c>
      <c r="P1179" s="3">
        <v>31.83</v>
      </c>
      <c r="Q1179" s="6">
        <v>0.15</v>
      </c>
      <c r="R1179" s="3">
        <v>541.1099999999999</v>
      </c>
      <c r="S1179" t="s">
        <v>814</v>
      </c>
    </row>
    <row r="1180" spans="1:19" x14ac:dyDescent="0.35">
      <c r="A1180" t="s">
        <v>2652</v>
      </c>
      <c r="B1180" t="s">
        <v>436</v>
      </c>
      <c r="C1180" s="5">
        <v>45768</v>
      </c>
      <c r="D1180" s="5">
        <v>45771</v>
      </c>
      <c r="E1180" t="s">
        <v>396</v>
      </c>
      <c r="F1180" t="s">
        <v>637</v>
      </c>
      <c r="G1180" t="s">
        <v>235</v>
      </c>
      <c r="H1180" t="s">
        <v>20</v>
      </c>
      <c r="I1180" t="s">
        <v>8</v>
      </c>
      <c r="J1180" t="s">
        <v>91</v>
      </c>
      <c r="K1180" t="s">
        <v>786</v>
      </c>
      <c r="L1180" t="s">
        <v>799</v>
      </c>
      <c r="M1180" t="s">
        <v>818</v>
      </c>
      <c r="N1180">
        <v>10</v>
      </c>
      <c r="O1180" s="3">
        <v>36.82</v>
      </c>
      <c r="P1180" s="3">
        <v>47.87</v>
      </c>
      <c r="Q1180" s="6">
        <v>0.05</v>
      </c>
      <c r="R1180" s="3">
        <v>454.76499999999999</v>
      </c>
      <c r="S1180" t="s">
        <v>888</v>
      </c>
    </row>
    <row r="1181" spans="1:19" x14ac:dyDescent="0.35">
      <c r="A1181" t="s">
        <v>2653</v>
      </c>
      <c r="B1181" t="s">
        <v>475</v>
      </c>
      <c r="C1181" s="5">
        <v>46047</v>
      </c>
      <c r="E1181" t="s">
        <v>476</v>
      </c>
      <c r="F1181" t="s">
        <v>254</v>
      </c>
      <c r="G1181" t="s">
        <v>243</v>
      </c>
      <c r="H1181" t="s">
        <v>20</v>
      </c>
      <c r="I1181" t="s">
        <v>48</v>
      </c>
      <c r="J1181" t="s">
        <v>179</v>
      </c>
      <c r="K1181" t="s">
        <v>786</v>
      </c>
      <c r="L1181" t="s">
        <v>793</v>
      </c>
      <c r="M1181" t="s">
        <v>788</v>
      </c>
      <c r="N1181">
        <v>2</v>
      </c>
      <c r="O1181" s="3">
        <v>16.670000000000002</v>
      </c>
      <c r="P1181" s="3">
        <v>22.5</v>
      </c>
      <c r="Q1181" s="6">
        <v>0.05</v>
      </c>
      <c r="R1181" s="3">
        <v>42.75</v>
      </c>
      <c r="S1181" t="s">
        <v>814</v>
      </c>
    </row>
    <row r="1182" spans="1:19" x14ac:dyDescent="0.35">
      <c r="A1182" t="s">
        <v>2654</v>
      </c>
      <c r="B1182" t="s">
        <v>574</v>
      </c>
      <c r="C1182" s="5">
        <v>45306</v>
      </c>
      <c r="E1182" t="s">
        <v>458</v>
      </c>
      <c r="F1182" t="s">
        <v>674</v>
      </c>
      <c r="H1182" t="s">
        <v>797</v>
      </c>
      <c r="I1182" t="s">
        <v>14</v>
      </c>
      <c r="J1182" t="s">
        <v>60</v>
      </c>
      <c r="K1182" t="s">
        <v>786</v>
      </c>
      <c r="L1182" t="s">
        <v>793</v>
      </c>
      <c r="M1182" t="s">
        <v>842</v>
      </c>
      <c r="N1182">
        <v>3</v>
      </c>
      <c r="O1182" s="3">
        <v>18.18</v>
      </c>
      <c r="P1182" s="3">
        <v>24.54</v>
      </c>
      <c r="Q1182" s="6">
        <v>0.05</v>
      </c>
      <c r="R1182" s="3">
        <v>69.939000000000007</v>
      </c>
      <c r="S1182" t="s">
        <v>819</v>
      </c>
    </row>
    <row r="1183" spans="1:19" x14ac:dyDescent="0.35">
      <c r="A1183" t="s">
        <v>2655</v>
      </c>
      <c r="B1183" t="s">
        <v>440</v>
      </c>
      <c r="C1183" s="5">
        <v>45445</v>
      </c>
      <c r="E1183" t="s">
        <v>441</v>
      </c>
      <c r="F1183" t="s">
        <v>674</v>
      </c>
      <c r="G1183" t="s">
        <v>264</v>
      </c>
      <c r="H1183" t="s">
        <v>797</v>
      </c>
      <c r="I1183" t="s">
        <v>48</v>
      </c>
      <c r="J1183" t="s">
        <v>190</v>
      </c>
      <c r="K1183" t="s">
        <v>798</v>
      </c>
      <c r="L1183" t="s">
        <v>793</v>
      </c>
      <c r="M1183" t="s">
        <v>800</v>
      </c>
      <c r="N1183">
        <v>12</v>
      </c>
      <c r="O1183" s="3">
        <v>21.56</v>
      </c>
      <c r="P1183" s="3">
        <v>31.26</v>
      </c>
      <c r="Q1183" s="6">
        <v>0</v>
      </c>
      <c r="R1183" s="3">
        <v>375.12</v>
      </c>
      <c r="S1183" t="s">
        <v>963</v>
      </c>
    </row>
    <row r="1184" spans="1:19" x14ac:dyDescent="0.35">
      <c r="A1184" t="s">
        <v>2656</v>
      </c>
      <c r="B1184" t="s">
        <v>596</v>
      </c>
      <c r="C1184" s="5">
        <v>45790</v>
      </c>
      <c r="E1184" t="s">
        <v>443</v>
      </c>
      <c r="F1184" t="s">
        <v>696</v>
      </c>
      <c r="G1184" t="s">
        <v>264</v>
      </c>
      <c r="H1184" t="s">
        <v>797</v>
      </c>
      <c r="I1184" t="s">
        <v>20</v>
      </c>
      <c r="J1184" t="s">
        <v>102</v>
      </c>
      <c r="K1184" t="s">
        <v>786</v>
      </c>
      <c r="L1184" t="s">
        <v>787</v>
      </c>
      <c r="M1184" t="s">
        <v>842</v>
      </c>
      <c r="N1184">
        <v>10</v>
      </c>
      <c r="O1184" s="3">
        <v>19.04</v>
      </c>
      <c r="P1184" s="3">
        <v>25.7</v>
      </c>
      <c r="Q1184" s="6">
        <v>0</v>
      </c>
      <c r="R1184" s="3">
        <v>257</v>
      </c>
      <c r="S1184" t="s">
        <v>919</v>
      </c>
    </row>
    <row r="1185" spans="1:19" x14ac:dyDescent="0.35">
      <c r="A1185" t="s">
        <v>2657</v>
      </c>
      <c r="B1185" t="s">
        <v>589</v>
      </c>
      <c r="C1185" s="5">
        <v>45360</v>
      </c>
      <c r="D1185" s="5">
        <v>45368</v>
      </c>
      <c r="E1185" t="s">
        <v>484</v>
      </c>
      <c r="F1185" t="s">
        <v>696</v>
      </c>
      <c r="G1185" t="s">
        <v>264</v>
      </c>
      <c r="H1185" t="s">
        <v>14</v>
      </c>
      <c r="I1185" t="s">
        <v>14</v>
      </c>
      <c r="J1185" t="s">
        <v>150</v>
      </c>
      <c r="K1185" t="s">
        <v>813</v>
      </c>
      <c r="L1185" t="s">
        <v>799</v>
      </c>
      <c r="M1185" t="s">
        <v>818</v>
      </c>
      <c r="N1185">
        <v>10</v>
      </c>
      <c r="O1185" s="3">
        <v>5.81</v>
      </c>
      <c r="P1185" s="3">
        <v>7.55</v>
      </c>
      <c r="Q1185" s="6">
        <v>0</v>
      </c>
      <c r="R1185" s="3">
        <v>75.5</v>
      </c>
      <c r="S1185" t="s">
        <v>876</v>
      </c>
    </row>
    <row r="1186" spans="1:19" x14ac:dyDescent="0.35">
      <c r="A1186" t="s">
        <v>2658</v>
      </c>
      <c r="B1186" t="s">
        <v>563</v>
      </c>
      <c r="C1186" s="5">
        <v>45305</v>
      </c>
      <c r="D1186" s="5">
        <v>45314</v>
      </c>
      <c r="E1186" t="s">
        <v>311</v>
      </c>
      <c r="F1186" t="s">
        <v>674</v>
      </c>
      <c r="G1186" t="s">
        <v>264</v>
      </c>
      <c r="H1186" t="s">
        <v>797</v>
      </c>
      <c r="I1186" t="s">
        <v>38</v>
      </c>
      <c r="J1186" t="s">
        <v>117</v>
      </c>
      <c r="K1186" t="s">
        <v>798</v>
      </c>
      <c r="L1186" t="s">
        <v>799</v>
      </c>
      <c r="M1186" t="s">
        <v>842</v>
      </c>
      <c r="N1186">
        <v>20</v>
      </c>
      <c r="O1186" s="3">
        <v>43.25</v>
      </c>
      <c r="P1186" s="3">
        <v>60.55</v>
      </c>
      <c r="Q1186" s="6">
        <v>0.1</v>
      </c>
      <c r="R1186" s="3">
        <v>1089.9000000000001</v>
      </c>
      <c r="S1186" t="s">
        <v>888</v>
      </c>
    </row>
    <row r="1187" spans="1:19" x14ac:dyDescent="0.35">
      <c r="A1187" t="s">
        <v>2659</v>
      </c>
      <c r="B1187" t="s">
        <v>596</v>
      </c>
      <c r="C1187" s="5">
        <v>45580</v>
      </c>
      <c r="E1187" t="s">
        <v>443</v>
      </c>
      <c r="F1187" t="s">
        <v>633</v>
      </c>
      <c r="G1187" t="s">
        <v>264</v>
      </c>
      <c r="H1187" t="s">
        <v>20</v>
      </c>
      <c r="I1187" t="s">
        <v>14</v>
      </c>
      <c r="J1187" t="s">
        <v>25</v>
      </c>
      <c r="K1187" t="s">
        <v>786</v>
      </c>
      <c r="L1187" t="s">
        <v>793</v>
      </c>
      <c r="M1187" t="s">
        <v>818</v>
      </c>
      <c r="N1187">
        <v>1</v>
      </c>
      <c r="O1187" s="3">
        <v>18.95</v>
      </c>
      <c r="P1187" s="3">
        <v>25.58</v>
      </c>
      <c r="Q1187" s="6">
        <v>0</v>
      </c>
      <c r="R1187" s="3">
        <v>25.58</v>
      </c>
      <c r="S1187" t="s">
        <v>839</v>
      </c>
    </row>
    <row r="1188" spans="1:19" x14ac:dyDescent="0.35">
      <c r="A1188" t="s">
        <v>2660</v>
      </c>
      <c r="B1188" t="s">
        <v>474</v>
      </c>
      <c r="C1188" s="5">
        <v>45749</v>
      </c>
      <c r="E1188" t="s">
        <v>330</v>
      </c>
      <c r="F1188" t="s">
        <v>674</v>
      </c>
      <c r="G1188" t="s">
        <v>235</v>
      </c>
      <c r="H1188" t="s">
        <v>797</v>
      </c>
      <c r="I1188" t="s">
        <v>8</v>
      </c>
      <c r="J1188" t="s">
        <v>207</v>
      </c>
      <c r="K1188" t="s">
        <v>798</v>
      </c>
      <c r="L1188" t="s">
        <v>793</v>
      </c>
      <c r="M1188" t="s">
        <v>800</v>
      </c>
      <c r="N1188">
        <v>20</v>
      </c>
      <c r="O1188" s="3">
        <v>8.5399999999999991</v>
      </c>
      <c r="P1188" s="3">
        <v>10.67</v>
      </c>
      <c r="Q1188" s="6">
        <v>0.15</v>
      </c>
      <c r="R1188" s="3">
        <v>181.39000000000001</v>
      </c>
      <c r="S1188" t="s">
        <v>819</v>
      </c>
    </row>
    <row r="1189" spans="1:19" x14ac:dyDescent="0.35">
      <c r="A1189" t="s">
        <v>2661</v>
      </c>
      <c r="B1189" t="s">
        <v>442</v>
      </c>
      <c r="C1189" s="5">
        <v>45579</v>
      </c>
      <c r="D1189" s="5">
        <v>45583</v>
      </c>
      <c r="E1189" t="s">
        <v>443</v>
      </c>
      <c r="F1189" t="s">
        <v>627</v>
      </c>
      <c r="G1189" t="s">
        <v>235</v>
      </c>
      <c r="H1189" t="s">
        <v>20</v>
      </c>
      <c r="I1189" t="s">
        <v>8</v>
      </c>
      <c r="J1189" t="s">
        <v>192</v>
      </c>
      <c r="K1189" t="s">
        <v>798</v>
      </c>
      <c r="L1189" t="s">
        <v>822</v>
      </c>
      <c r="M1189" t="s">
        <v>800</v>
      </c>
      <c r="N1189">
        <v>3</v>
      </c>
      <c r="O1189" s="3">
        <v>19.47</v>
      </c>
      <c r="P1189" s="3">
        <v>28.23</v>
      </c>
      <c r="Q1189" s="6">
        <v>0.15</v>
      </c>
      <c r="R1189" s="3">
        <v>71.986499999999992</v>
      </c>
      <c r="S1189" t="s">
        <v>803</v>
      </c>
    </row>
    <row r="1190" spans="1:19" x14ac:dyDescent="0.35">
      <c r="A1190" t="s">
        <v>2662</v>
      </c>
      <c r="B1190" t="s">
        <v>556</v>
      </c>
      <c r="C1190" s="5">
        <v>46017</v>
      </c>
      <c r="D1190" s="5">
        <v>46019</v>
      </c>
      <c r="E1190" t="s">
        <v>472</v>
      </c>
      <c r="F1190" t="s">
        <v>674</v>
      </c>
      <c r="G1190" t="s">
        <v>235</v>
      </c>
      <c r="H1190" t="s">
        <v>20</v>
      </c>
      <c r="I1190" t="s">
        <v>48</v>
      </c>
      <c r="J1190" t="s">
        <v>217</v>
      </c>
      <c r="K1190" t="s">
        <v>798</v>
      </c>
      <c r="L1190" t="s">
        <v>799</v>
      </c>
      <c r="M1190" t="s">
        <v>842</v>
      </c>
      <c r="N1190">
        <v>12</v>
      </c>
      <c r="O1190" s="3">
        <v>24.07</v>
      </c>
      <c r="P1190" s="3">
        <v>34.9</v>
      </c>
      <c r="Q1190" s="6">
        <v>0</v>
      </c>
      <c r="R1190" s="3">
        <v>418.79999999999995</v>
      </c>
      <c r="S1190" t="s">
        <v>892</v>
      </c>
    </row>
    <row r="1191" spans="1:19" x14ac:dyDescent="0.35">
      <c r="A1191" t="s">
        <v>2663</v>
      </c>
      <c r="B1191" t="s">
        <v>560</v>
      </c>
      <c r="C1191" s="5">
        <v>45685</v>
      </c>
      <c r="D1191" s="5">
        <v>45692</v>
      </c>
      <c r="E1191" t="s">
        <v>292</v>
      </c>
      <c r="F1191" t="s">
        <v>633</v>
      </c>
      <c r="G1191" t="s">
        <v>264</v>
      </c>
      <c r="H1191" t="s">
        <v>797</v>
      </c>
      <c r="I1191" t="s">
        <v>79</v>
      </c>
      <c r="J1191" t="s">
        <v>166</v>
      </c>
      <c r="K1191" t="s">
        <v>798</v>
      </c>
      <c r="L1191" t="s">
        <v>799</v>
      </c>
      <c r="M1191" t="s">
        <v>800</v>
      </c>
      <c r="N1191">
        <v>1</v>
      </c>
      <c r="O1191" s="3">
        <v>15.73</v>
      </c>
      <c r="P1191" s="3">
        <v>19.66</v>
      </c>
      <c r="Q1191" s="6">
        <v>0</v>
      </c>
      <c r="R1191" s="3">
        <v>19.66</v>
      </c>
      <c r="S1191" t="s">
        <v>845</v>
      </c>
    </row>
    <row r="1192" spans="1:19" x14ac:dyDescent="0.35">
      <c r="A1192" t="s">
        <v>2664</v>
      </c>
      <c r="B1192" t="s">
        <v>592</v>
      </c>
      <c r="C1192" s="5">
        <v>45489</v>
      </c>
      <c r="D1192" s="5">
        <v>45495</v>
      </c>
      <c r="E1192" t="s">
        <v>478</v>
      </c>
      <c r="F1192" t="s">
        <v>674</v>
      </c>
      <c r="G1192" t="s">
        <v>243</v>
      </c>
      <c r="H1192" t="s">
        <v>797</v>
      </c>
      <c r="I1192" t="s">
        <v>14</v>
      </c>
      <c r="J1192" t="s">
        <v>111</v>
      </c>
      <c r="K1192" t="s">
        <v>786</v>
      </c>
      <c r="L1192" t="s">
        <v>799</v>
      </c>
      <c r="M1192" t="s">
        <v>788</v>
      </c>
      <c r="N1192">
        <v>3</v>
      </c>
      <c r="O1192" s="3">
        <v>19.850000000000001</v>
      </c>
      <c r="P1192" s="3">
        <v>28.78</v>
      </c>
      <c r="Q1192" s="6">
        <v>0.15</v>
      </c>
      <c r="R1192" s="3">
        <v>73.38900000000001</v>
      </c>
      <c r="S1192" t="s">
        <v>839</v>
      </c>
    </row>
    <row r="1193" spans="1:19" x14ac:dyDescent="0.35">
      <c r="A1193" t="s">
        <v>2665</v>
      </c>
      <c r="B1193" t="s">
        <v>502</v>
      </c>
      <c r="C1193" s="5">
        <v>45656</v>
      </c>
      <c r="E1193" t="s">
        <v>503</v>
      </c>
      <c r="F1193" t="s">
        <v>627</v>
      </c>
      <c r="G1193" t="s">
        <v>235</v>
      </c>
      <c r="H1193" t="s">
        <v>797</v>
      </c>
      <c r="I1193" t="s">
        <v>8</v>
      </c>
      <c r="J1193" t="s">
        <v>198</v>
      </c>
      <c r="K1193" t="s">
        <v>798</v>
      </c>
      <c r="L1193" t="s">
        <v>793</v>
      </c>
      <c r="M1193" t="s">
        <v>800</v>
      </c>
      <c r="N1193">
        <v>10</v>
      </c>
      <c r="O1193" s="3">
        <v>30.64</v>
      </c>
      <c r="P1193" s="3">
        <v>42.9</v>
      </c>
      <c r="Q1193" s="6">
        <v>0.1</v>
      </c>
      <c r="R1193" s="3">
        <v>386.1</v>
      </c>
      <c r="S1193" t="s">
        <v>790</v>
      </c>
    </row>
    <row r="1194" spans="1:19" x14ac:dyDescent="0.35">
      <c r="A1194" t="s">
        <v>2666</v>
      </c>
      <c r="B1194" t="s">
        <v>370</v>
      </c>
      <c r="C1194" s="5">
        <v>45496</v>
      </c>
      <c r="E1194" t="s">
        <v>371</v>
      </c>
      <c r="F1194" t="s">
        <v>627</v>
      </c>
      <c r="G1194" t="s">
        <v>264</v>
      </c>
      <c r="H1194" t="s">
        <v>14</v>
      </c>
      <c r="I1194" t="s">
        <v>14</v>
      </c>
      <c r="J1194" t="s">
        <v>60</v>
      </c>
      <c r="K1194" t="s">
        <v>798</v>
      </c>
      <c r="L1194" t="s">
        <v>787</v>
      </c>
      <c r="M1194" t="s">
        <v>788</v>
      </c>
      <c r="N1194">
        <v>1</v>
      </c>
      <c r="O1194" s="3">
        <v>18.18</v>
      </c>
      <c r="P1194" s="3">
        <v>24.54</v>
      </c>
      <c r="Q1194" s="6">
        <v>0.1</v>
      </c>
      <c r="R1194" s="3">
        <v>22.085999999999999</v>
      </c>
      <c r="S1194" t="s">
        <v>892</v>
      </c>
    </row>
    <row r="1195" spans="1:19" x14ac:dyDescent="0.35">
      <c r="A1195" t="s">
        <v>2667</v>
      </c>
      <c r="B1195" t="s">
        <v>457</v>
      </c>
      <c r="C1195" s="5">
        <v>45581</v>
      </c>
      <c r="E1195" t="s">
        <v>458</v>
      </c>
      <c r="F1195" t="s">
        <v>696</v>
      </c>
      <c r="G1195" t="s">
        <v>243</v>
      </c>
      <c r="H1195" t="s">
        <v>20</v>
      </c>
      <c r="I1195" t="s">
        <v>8</v>
      </c>
      <c r="J1195" t="s">
        <v>91</v>
      </c>
      <c r="K1195" t="s">
        <v>786</v>
      </c>
      <c r="L1195" t="s">
        <v>793</v>
      </c>
      <c r="M1195" t="s">
        <v>788</v>
      </c>
      <c r="N1195">
        <v>2</v>
      </c>
      <c r="O1195" s="3">
        <v>36.82</v>
      </c>
      <c r="P1195" s="3">
        <v>47.87</v>
      </c>
      <c r="Q1195" s="6">
        <v>0</v>
      </c>
      <c r="R1195" s="3">
        <v>95.74</v>
      </c>
      <c r="S1195" t="s">
        <v>859</v>
      </c>
    </row>
    <row r="1196" spans="1:19" x14ac:dyDescent="0.35">
      <c r="A1196" t="s">
        <v>2668</v>
      </c>
      <c r="B1196" t="s">
        <v>570</v>
      </c>
      <c r="C1196" s="5">
        <v>45317</v>
      </c>
      <c r="D1196" s="5">
        <v>45324</v>
      </c>
      <c r="E1196" t="s">
        <v>435</v>
      </c>
      <c r="F1196" t="s">
        <v>681</v>
      </c>
      <c r="G1196" t="s">
        <v>264</v>
      </c>
      <c r="H1196" t="s">
        <v>20</v>
      </c>
      <c r="I1196" t="s">
        <v>43</v>
      </c>
      <c r="J1196" t="s">
        <v>41</v>
      </c>
      <c r="K1196" t="s">
        <v>813</v>
      </c>
      <c r="L1196" t="s">
        <v>799</v>
      </c>
      <c r="M1196" t="s">
        <v>788</v>
      </c>
      <c r="N1196">
        <v>5</v>
      </c>
      <c r="O1196" s="3">
        <v>18.010000000000002</v>
      </c>
      <c r="P1196" s="3">
        <v>22.51</v>
      </c>
      <c r="Q1196" s="6">
        <v>0.05</v>
      </c>
      <c r="R1196" s="3">
        <v>106.92250000000001</v>
      </c>
      <c r="S1196" t="s">
        <v>869</v>
      </c>
    </row>
    <row r="1197" spans="1:19" x14ac:dyDescent="0.35">
      <c r="A1197" t="s">
        <v>2669</v>
      </c>
      <c r="B1197" t="s">
        <v>551</v>
      </c>
      <c r="C1197" s="5">
        <v>45860</v>
      </c>
      <c r="E1197" t="s">
        <v>304</v>
      </c>
      <c r="F1197" t="s">
        <v>696</v>
      </c>
      <c r="G1197" t="s">
        <v>264</v>
      </c>
      <c r="H1197" t="s">
        <v>20</v>
      </c>
      <c r="I1197" t="s">
        <v>20</v>
      </c>
      <c r="J1197" t="s">
        <v>51</v>
      </c>
      <c r="K1197" t="s">
        <v>813</v>
      </c>
      <c r="L1197" t="s">
        <v>793</v>
      </c>
      <c r="M1197" t="s">
        <v>800</v>
      </c>
      <c r="N1197">
        <v>2</v>
      </c>
      <c r="O1197" s="3">
        <v>11.28</v>
      </c>
      <c r="P1197" s="3">
        <v>15.23</v>
      </c>
      <c r="Q1197" s="6">
        <v>0</v>
      </c>
      <c r="R1197" s="3">
        <v>30.46</v>
      </c>
      <c r="S1197" t="s">
        <v>1001</v>
      </c>
    </row>
    <row r="1198" spans="1:19" x14ac:dyDescent="0.35">
      <c r="A1198" t="s">
        <v>2670</v>
      </c>
      <c r="B1198" t="s">
        <v>416</v>
      </c>
      <c r="C1198" s="5">
        <v>45913</v>
      </c>
      <c r="E1198" t="s">
        <v>417</v>
      </c>
      <c r="F1198" t="s">
        <v>674</v>
      </c>
      <c r="G1198" t="s">
        <v>264</v>
      </c>
      <c r="H1198" t="s">
        <v>14</v>
      </c>
      <c r="I1198" t="s">
        <v>48</v>
      </c>
      <c r="J1198" t="s">
        <v>148</v>
      </c>
      <c r="K1198" t="s">
        <v>798</v>
      </c>
      <c r="L1198" t="s">
        <v>787</v>
      </c>
      <c r="M1198" t="s">
        <v>842</v>
      </c>
      <c r="N1198">
        <v>20</v>
      </c>
      <c r="O1198" s="3">
        <v>58.01</v>
      </c>
      <c r="P1198" s="3">
        <v>72.510000000000005</v>
      </c>
      <c r="Q1198" s="6">
        <v>0</v>
      </c>
      <c r="R1198" s="3">
        <v>1450.2</v>
      </c>
      <c r="S1198" t="s">
        <v>790</v>
      </c>
    </row>
    <row r="1199" spans="1:19" x14ac:dyDescent="0.35">
      <c r="A1199" t="s">
        <v>2671</v>
      </c>
      <c r="B1199" t="s">
        <v>347</v>
      </c>
      <c r="C1199" s="5">
        <v>45780</v>
      </c>
      <c r="E1199" t="s">
        <v>348</v>
      </c>
      <c r="F1199" t="s">
        <v>633</v>
      </c>
      <c r="G1199" t="s">
        <v>243</v>
      </c>
      <c r="H1199" t="s">
        <v>20</v>
      </c>
      <c r="I1199" t="s">
        <v>38</v>
      </c>
      <c r="J1199" t="s">
        <v>80</v>
      </c>
      <c r="K1199" t="s">
        <v>798</v>
      </c>
      <c r="L1199" t="s">
        <v>787</v>
      </c>
      <c r="M1199" t="s">
        <v>818</v>
      </c>
      <c r="N1199">
        <v>3</v>
      </c>
      <c r="O1199" s="3">
        <v>38.57</v>
      </c>
      <c r="P1199" s="3">
        <v>48.21</v>
      </c>
      <c r="Q1199" s="6">
        <v>0.15</v>
      </c>
      <c r="R1199" s="3">
        <v>122.93549999999999</v>
      </c>
      <c r="S1199" t="s">
        <v>1134</v>
      </c>
    </row>
    <row r="1200" spans="1:19" x14ac:dyDescent="0.35">
      <c r="A1200" t="s">
        <v>2672</v>
      </c>
      <c r="B1200" t="s">
        <v>436</v>
      </c>
      <c r="C1200" s="5">
        <v>45697</v>
      </c>
      <c r="E1200" t="s">
        <v>396</v>
      </c>
      <c r="F1200" t="s">
        <v>627</v>
      </c>
      <c r="G1200" t="s">
        <v>235</v>
      </c>
      <c r="H1200" t="s">
        <v>20</v>
      </c>
      <c r="I1200" t="s">
        <v>29</v>
      </c>
      <c r="J1200" t="s">
        <v>115</v>
      </c>
      <c r="K1200" t="s">
        <v>813</v>
      </c>
      <c r="L1200" t="s">
        <v>793</v>
      </c>
      <c r="M1200" t="s">
        <v>842</v>
      </c>
      <c r="N1200">
        <v>2</v>
      </c>
      <c r="O1200" s="3">
        <v>34.340000000000003</v>
      </c>
      <c r="P1200" s="3">
        <v>44.64</v>
      </c>
      <c r="Q1200" s="6">
        <v>0.1</v>
      </c>
      <c r="R1200" s="3">
        <v>80.352000000000004</v>
      </c>
      <c r="S1200" t="s">
        <v>829</v>
      </c>
    </row>
    <row r="1201" spans="1:19" x14ac:dyDescent="0.35">
      <c r="A1201" t="s">
        <v>2673</v>
      </c>
      <c r="B1201" t="s">
        <v>509</v>
      </c>
      <c r="C1201" s="5">
        <v>46032</v>
      </c>
      <c r="E1201" t="s">
        <v>510</v>
      </c>
      <c r="F1201" t="s">
        <v>254</v>
      </c>
      <c r="G1201" t="s">
        <v>235</v>
      </c>
      <c r="H1201" t="s">
        <v>48</v>
      </c>
      <c r="I1201" t="s">
        <v>38</v>
      </c>
      <c r="J1201" t="s">
        <v>69</v>
      </c>
      <c r="K1201" t="s">
        <v>813</v>
      </c>
      <c r="L1201" t="s">
        <v>787</v>
      </c>
      <c r="M1201" t="s">
        <v>788</v>
      </c>
      <c r="N1201">
        <v>2</v>
      </c>
      <c r="O1201" s="3">
        <v>20.9</v>
      </c>
      <c r="P1201" s="3">
        <v>28.21</v>
      </c>
      <c r="Q1201" s="6">
        <v>0.15</v>
      </c>
      <c r="R1201" s="3">
        <v>47.957000000000001</v>
      </c>
      <c r="S1201" t="s">
        <v>794</v>
      </c>
    </row>
    <row r="1202" spans="1:19" x14ac:dyDescent="0.35">
      <c r="A1202" t="s">
        <v>2674</v>
      </c>
      <c r="B1202" t="s">
        <v>449</v>
      </c>
      <c r="C1202" s="5">
        <v>45386</v>
      </c>
      <c r="E1202" t="s">
        <v>450</v>
      </c>
      <c r="F1202" t="s">
        <v>633</v>
      </c>
      <c r="G1202" t="s">
        <v>235</v>
      </c>
      <c r="H1202" t="s">
        <v>797</v>
      </c>
      <c r="I1202" t="s">
        <v>20</v>
      </c>
      <c r="J1202" t="s">
        <v>196</v>
      </c>
      <c r="K1202" t="s">
        <v>798</v>
      </c>
      <c r="L1202" t="s">
        <v>787</v>
      </c>
      <c r="M1202" t="s">
        <v>818</v>
      </c>
      <c r="N1202">
        <v>3</v>
      </c>
      <c r="O1202" s="3">
        <v>15.78</v>
      </c>
      <c r="P1202" s="3">
        <v>19.72</v>
      </c>
      <c r="Q1202" s="6">
        <v>0.1</v>
      </c>
      <c r="R1202" s="3">
        <v>53.244</v>
      </c>
      <c r="S1202" t="s">
        <v>829</v>
      </c>
    </row>
    <row r="1203" spans="1:19" x14ac:dyDescent="0.35">
      <c r="A1203" t="s">
        <v>2675</v>
      </c>
      <c r="B1203" t="s">
        <v>568</v>
      </c>
      <c r="C1203" s="5">
        <v>45829</v>
      </c>
      <c r="D1203" s="5">
        <v>45831</v>
      </c>
      <c r="E1203" t="s">
        <v>360</v>
      </c>
      <c r="F1203" t="s">
        <v>637</v>
      </c>
      <c r="H1203" t="s">
        <v>797</v>
      </c>
      <c r="I1203" t="s">
        <v>8</v>
      </c>
      <c r="J1203" t="s">
        <v>192</v>
      </c>
      <c r="K1203" t="s">
        <v>813</v>
      </c>
      <c r="L1203" t="s">
        <v>799</v>
      </c>
      <c r="M1203" t="s">
        <v>788</v>
      </c>
      <c r="N1203">
        <v>10</v>
      </c>
      <c r="O1203" s="3">
        <v>19.47</v>
      </c>
      <c r="P1203" s="3">
        <v>28.23</v>
      </c>
      <c r="Q1203" s="6">
        <v>0.05</v>
      </c>
      <c r="R1203" s="3">
        <v>268.185</v>
      </c>
      <c r="S1203" t="s">
        <v>810</v>
      </c>
    </row>
    <row r="1204" spans="1:19" x14ac:dyDescent="0.35">
      <c r="A1204" t="s">
        <v>2676</v>
      </c>
      <c r="B1204" t="s">
        <v>397</v>
      </c>
      <c r="C1204" s="5">
        <v>45559</v>
      </c>
      <c r="E1204" t="s">
        <v>360</v>
      </c>
      <c r="F1204" t="s">
        <v>254</v>
      </c>
      <c r="H1204" t="s">
        <v>14</v>
      </c>
      <c r="I1204" t="s">
        <v>38</v>
      </c>
      <c r="J1204" t="s">
        <v>82</v>
      </c>
      <c r="K1204" t="s">
        <v>798</v>
      </c>
      <c r="L1204" t="s">
        <v>787</v>
      </c>
      <c r="M1204" t="s">
        <v>788</v>
      </c>
      <c r="N1204">
        <v>10</v>
      </c>
      <c r="O1204" s="3">
        <v>12.54</v>
      </c>
      <c r="P1204" s="3">
        <v>16.93</v>
      </c>
      <c r="Q1204" s="6">
        <v>0.05</v>
      </c>
      <c r="R1204" s="3">
        <v>160.83500000000001</v>
      </c>
      <c r="S1204" t="s">
        <v>829</v>
      </c>
    </row>
    <row r="1205" spans="1:19" x14ac:dyDescent="0.35">
      <c r="A1205" t="s">
        <v>2677</v>
      </c>
      <c r="B1205" t="s">
        <v>609</v>
      </c>
      <c r="C1205" s="5">
        <v>45335</v>
      </c>
      <c r="E1205" t="s">
        <v>610</v>
      </c>
      <c r="F1205" t="s">
        <v>674</v>
      </c>
      <c r="H1205" t="s">
        <v>48</v>
      </c>
      <c r="I1205" t="s">
        <v>48</v>
      </c>
      <c r="J1205" t="s">
        <v>139</v>
      </c>
      <c r="K1205" t="s">
        <v>786</v>
      </c>
      <c r="L1205" t="s">
        <v>787</v>
      </c>
      <c r="M1205" t="s">
        <v>800</v>
      </c>
      <c r="N1205">
        <v>2</v>
      </c>
      <c r="O1205" s="3">
        <v>29.93</v>
      </c>
      <c r="P1205" s="3">
        <v>41.9</v>
      </c>
      <c r="Q1205" s="6">
        <v>0</v>
      </c>
      <c r="R1205" s="3">
        <v>83.8</v>
      </c>
      <c r="S1205" t="s">
        <v>935</v>
      </c>
    </row>
    <row r="1206" spans="1:19" x14ac:dyDescent="0.35">
      <c r="A1206" t="s">
        <v>2678</v>
      </c>
      <c r="B1206" t="s">
        <v>252</v>
      </c>
      <c r="C1206" s="5">
        <v>45941</v>
      </c>
      <c r="D1206" s="5">
        <v>45942</v>
      </c>
      <c r="E1206" t="s">
        <v>253</v>
      </c>
      <c r="F1206" t="s">
        <v>627</v>
      </c>
      <c r="G1206" t="s">
        <v>243</v>
      </c>
      <c r="H1206" t="s">
        <v>20</v>
      </c>
      <c r="I1206" t="s">
        <v>38</v>
      </c>
      <c r="J1206" t="s">
        <v>71</v>
      </c>
      <c r="K1206" t="s">
        <v>798</v>
      </c>
      <c r="L1206" t="s">
        <v>799</v>
      </c>
      <c r="M1206" t="s">
        <v>818</v>
      </c>
      <c r="N1206">
        <v>3</v>
      </c>
      <c r="O1206" s="3">
        <v>17.62</v>
      </c>
      <c r="P1206" s="3">
        <v>24.67</v>
      </c>
      <c r="Q1206" s="6">
        <v>0.1</v>
      </c>
      <c r="R1206" s="3">
        <v>66.609000000000009</v>
      </c>
      <c r="S1206" t="s">
        <v>834</v>
      </c>
    </row>
    <row r="1207" spans="1:19" x14ac:dyDescent="0.35">
      <c r="A1207" t="s">
        <v>2679</v>
      </c>
      <c r="B1207" t="s">
        <v>272</v>
      </c>
      <c r="C1207" s="5">
        <v>45496</v>
      </c>
      <c r="E1207" t="s">
        <v>273</v>
      </c>
      <c r="F1207" t="s">
        <v>674</v>
      </c>
      <c r="G1207" t="s">
        <v>243</v>
      </c>
      <c r="H1207" t="s">
        <v>797</v>
      </c>
      <c r="I1207" t="s">
        <v>8</v>
      </c>
      <c r="J1207" t="s">
        <v>65</v>
      </c>
      <c r="K1207" t="s">
        <v>798</v>
      </c>
      <c r="L1207" t="s">
        <v>793</v>
      </c>
      <c r="M1207" t="s">
        <v>842</v>
      </c>
      <c r="N1207">
        <v>1</v>
      </c>
      <c r="O1207" s="3">
        <v>30.16</v>
      </c>
      <c r="P1207" s="3">
        <v>40.72</v>
      </c>
      <c r="Q1207" s="6">
        <v>0.1</v>
      </c>
      <c r="R1207" s="3">
        <v>36.647999999999996</v>
      </c>
      <c r="S1207" t="s">
        <v>814</v>
      </c>
    </row>
    <row r="1208" spans="1:19" x14ac:dyDescent="0.35">
      <c r="A1208" t="s">
        <v>2680</v>
      </c>
      <c r="B1208" t="s">
        <v>466</v>
      </c>
      <c r="C1208" s="5">
        <v>45813</v>
      </c>
      <c r="D1208" s="5">
        <v>45819</v>
      </c>
      <c r="E1208" t="s">
        <v>441</v>
      </c>
      <c r="F1208" t="s">
        <v>674</v>
      </c>
      <c r="G1208" t="s">
        <v>235</v>
      </c>
      <c r="H1208" t="s">
        <v>797</v>
      </c>
      <c r="I1208" t="s">
        <v>14</v>
      </c>
      <c r="J1208" t="s">
        <v>16</v>
      </c>
      <c r="K1208" t="s">
        <v>813</v>
      </c>
      <c r="L1208" t="s">
        <v>799</v>
      </c>
      <c r="M1208" t="s">
        <v>800</v>
      </c>
      <c r="N1208">
        <v>2</v>
      </c>
      <c r="O1208" s="3">
        <v>56.69</v>
      </c>
      <c r="P1208" s="3">
        <v>79.37</v>
      </c>
      <c r="Q1208" s="6">
        <v>0</v>
      </c>
      <c r="R1208" s="3">
        <v>158.74</v>
      </c>
      <c r="S1208" t="s">
        <v>790</v>
      </c>
    </row>
    <row r="1209" spans="1:19" x14ac:dyDescent="0.35">
      <c r="A1209" t="s">
        <v>2681</v>
      </c>
      <c r="B1209" t="s">
        <v>355</v>
      </c>
      <c r="C1209" s="5">
        <v>45815</v>
      </c>
      <c r="E1209" t="s">
        <v>356</v>
      </c>
      <c r="F1209" t="s">
        <v>637</v>
      </c>
      <c r="G1209" t="s">
        <v>264</v>
      </c>
      <c r="H1209" t="s">
        <v>797</v>
      </c>
      <c r="I1209" t="s">
        <v>79</v>
      </c>
      <c r="J1209" t="s">
        <v>108</v>
      </c>
      <c r="K1209" t="s">
        <v>798</v>
      </c>
      <c r="L1209" t="s">
        <v>793</v>
      </c>
      <c r="M1209" t="s">
        <v>800</v>
      </c>
      <c r="N1209">
        <v>5</v>
      </c>
      <c r="O1209" s="3">
        <v>9.3000000000000007</v>
      </c>
      <c r="P1209" s="3">
        <v>12.56</v>
      </c>
      <c r="Q1209" s="6">
        <v>0</v>
      </c>
      <c r="R1209" s="3">
        <v>62.800000000000004</v>
      </c>
      <c r="S1209" t="s">
        <v>935</v>
      </c>
    </row>
    <row r="1210" spans="1:19" x14ac:dyDescent="0.35">
      <c r="A1210" t="s">
        <v>2682</v>
      </c>
      <c r="B1210" t="s">
        <v>418</v>
      </c>
      <c r="C1210" s="5">
        <v>45414</v>
      </c>
      <c r="D1210" s="5">
        <v>45416</v>
      </c>
      <c r="E1210" t="s">
        <v>253</v>
      </c>
      <c r="F1210" t="s">
        <v>696</v>
      </c>
      <c r="G1210" t="s">
        <v>264</v>
      </c>
      <c r="H1210" t="s">
        <v>797</v>
      </c>
      <c r="I1210" t="s">
        <v>8</v>
      </c>
      <c r="J1210" t="s">
        <v>207</v>
      </c>
      <c r="K1210" t="s">
        <v>798</v>
      </c>
      <c r="L1210" t="s">
        <v>799</v>
      </c>
      <c r="M1210" t="s">
        <v>818</v>
      </c>
      <c r="N1210">
        <v>2</v>
      </c>
      <c r="O1210" s="3">
        <v>8.5399999999999991</v>
      </c>
      <c r="P1210" s="3">
        <v>10.67</v>
      </c>
      <c r="Q1210" s="6">
        <v>0</v>
      </c>
      <c r="R1210" s="3">
        <v>21.34</v>
      </c>
      <c r="S1210" t="s">
        <v>810</v>
      </c>
    </row>
    <row r="1211" spans="1:19" x14ac:dyDescent="0.35">
      <c r="A1211" t="s">
        <v>2683</v>
      </c>
      <c r="B1211" t="s">
        <v>327</v>
      </c>
      <c r="C1211" s="5">
        <v>45334</v>
      </c>
      <c r="D1211" s="5">
        <v>45338</v>
      </c>
      <c r="E1211" t="s">
        <v>328</v>
      </c>
      <c r="F1211" t="s">
        <v>681</v>
      </c>
      <c r="G1211" t="s">
        <v>264</v>
      </c>
      <c r="H1211" t="s">
        <v>48</v>
      </c>
      <c r="I1211" t="s">
        <v>29</v>
      </c>
      <c r="J1211" t="s">
        <v>182</v>
      </c>
      <c r="K1211" t="s">
        <v>798</v>
      </c>
      <c r="L1211" t="s">
        <v>799</v>
      </c>
      <c r="M1211" t="s">
        <v>800</v>
      </c>
      <c r="N1211">
        <v>10</v>
      </c>
      <c r="O1211" s="3">
        <v>19.77</v>
      </c>
      <c r="P1211" s="3">
        <v>27.68</v>
      </c>
      <c r="Q1211" s="6">
        <v>0.15</v>
      </c>
      <c r="R1211" s="3">
        <v>235.28</v>
      </c>
      <c r="S1211" t="s">
        <v>825</v>
      </c>
    </row>
    <row r="1212" spans="1:19" x14ac:dyDescent="0.35">
      <c r="A1212" t="s">
        <v>2684</v>
      </c>
      <c r="B1212" t="s">
        <v>451</v>
      </c>
      <c r="C1212" s="5">
        <v>45899</v>
      </c>
      <c r="D1212" s="5">
        <v>45900</v>
      </c>
      <c r="E1212" t="s">
        <v>368</v>
      </c>
      <c r="F1212" t="s">
        <v>696</v>
      </c>
      <c r="G1212" t="s">
        <v>264</v>
      </c>
      <c r="H1212" t="s">
        <v>797</v>
      </c>
      <c r="I1212" t="s">
        <v>29</v>
      </c>
      <c r="J1212" t="s">
        <v>86</v>
      </c>
      <c r="K1212" t="s">
        <v>798</v>
      </c>
      <c r="L1212" t="s">
        <v>799</v>
      </c>
      <c r="M1212" t="s">
        <v>800</v>
      </c>
      <c r="N1212">
        <v>10</v>
      </c>
      <c r="O1212" s="3">
        <v>8.35</v>
      </c>
      <c r="P1212" s="3">
        <v>12.11</v>
      </c>
      <c r="Q1212" s="6">
        <v>0</v>
      </c>
      <c r="R1212" s="3">
        <v>121.1</v>
      </c>
      <c r="S1212" t="s">
        <v>892</v>
      </c>
    </row>
    <row r="1213" spans="1:19" x14ac:dyDescent="0.35">
      <c r="A1213" t="s">
        <v>2685</v>
      </c>
      <c r="B1213" t="s">
        <v>384</v>
      </c>
      <c r="C1213" s="5">
        <v>45609</v>
      </c>
      <c r="D1213" s="5">
        <v>45617</v>
      </c>
      <c r="E1213" t="s">
        <v>385</v>
      </c>
      <c r="F1213" t="s">
        <v>637</v>
      </c>
      <c r="G1213" t="s">
        <v>264</v>
      </c>
      <c r="H1213" t="s">
        <v>797</v>
      </c>
      <c r="I1213" t="s">
        <v>43</v>
      </c>
      <c r="J1213" t="s">
        <v>44</v>
      </c>
      <c r="K1213" t="s">
        <v>798</v>
      </c>
      <c r="L1213" t="s">
        <v>799</v>
      </c>
      <c r="M1213" t="s">
        <v>818</v>
      </c>
      <c r="N1213">
        <v>12</v>
      </c>
      <c r="O1213" s="3">
        <v>14.05</v>
      </c>
      <c r="P1213" s="3">
        <v>19.670000000000002</v>
      </c>
      <c r="Q1213" s="6">
        <v>0.15</v>
      </c>
      <c r="R1213" s="3">
        <v>200.63400000000001</v>
      </c>
      <c r="S1213" t="s">
        <v>1134</v>
      </c>
    </row>
    <row r="1214" spans="1:19" x14ac:dyDescent="0.35">
      <c r="A1214" t="s">
        <v>2686</v>
      </c>
      <c r="B1214" t="s">
        <v>606</v>
      </c>
      <c r="C1214" s="5">
        <v>45692</v>
      </c>
      <c r="D1214" s="5">
        <v>45694</v>
      </c>
      <c r="E1214" t="s">
        <v>600</v>
      </c>
      <c r="F1214" t="s">
        <v>674</v>
      </c>
      <c r="H1214" t="s">
        <v>48</v>
      </c>
      <c r="I1214" t="s">
        <v>79</v>
      </c>
      <c r="J1214" t="s">
        <v>108</v>
      </c>
      <c r="K1214" t="s">
        <v>798</v>
      </c>
      <c r="L1214" t="s">
        <v>799</v>
      </c>
      <c r="M1214" t="s">
        <v>788</v>
      </c>
      <c r="N1214">
        <v>3</v>
      </c>
      <c r="O1214" s="3">
        <v>9.3000000000000007</v>
      </c>
      <c r="P1214" s="3">
        <v>12.56</v>
      </c>
      <c r="Q1214" s="6">
        <v>0</v>
      </c>
      <c r="R1214" s="3">
        <v>37.68</v>
      </c>
      <c r="S1214" t="s">
        <v>946</v>
      </c>
    </row>
    <row r="1215" spans="1:19" x14ac:dyDescent="0.35">
      <c r="A1215" t="s">
        <v>2687</v>
      </c>
      <c r="B1215" t="s">
        <v>559</v>
      </c>
      <c r="C1215" s="5">
        <v>45292</v>
      </c>
      <c r="D1215" s="5">
        <v>45302</v>
      </c>
      <c r="E1215" t="s">
        <v>311</v>
      </c>
      <c r="F1215" t="s">
        <v>254</v>
      </c>
      <c r="G1215" t="s">
        <v>235</v>
      </c>
      <c r="H1215" t="s">
        <v>20</v>
      </c>
      <c r="I1215" t="s">
        <v>48</v>
      </c>
      <c r="J1215" t="s">
        <v>135</v>
      </c>
      <c r="K1215" t="s">
        <v>786</v>
      </c>
      <c r="L1215" t="s">
        <v>822</v>
      </c>
      <c r="M1215" t="s">
        <v>800</v>
      </c>
      <c r="N1215">
        <v>2</v>
      </c>
      <c r="O1215" s="3">
        <v>51.72</v>
      </c>
      <c r="P1215" s="3">
        <v>67.239999999999995</v>
      </c>
      <c r="Q1215" s="6">
        <v>0.05</v>
      </c>
      <c r="R1215" s="3">
        <v>127.75599999999999</v>
      </c>
      <c r="S1215" t="s">
        <v>935</v>
      </c>
    </row>
    <row r="1216" spans="1:19" x14ac:dyDescent="0.35">
      <c r="A1216" t="s">
        <v>2688</v>
      </c>
      <c r="B1216" t="s">
        <v>283</v>
      </c>
      <c r="C1216" s="5">
        <v>45455</v>
      </c>
      <c r="E1216" t="s">
        <v>284</v>
      </c>
      <c r="F1216" t="s">
        <v>633</v>
      </c>
      <c r="G1216" t="s">
        <v>264</v>
      </c>
      <c r="H1216" t="s">
        <v>797</v>
      </c>
      <c r="I1216" t="s">
        <v>38</v>
      </c>
      <c r="J1216" t="s">
        <v>172</v>
      </c>
      <c r="K1216" t="s">
        <v>813</v>
      </c>
      <c r="L1216" t="s">
        <v>793</v>
      </c>
      <c r="M1216" t="s">
        <v>800</v>
      </c>
      <c r="N1216">
        <v>20</v>
      </c>
      <c r="O1216" s="3">
        <v>18.329999999999998</v>
      </c>
      <c r="P1216" s="3">
        <v>22.91</v>
      </c>
      <c r="Q1216" s="6">
        <v>0</v>
      </c>
      <c r="R1216" s="3">
        <v>458.2</v>
      </c>
      <c r="S1216" t="s">
        <v>1017</v>
      </c>
    </row>
    <row r="1217" spans="1:19" x14ac:dyDescent="0.35">
      <c r="A1217" t="s">
        <v>2689</v>
      </c>
      <c r="B1217" t="s">
        <v>257</v>
      </c>
      <c r="C1217" s="5">
        <v>45719</v>
      </c>
      <c r="E1217" t="s">
        <v>258</v>
      </c>
      <c r="F1217" t="s">
        <v>633</v>
      </c>
      <c r="G1217" t="s">
        <v>235</v>
      </c>
      <c r="H1217" t="s">
        <v>20</v>
      </c>
      <c r="I1217" t="s">
        <v>43</v>
      </c>
      <c r="J1217" t="s">
        <v>53</v>
      </c>
      <c r="K1217" t="s">
        <v>786</v>
      </c>
      <c r="L1217" t="s">
        <v>793</v>
      </c>
      <c r="M1217" t="s">
        <v>800</v>
      </c>
      <c r="N1217">
        <v>10</v>
      </c>
      <c r="O1217" s="3">
        <v>54.93</v>
      </c>
      <c r="P1217" s="3">
        <v>79.650000000000006</v>
      </c>
      <c r="Q1217" s="6">
        <v>0.05</v>
      </c>
      <c r="R1217" s="3">
        <v>756.67499999999995</v>
      </c>
      <c r="S1217" t="s">
        <v>963</v>
      </c>
    </row>
    <row r="1218" spans="1:19" x14ac:dyDescent="0.35">
      <c r="A1218" t="s">
        <v>2690</v>
      </c>
      <c r="B1218" t="s">
        <v>604</v>
      </c>
      <c r="C1218" s="5">
        <v>45415</v>
      </c>
      <c r="D1218" s="5">
        <v>45417</v>
      </c>
      <c r="E1218" t="s">
        <v>431</v>
      </c>
      <c r="F1218" t="s">
        <v>681</v>
      </c>
      <c r="G1218" t="s">
        <v>243</v>
      </c>
      <c r="H1218" t="s">
        <v>20</v>
      </c>
      <c r="I1218" t="s">
        <v>79</v>
      </c>
      <c r="J1218" t="s">
        <v>184</v>
      </c>
      <c r="K1218" t="s">
        <v>786</v>
      </c>
      <c r="L1218" t="s">
        <v>822</v>
      </c>
      <c r="M1218" t="s">
        <v>788</v>
      </c>
      <c r="N1218">
        <v>1</v>
      </c>
      <c r="O1218" s="3">
        <v>28.87</v>
      </c>
      <c r="P1218" s="3">
        <v>40.42</v>
      </c>
      <c r="Q1218" s="6">
        <v>0</v>
      </c>
      <c r="R1218" s="3">
        <v>40.42</v>
      </c>
      <c r="S1218" t="s">
        <v>919</v>
      </c>
    </row>
    <row r="1219" spans="1:19" x14ac:dyDescent="0.35">
      <c r="A1219" t="s">
        <v>2691</v>
      </c>
      <c r="B1219" t="s">
        <v>493</v>
      </c>
      <c r="C1219" s="5">
        <v>46034</v>
      </c>
      <c r="E1219" t="s">
        <v>311</v>
      </c>
      <c r="F1219" t="s">
        <v>637</v>
      </c>
      <c r="G1219" t="s">
        <v>243</v>
      </c>
      <c r="H1219" t="s">
        <v>20</v>
      </c>
      <c r="I1219" t="s">
        <v>14</v>
      </c>
      <c r="J1219" t="s">
        <v>167</v>
      </c>
      <c r="K1219" t="s">
        <v>798</v>
      </c>
      <c r="L1219" t="s">
        <v>793</v>
      </c>
      <c r="M1219" t="s">
        <v>842</v>
      </c>
      <c r="N1219">
        <v>12</v>
      </c>
      <c r="O1219" s="3">
        <v>18.62</v>
      </c>
      <c r="P1219" s="3">
        <v>26.07</v>
      </c>
      <c r="Q1219" s="6">
        <v>0.15</v>
      </c>
      <c r="R1219" s="3">
        <v>265.91400000000004</v>
      </c>
      <c r="S1219" t="s">
        <v>803</v>
      </c>
    </row>
    <row r="1220" spans="1:19" x14ac:dyDescent="0.35">
      <c r="A1220" t="s">
        <v>2692</v>
      </c>
      <c r="B1220" t="s">
        <v>599</v>
      </c>
      <c r="C1220" s="5">
        <v>45783</v>
      </c>
      <c r="D1220" s="5">
        <v>45790</v>
      </c>
      <c r="E1220" t="s">
        <v>600</v>
      </c>
      <c r="F1220" t="s">
        <v>681</v>
      </c>
      <c r="G1220" t="s">
        <v>243</v>
      </c>
      <c r="H1220" t="s">
        <v>797</v>
      </c>
      <c r="I1220" t="s">
        <v>43</v>
      </c>
      <c r="J1220" t="s">
        <v>75</v>
      </c>
      <c r="K1220" t="s">
        <v>813</v>
      </c>
      <c r="L1220" t="s">
        <v>799</v>
      </c>
      <c r="M1220" t="s">
        <v>842</v>
      </c>
      <c r="N1220">
        <v>1</v>
      </c>
      <c r="O1220" s="3">
        <v>24.35</v>
      </c>
      <c r="P1220" s="3">
        <v>34.090000000000003</v>
      </c>
      <c r="Q1220" s="6">
        <v>0</v>
      </c>
      <c r="R1220" s="3">
        <v>34.090000000000003</v>
      </c>
      <c r="S1220" t="s">
        <v>819</v>
      </c>
    </row>
    <row r="1221" spans="1:19" x14ac:dyDescent="0.35">
      <c r="A1221" t="s">
        <v>2693</v>
      </c>
      <c r="B1221" t="s">
        <v>364</v>
      </c>
      <c r="C1221" s="5">
        <v>45768</v>
      </c>
      <c r="E1221" t="s">
        <v>365</v>
      </c>
      <c r="F1221" t="s">
        <v>254</v>
      </c>
      <c r="G1221" t="s">
        <v>243</v>
      </c>
      <c r="H1221" t="s">
        <v>14</v>
      </c>
      <c r="I1221" t="s">
        <v>43</v>
      </c>
      <c r="J1221" t="s">
        <v>58</v>
      </c>
      <c r="K1221" t="s">
        <v>813</v>
      </c>
      <c r="L1221" t="s">
        <v>787</v>
      </c>
      <c r="M1221" t="s">
        <v>800</v>
      </c>
      <c r="N1221">
        <v>5</v>
      </c>
      <c r="O1221" s="3">
        <v>11.21</v>
      </c>
      <c r="P1221" s="3">
        <v>15.13</v>
      </c>
      <c r="Q1221" s="6">
        <v>0.15</v>
      </c>
      <c r="R1221" s="3">
        <v>64.302500000000009</v>
      </c>
      <c r="S1221" t="s">
        <v>859</v>
      </c>
    </row>
    <row r="1222" spans="1:19" x14ac:dyDescent="0.35">
      <c r="A1222" t="s">
        <v>2694</v>
      </c>
      <c r="B1222" t="s">
        <v>376</v>
      </c>
      <c r="C1222" s="5">
        <v>46028</v>
      </c>
      <c r="E1222" t="s">
        <v>253</v>
      </c>
      <c r="F1222" t="s">
        <v>637</v>
      </c>
      <c r="G1222" t="s">
        <v>264</v>
      </c>
      <c r="H1222" t="s">
        <v>797</v>
      </c>
      <c r="I1222" t="s">
        <v>20</v>
      </c>
      <c r="J1222" t="s">
        <v>159</v>
      </c>
      <c r="K1222" t="s">
        <v>798</v>
      </c>
      <c r="L1222" t="s">
        <v>817</v>
      </c>
      <c r="M1222" t="s">
        <v>788</v>
      </c>
      <c r="N1222">
        <v>12</v>
      </c>
      <c r="O1222" s="3">
        <v>8.2200000000000006</v>
      </c>
      <c r="P1222" s="3">
        <v>11.1</v>
      </c>
      <c r="Q1222" s="6">
        <v>0</v>
      </c>
      <c r="R1222" s="3">
        <v>133.19999999999999</v>
      </c>
      <c r="S1222" t="s">
        <v>1001</v>
      </c>
    </row>
    <row r="1223" spans="1:19" x14ac:dyDescent="0.35">
      <c r="A1223" t="s">
        <v>2695</v>
      </c>
      <c r="B1223" t="s">
        <v>570</v>
      </c>
      <c r="C1223" s="5">
        <v>45750</v>
      </c>
      <c r="D1223" s="5">
        <v>45751</v>
      </c>
      <c r="E1223" t="s">
        <v>435</v>
      </c>
      <c r="F1223" t="s">
        <v>254</v>
      </c>
      <c r="G1223" t="s">
        <v>264</v>
      </c>
      <c r="H1223" t="s">
        <v>20</v>
      </c>
      <c r="I1223" t="s">
        <v>48</v>
      </c>
      <c r="J1223" t="s">
        <v>202</v>
      </c>
      <c r="K1223" t="s">
        <v>786</v>
      </c>
      <c r="L1223" t="s">
        <v>799</v>
      </c>
      <c r="M1223" t="s">
        <v>818</v>
      </c>
      <c r="N1223">
        <v>12</v>
      </c>
      <c r="O1223" s="3">
        <v>27</v>
      </c>
      <c r="P1223" s="3">
        <v>39.15</v>
      </c>
      <c r="Q1223" s="6">
        <v>0</v>
      </c>
      <c r="R1223" s="3">
        <v>469.79999999999995</v>
      </c>
      <c r="S1223" t="s">
        <v>1001</v>
      </c>
    </row>
    <row r="1224" spans="1:19" x14ac:dyDescent="0.35">
      <c r="A1224" t="s">
        <v>2696</v>
      </c>
      <c r="B1224" t="s">
        <v>315</v>
      </c>
      <c r="C1224" s="5">
        <v>45585</v>
      </c>
      <c r="D1224" s="5">
        <v>45594</v>
      </c>
      <c r="E1224" t="s">
        <v>316</v>
      </c>
      <c r="F1224" t="s">
        <v>627</v>
      </c>
      <c r="G1224" t="s">
        <v>235</v>
      </c>
      <c r="H1224" t="s">
        <v>797</v>
      </c>
      <c r="I1224" t="s">
        <v>43</v>
      </c>
      <c r="J1224" t="s">
        <v>215</v>
      </c>
      <c r="K1224" t="s">
        <v>786</v>
      </c>
      <c r="L1224" t="s">
        <v>799</v>
      </c>
      <c r="M1224" t="s">
        <v>800</v>
      </c>
      <c r="N1224">
        <v>5</v>
      </c>
      <c r="O1224" s="3">
        <v>28.96</v>
      </c>
      <c r="P1224" s="3">
        <v>40.54</v>
      </c>
      <c r="Q1224" s="6">
        <v>0.15</v>
      </c>
      <c r="R1224" s="3">
        <v>172.29499999999999</v>
      </c>
      <c r="S1224" t="s">
        <v>814</v>
      </c>
    </row>
    <row r="1225" spans="1:19" x14ac:dyDescent="0.35">
      <c r="A1225" t="s">
        <v>2697</v>
      </c>
      <c r="B1225" t="s">
        <v>434</v>
      </c>
      <c r="C1225" s="5">
        <v>45845</v>
      </c>
      <c r="D1225" s="5">
        <v>45850</v>
      </c>
      <c r="E1225" t="s">
        <v>435</v>
      </c>
      <c r="F1225" t="s">
        <v>681</v>
      </c>
      <c r="G1225" t="s">
        <v>264</v>
      </c>
      <c r="H1225" t="s">
        <v>14</v>
      </c>
      <c r="I1225" t="s">
        <v>29</v>
      </c>
      <c r="J1225" t="s">
        <v>49</v>
      </c>
      <c r="K1225" t="s">
        <v>798</v>
      </c>
      <c r="L1225" t="s">
        <v>799</v>
      </c>
      <c r="M1225" t="s">
        <v>800</v>
      </c>
      <c r="N1225">
        <v>12</v>
      </c>
      <c r="O1225" s="3">
        <v>14.89</v>
      </c>
      <c r="P1225" s="3">
        <v>20.85</v>
      </c>
      <c r="Q1225" s="6">
        <v>0.05</v>
      </c>
      <c r="R1225" s="3">
        <v>237.69000000000003</v>
      </c>
      <c r="S1225" t="s">
        <v>814</v>
      </c>
    </row>
    <row r="1226" spans="1:19" x14ac:dyDescent="0.35">
      <c r="A1226" t="s">
        <v>2698</v>
      </c>
      <c r="B1226" t="s">
        <v>578</v>
      </c>
      <c r="C1226" s="5">
        <v>45443</v>
      </c>
      <c r="E1226" t="s">
        <v>368</v>
      </c>
      <c r="F1226" t="s">
        <v>627</v>
      </c>
      <c r="G1226" t="s">
        <v>235</v>
      </c>
      <c r="H1226" t="s">
        <v>797</v>
      </c>
      <c r="I1226" t="s">
        <v>14</v>
      </c>
      <c r="J1226" t="s">
        <v>169</v>
      </c>
      <c r="K1226" t="s">
        <v>786</v>
      </c>
      <c r="L1226" t="s">
        <v>787</v>
      </c>
      <c r="M1226" t="s">
        <v>800</v>
      </c>
      <c r="N1226">
        <v>2</v>
      </c>
      <c r="O1226" s="3">
        <v>40.590000000000003</v>
      </c>
      <c r="P1226" s="3">
        <v>58.86</v>
      </c>
      <c r="Q1226" s="6">
        <v>0</v>
      </c>
      <c r="R1226" s="3">
        <v>117.72</v>
      </c>
      <c r="S1226" t="s">
        <v>1134</v>
      </c>
    </row>
    <row r="1227" spans="1:19" x14ac:dyDescent="0.35">
      <c r="A1227" t="s">
        <v>2699</v>
      </c>
      <c r="B1227" t="s">
        <v>497</v>
      </c>
      <c r="C1227" s="5">
        <v>45659</v>
      </c>
      <c r="E1227" t="s">
        <v>296</v>
      </c>
      <c r="F1227" t="s">
        <v>696</v>
      </c>
      <c r="G1227" t="s">
        <v>235</v>
      </c>
      <c r="H1227" t="s">
        <v>20</v>
      </c>
      <c r="I1227" t="s">
        <v>14</v>
      </c>
      <c r="J1227" t="s">
        <v>63</v>
      </c>
      <c r="K1227" t="s">
        <v>786</v>
      </c>
      <c r="L1227" t="s">
        <v>787</v>
      </c>
      <c r="M1227" t="s">
        <v>842</v>
      </c>
      <c r="N1227">
        <v>12</v>
      </c>
      <c r="O1227" s="3">
        <v>13.03</v>
      </c>
      <c r="P1227" s="3">
        <v>16.29</v>
      </c>
      <c r="Q1227" s="6">
        <v>0</v>
      </c>
      <c r="R1227" s="3">
        <v>195.48</v>
      </c>
      <c r="S1227" t="s">
        <v>892</v>
      </c>
    </row>
    <row r="1228" spans="1:19" x14ac:dyDescent="0.35">
      <c r="A1228" t="s">
        <v>2700</v>
      </c>
      <c r="B1228" t="s">
        <v>552</v>
      </c>
      <c r="C1228" s="5">
        <v>45932</v>
      </c>
      <c r="E1228" t="s">
        <v>553</v>
      </c>
      <c r="F1228" t="s">
        <v>633</v>
      </c>
      <c r="G1228" t="s">
        <v>235</v>
      </c>
      <c r="H1228" t="s">
        <v>14</v>
      </c>
      <c r="I1228" t="s">
        <v>8</v>
      </c>
      <c r="J1228" t="s">
        <v>174</v>
      </c>
      <c r="K1228" t="s">
        <v>786</v>
      </c>
      <c r="L1228" t="s">
        <v>787</v>
      </c>
      <c r="M1228" t="s">
        <v>788</v>
      </c>
      <c r="N1228">
        <v>3</v>
      </c>
      <c r="O1228" s="3">
        <v>32.53</v>
      </c>
      <c r="P1228" s="3">
        <v>43.92</v>
      </c>
      <c r="Q1228" s="6">
        <v>0</v>
      </c>
      <c r="R1228" s="3">
        <v>131.76</v>
      </c>
      <c r="S1228" t="s">
        <v>1001</v>
      </c>
    </row>
    <row r="1229" spans="1:19" x14ac:dyDescent="0.35">
      <c r="A1229" t="s">
        <v>2701</v>
      </c>
      <c r="B1229" t="s">
        <v>475</v>
      </c>
      <c r="C1229" s="5">
        <v>45697</v>
      </c>
      <c r="D1229" s="5">
        <v>45700</v>
      </c>
      <c r="E1229" t="s">
        <v>476</v>
      </c>
      <c r="F1229" t="s">
        <v>254</v>
      </c>
      <c r="G1229" t="s">
        <v>243</v>
      </c>
      <c r="H1229" t="s">
        <v>48</v>
      </c>
      <c r="I1229" t="s">
        <v>43</v>
      </c>
      <c r="J1229" t="s">
        <v>99</v>
      </c>
      <c r="K1229" t="s">
        <v>798</v>
      </c>
      <c r="L1229" t="s">
        <v>799</v>
      </c>
      <c r="M1229" t="s">
        <v>842</v>
      </c>
      <c r="N1229">
        <v>5</v>
      </c>
      <c r="O1229" s="3">
        <v>10.88</v>
      </c>
      <c r="P1229" s="3">
        <v>15.78</v>
      </c>
      <c r="Q1229" s="6">
        <v>0</v>
      </c>
      <c r="R1229" s="3">
        <v>78.899999999999991</v>
      </c>
      <c r="S1229" t="s">
        <v>790</v>
      </c>
    </row>
    <row r="1230" spans="1:19" x14ac:dyDescent="0.35">
      <c r="A1230" t="s">
        <v>2702</v>
      </c>
      <c r="B1230" t="s">
        <v>582</v>
      </c>
      <c r="C1230" s="5">
        <v>46049</v>
      </c>
      <c r="E1230" t="s">
        <v>583</v>
      </c>
      <c r="F1230" t="s">
        <v>681</v>
      </c>
      <c r="G1230" t="s">
        <v>264</v>
      </c>
      <c r="H1230" t="s">
        <v>20</v>
      </c>
      <c r="I1230" t="s">
        <v>8</v>
      </c>
      <c r="J1230" t="s">
        <v>10</v>
      </c>
      <c r="K1230" t="s">
        <v>798</v>
      </c>
      <c r="L1230" t="s">
        <v>793</v>
      </c>
      <c r="M1230" t="s">
        <v>800</v>
      </c>
      <c r="N1230">
        <v>1</v>
      </c>
      <c r="O1230" s="3">
        <v>22.74</v>
      </c>
      <c r="P1230" s="3">
        <v>28.42</v>
      </c>
      <c r="Q1230" s="6">
        <v>0.1</v>
      </c>
      <c r="R1230" s="3">
        <v>25.578000000000003</v>
      </c>
      <c r="S1230" t="s">
        <v>935</v>
      </c>
    </row>
    <row r="1231" spans="1:19" x14ac:dyDescent="0.35">
      <c r="A1231" t="s">
        <v>2704</v>
      </c>
      <c r="B1231" t="s">
        <v>465</v>
      </c>
      <c r="C1231" s="5">
        <v>45827</v>
      </c>
      <c r="D1231" s="5">
        <v>45835</v>
      </c>
      <c r="E1231" t="s">
        <v>348</v>
      </c>
      <c r="F1231" t="s">
        <v>674</v>
      </c>
      <c r="G1231" t="s">
        <v>264</v>
      </c>
      <c r="H1231" t="s">
        <v>14</v>
      </c>
      <c r="I1231" t="s">
        <v>43</v>
      </c>
      <c r="J1231" t="s">
        <v>99</v>
      </c>
      <c r="K1231" t="s">
        <v>798</v>
      </c>
      <c r="L1231" t="s">
        <v>799</v>
      </c>
      <c r="M1231" t="s">
        <v>842</v>
      </c>
      <c r="N1231">
        <v>20</v>
      </c>
      <c r="O1231" s="3">
        <v>10.88</v>
      </c>
      <c r="P1231" s="3">
        <v>15.78</v>
      </c>
      <c r="Q1231" s="6">
        <v>0</v>
      </c>
      <c r="R1231" s="3">
        <v>315.59999999999997</v>
      </c>
      <c r="S1231" t="s">
        <v>869</v>
      </c>
    </row>
    <row r="1232" spans="1:19" x14ac:dyDescent="0.35">
      <c r="A1232" t="s">
        <v>2705</v>
      </c>
      <c r="B1232" t="s">
        <v>593</v>
      </c>
      <c r="C1232" s="5">
        <v>45451</v>
      </c>
      <c r="D1232" s="5">
        <v>45456</v>
      </c>
      <c r="E1232" t="s">
        <v>594</v>
      </c>
      <c r="F1232" t="s">
        <v>254</v>
      </c>
      <c r="G1232" t="s">
        <v>243</v>
      </c>
      <c r="H1232" t="s">
        <v>20</v>
      </c>
      <c r="I1232" t="s">
        <v>29</v>
      </c>
      <c r="J1232" t="s">
        <v>191</v>
      </c>
      <c r="K1232" t="s">
        <v>786</v>
      </c>
      <c r="L1232" t="s">
        <v>799</v>
      </c>
      <c r="M1232" t="s">
        <v>818</v>
      </c>
      <c r="N1232">
        <v>2</v>
      </c>
      <c r="O1232" s="3">
        <v>11.26</v>
      </c>
      <c r="P1232" s="3">
        <v>15.2</v>
      </c>
      <c r="Q1232" s="6">
        <v>0</v>
      </c>
      <c r="R1232" s="3">
        <v>30.4</v>
      </c>
      <c r="S1232" t="s">
        <v>834</v>
      </c>
    </row>
    <row r="1233" spans="1:19" x14ac:dyDescent="0.35">
      <c r="A1233" t="s">
        <v>2706</v>
      </c>
      <c r="B1233" t="s">
        <v>425</v>
      </c>
      <c r="C1233" s="5">
        <v>45539</v>
      </c>
      <c r="D1233" s="5">
        <v>45540</v>
      </c>
      <c r="E1233" t="s">
        <v>404</v>
      </c>
      <c r="F1233" t="s">
        <v>637</v>
      </c>
      <c r="G1233" t="s">
        <v>264</v>
      </c>
      <c r="H1233" t="s">
        <v>797</v>
      </c>
      <c r="I1233" t="s">
        <v>8</v>
      </c>
      <c r="J1233" t="s">
        <v>65</v>
      </c>
      <c r="K1233" t="s">
        <v>798</v>
      </c>
      <c r="L1233" t="s">
        <v>822</v>
      </c>
      <c r="M1233" t="s">
        <v>788</v>
      </c>
      <c r="N1233">
        <v>3</v>
      </c>
      <c r="O1233" s="3">
        <v>30.16</v>
      </c>
      <c r="P1233" s="3">
        <v>40.72</v>
      </c>
      <c r="Q1233" s="6">
        <v>0</v>
      </c>
      <c r="R1233" s="3">
        <v>122.16</v>
      </c>
      <c r="S1233" t="s">
        <v>839</v>
      </c>
    </row>
    <row r="1234" spans="1:19" x14ac:dyDescent="0.35">
      <c r="A1234" t="s">
        <v>2707</v>
      </c>
      <c r="B1234" t="s">
        <v>379</v>
      </c>
      <c r="C1234" s="5">
        <v>45594</v>
      </c>
      <c r="E1234" t="s">
        <v>380</v>
      </c>
      <c r="F1234" t="s">
        <v>674</v>
      </c>
      <c r="G1234" t="s">
        <v>264</v>
      </c>
      <c r="H1234" t="s">
        <v>20</v>
      </c>
      <c r="I1234" t="s">
        <v>43</v>
      </c>
      <c r="J1234" t="s">
        <v>75</v>
      </c>
      <c r="K1234" t="s">
        <v>798</v>
      </c>
      <c r="L1234" t="s">
        <v>787</v>
      </c>
      <c r="M1234" t="s">
        <v>818</v>
      </c>
      <c r="N1234">
        <v>2</v>
      </c>
      <c r="O1234" s="3">
        <v>24.35</v>
      </c>
      <c r="P1234" s="3">
        <v>34.090000000000003</v>
      </c>
      <c r="Q1234" s="6">
        <v>0</v>
      </c>
      <c r="R1234" s="3">
        <v>68.180000000000007</v>
      </c>
      <c r="S1234" t="s">
        <v>876</v>
      </c>
    </row>
    <row r="1235" spans="1:19" x14ac:dyDescent="0.35">
      <c r="A1235" t="s">
        <v>2708</v>
      </c>
      <c r="B1235" t="s">
        <v>244</v>
      </c>
      <c r="C1235" s="5">
        <v>45658</v>
      </c>
      <c r="E1235" t="s">
        <v>245</v>
      </c>
      <c r="F1235" t="s">
        <v>681</v>
      </c>
      <c r="G1235" t="s">
        <v>235</v>
      </c>
      <c r="H1235" t="s">
        <v>14</v>
      </c>
      <c r="I1235" t="s">
        <v>20</v>
      </c>
      <c r="J1235" t="s">
        <v>188</v>
      </c>
      <c r="K1235" t="s">
        <v>798</v>
      </c>
      <c r="L1235" t="s">
        <v>793</v>
      </c>
      <c r="M1235" t="s">
        <v>800</v>
      </c>
      <c r="N1235">
        <v>5</v>
      </c>
      <c r="O1235" s="3">
        <v>24.6</v>
      </c>
      <c r="P1235" s="3">
        <v>35.67</v>
      </c>
      <c r="Q1235" s="6">
        <v>0.05</v>
      </c>
      <c r="R1235" s="3">
        <v>169.43250000000003</v>
      </c>
      <c r="S1235" t="s">
        <v>946</v>
      </c>
    </row>
    <row r="1236" spans="1:19" x14ac:dyDescent="0.35">
      <c r="A1236" t="s">
        <v>2709</v>
      </c>
      <c r="B1236" t="s">
        <v>564</v>
      </c>
      <c r="C1236" s="5">
        <v>45895</v>
      </c>
      <c r="E1236" t="s">
        <v>526</v>
      </c>
      <c r="F1236" t="s">
        <v>627</v>
      </c>
      <c r="G1236" t="s">
        <v>243</v>
      </c>
      <c r="H1236" t="s">
        <v>14</v>
      </c>
      <c r="I1236" t="s">
        <v>48</v>
      </c>
      <c r="J1236" t="s">
        <v>219</v>
      </c>
      <c r="K1236" t="s">
        <v>798</v>
      </c>
      <c r="L1236" t="s">
        <v>817</v>
      </c>
      <c r="M1236" t="s">
        <v>818</v>
      </c>
      <c r="N1236">
        <v>2</v>
      </c>
      <c r="O1236" s="3">
        <v>12.9</v>
      </c>
      <c r="P1236" s="3">
        <v>18.7</v>
      </c>
      <c r="Q1236" s="6">
        <v>0</v>
      </c>
      <c r="R1236" s="3">
        <v>37.4</v>
      </c>
      <c r="S1236" t="s">
        <v>814</v>
      </c>
    </row>
    <row r="1237" spans="1:19" x14ac:dyDescent="0.35">
      <c r="A1237" t="s">
        <v>2710</v>
      </c>
      <c r="B1237" t="s">
        <v>588</v>
      </c>
      <c r="C1237" s="5">
        <v>45323</v>
      </c>
      <c r="D1237" s="5">
        <v>45333</v>
      </c>
      <c r="E1237" t="s">
        <v>435</v>
      </c>
      <c r="F1237" t="s">
        <v>696</v>
      </c>
      <c r="G1237" t="s">
        <v>264</v>
      </c>
      <c r="H1237" t="s">
        <v>20</v>
      </c>
      <c r="I1237" t="s">
        <v>8</v>
      </c>
      <c r="J1237" t="s">
        <v>198</v>
      </c>
      <c r="K1237" t="s">
        <v>798</v>
      </c>
      <c r="L1237" t="s">
        <v>799</v>
      </c>
      <c r="M1237" t="s">
        <v>842</v>
      </c>
      <c r="N1237">
        <v>12</v>
      </c>
      <c r="O1237" s="3">
        <v>30.64</v>
      </c>
      <c r="P1237" s="3">
        <v>42.9</v>
      </c>
      <c r="Q1237" s="6">
        <v>0.05</v>
      </c>
      <c r="R1237" s="3">
        <v>489.05999999999995</v>
      </c>
      <c r="S1237" t="s">
        <v>1001</v>
      </c>
    </row>
    <row r="1238" spans="1:19" x14ac:dyDescent="0.35">
      <c r="A1238" t="s">
        <v>2711</v>
      </c>
      <c r="B1238" t="s">
        <v>582</v>
      </c>
      <c r="C1238" s="5">
        <v>45927</v>
      </c>
      <c r="E1238" t="s">
        <v>583</v>
      </c>
      <c r="F1238" t="s">
        <v>696</v>
      </c>
      <c r="G1238" t="s">
        <v>264</v>
      </c>
      <c r="H1238" t="s">
        <v>48</v>
      </c>
      <c r="I1238" t="s">
        <v>29</v>
      </c>
      <c r="J1238" t="s">
        <v>121</v>
      </c>
      <c r="K1238" t="s">
        <v>798</v>
      </c>
      <c r="L1238" t="s">
        <v>817</v>
      </c>
      <c r="M1238" t="s">
        <v>842</v>
      </c>
      <c r="N1238">
        <v>3</v>
      </c>
      <c r="O1238" s="3">
        <v>15.46</v>
      </c>
      <c r="P1238" s="3">
        <v>22.42</v>
      </c>
      <c r="Q1238" s="6">
        <v>0.05</v>
      </c>
      <c r="R1238" s="3">
        <v>63.897000000000006</v>
      </c>
      <c r="S1238" t="s">
        <v>1017</v>
      </c>
    </row>
    <row r="1239" spans="1:19" x14ac:dyDescent="0.35">
      <c r="A1239" t="s">
        <v>2712</v>
      </c>
      <c r="B1239" t="s">
        <v>312</v>
      </c>
      <c r="C1239" s="5">
        <v>45848</v>
      </c>
      <c r="D1239" s="5">
        <v>45852</v>
      </c>
      <c r="E1239" t="s">
        <v>313</v>
      </c>
      <c r="F1239" t="s">
        <v>674</v>
      </c>
      <c r="G1239" t="s">
        <v>235</v>
      </c>
      <c r="H1239" t="s">
        <v>20</v>
      </c>
      <c r="I1239" t="s">
        <v>43</v>
      </c>
      <c r="J1239" t="s">
        <v>200</v>
      </c>
      <c r="K1239" t="s">
        <v>798</v>
      </c>
      <c r="L1239" t="s">
        <v>822</v>
      </c>
      <c r="M1239" t="s">
        <v>818</v>
      </c>
      <c r="N1239">
        <v>12</v>
      </c>
      <c r="O1239" s="3">
        <v>69.23</v>
      </c>
      <c r="P1239" s="3">
        <v>86.54</v>
      </c>
      <c r="Q1239" s="6">
        <v>0.05</v>
      </c>
      <c r="R1239" s="3">
        <v>986.55600000000004</v>
      </c>
      <c r="S1239" t="s">
        <v>1134</v>
      </c>
    </row>
    <row r="1240" spans="1:19" x14ac:dyDescent="0.35">
      <c r="A1240" t="s">
        <v>2713</v>
      </c>
      <c r="B1240" t="s">
        <v>270</v>
      </c>
      <c r="C1240" s="5">
        <v>45910</v>
      </c>
      <c r="D1240" s="5">
        <v>45912</v>
      </c>
      <c r="E1240" t="s">
        <v>231</v>
      </c>
      <c r="F1240" t="s">
        <v>633</v>
      </c>
      <c r="G1240" t="s">
        <v>235</v>
      </c>
      <c r="H1240" t="s">
        <v>797</v>
      </c>
      <c r="I1240" t="s">
        <v>43</v>
      </c>
      <c r="J1240" t="s">
        <v>44</v>
      </c>
      <c r="K1240" t="s">
        <v>786</v>
      </c>
      <c r="L1240" t="s">
        <v>799</v>
      </c>
      <c r="M1240" t="s">
        <v>788</v>
      </c>
      <c r="N1240">
        <v>5</v>
      </c>
      <c r="O1240" s="3">
        <v>14.05</v>
      </c>
      <c r="P1240" s="3">
        <v>19.670000000000002</v>
      </c>
      <c r="Q1240" s="6">
        <v>0.1</v>
      </c>
      <c r="R1240" s="3">
        <v>88.515000000000015</v>
      </c>
      <c r="S1240" t="s">
        <v>876</v>
      </c>
    </row>
    <row r="1241" spans="1:19" x14ac:dyDescent="0.35">
      <c r="A1241" t="s">
        <v>2714</v>
      </c>
      <c r="B1241" t="s">
        <v>550</v>
      </c>
      <c r="C1241" s="5">
        <v>45302</v>
      </c>
      <c r="D1241" s="5">
        <v>45310</v>
      </c>
      <c r="E1241" t="s">
        <v>408</v>
      </c>
      <c r="F1241" t="s">
        <v>637</v>
      </c>
      <c r="G1241" t="s">
        <v>243</v>
      </c>
      <c r="H1241" t="s">
        <v>14</v>
      </c>
      <c r="I1241" t="s">
        <v>48</v>
      </c>
      <c r="J1241" t="s">
        <v>177</v>
      </c>
      <c r="K1241" t="s">
        <v>813</v>
      </c>
      <c r="L1241" t="s">
        <v>799</v>
      </c>
      <c r="M1241" t="s">
        <v>842</v>
      </c>
      <c r="N1241">
        <v>2</v>
      </c>
      <c r="O1241" s="3">
        <v>41.79</v>
      </c>
      <c r="P1241" s="3">
        <v>60.6</v>
      </c>
      <c r="Q1241" s="6">
        <v>0.1</v>
      </c>
      <c r="R1241" s="3">
        <v>109.08</v>
      </c>
      <c r="S1241" t="s">
        <v>810</v>
      </c>
    </row>
    <row r="1242" spans="1:19" x14ac:dyDescent="0.35">
      <c r="A1242" t="s">
        <v>2715</v>
      </c>
      <c r="B1242" t="s">
        <v>463</v>
      </c>
      <c r="C1242" s="5">
        <v>45573</v>
      </c>
      <c r="E1242" t="s">
        <v>464</v>
      </c>
      <c r="F1242" t="s">
        <v>637</v>
      </c>
      <c r="G1242" t="s">
        <v>264</v>
      </c>
      <c r="H1242" t="s">
        <v>48</v>
      </c>
      <c r="I1242" t="s">
        <v>48</v>
      </c>
      <c r="J1242" t="s">
        <v>135</v>
      </c>
      <c r="K1242" t="s">
        <v>798</v>
      </c>
      <c r="L1242" t="s">
        <v>787</v>
      </c>
      <c r="M1242" t="s">
        <v>842</v>
      </c>
      <c r="N1242">
        <v>1</v>
      </c>
      <c r="O1242" s="3">
        <v>51.72</v>
      </c>
      <c r="P1242" s="3">
        <v>67.239999999999995</v>
      </c>
      <c r="Q1242" s="6">
        <v>0.15</v>
      </c>
      <c r="R1242" s="3">
        <v>57.153999999999996</v>
      </c>
      <c r="S1242" t="s">
        <v>892</v>
      </c>
    </row>
    <row r="1243" spans="1:19" x14ac:dyDescent="0.35">
      <c r="A1243" t="s">
        <v>2716</v>
      </c>
      <c r="B1243" t="s">
        <v>491</v>
      </c>
      <c r="C1243" s="5">
        <v>45794</v>
      </c>
      <c r="D1243" s="5">
        <v>45797</v>
      </c>
      <c r="E1243" t="s">
        <v>492</v>
      </c>
      <c r="F1243" t="s">
        <v>633</v>
      </c>
      <c r="G1243" t="s">
        <v>264</v>
      </c>
      <c r="H1243" t="s">
        <v>20</v>
      </c>
      <c r="I1243" t="s">
        <v>38</v>
      </c>
      <c r="J1243" t="s">
        <v>130</v>
      </c>
      <c r="K1243" t="s">
        <v>813</v>
      </c>
      <c r="L1243" t="s">
        <v>799</v>
      </c>
      <c r="M1243" t="s">
        <v>818</v>
      </c>
      <c r="N1243">
        <v>2</v>
      </c>
      <c r="O1243" s="3">
        <v>13.35</v>
      </c>
      <c r="P1243" s="3">
        <v>17.36</v>
      </c>
      <c r="Q1243" s="6">
        <v>0</v>
      </c>
      <c r="R1243" s="3">
        <v>34.72</v>
      </c>
      <c r="S1243" t="s">
        <v>825</v>
      </c>
    </row>
    <row r="1244" spans="1:19" x14ac:dyDescent="0.35">
      <c r="A1244" t="s">
        <v>2717</v>
      </c>
      <c r="B1244" t="s">
        <v>502</v>
      </c>
      <c r="C1244" s="5">
        <v>45370</v>
      </c>
      <c r="D1244" s="5">
        <v>45375</v>
      </c>
      <c r="E1244" t="s">
        <v>503</v>
      </c>
      <c r="F1244" t="s">
        <v>696</v>
      </c>
      <c r="G1244" t="s">
        <v>235</v>
      </c>
      <c r="H1244" t="s">
        <v>797</v>
      </c>
      <c r="I1244" t="s">
        <v>43</v>
      </c>
      <c r="J1244" t="s">
        <v>75</v>
      </c>
      <c r="K1244" t="s">
        <v>798</v>
      </c>
      <c r="L1244" t="s">
        <v>799</v>
      </c>
      <c r="M1244" t="s">
        <v>788</v>
      </c>
      <c r="N1244">
        <v>5</v>
      </c>
      <c r="O1244" s="3">
        <v>24.35</v>
      </c>
      <c r="P1244" s="3">
        <v>34.090000000000003</v>
      </c>
      <c r="Q1244" s="6">
        <v>0.05</v>
      </c>
      <c r="R1244" s="3">
        <v>161.92750000000001</v>
      </c>
      <c r="S1244" t="s">
        <v>829</v>
      </c>
    </row>
    <row r="1245" spans="1:19" x14ac:dyDescent="0.35">
      <c r="A1245" t="s">
        <v>2718</v>
      </c>
      <c r="B1245" t="s">
        <v>442</v>
      </c>
      <c r="C1245" s="5">
        <v>45479</v>
      </c>
      <c r="E1245" t="s">
        <v>443</v>
      </c>
      <c r="F1245" t="s">
        <v>637</v>
      </c>
      <c r="G1245" t="s">
        <v>235</v>
      </c>
      <c r="H1245" t="s">
        <v>14</v>
      </c>
      <c r="I1245" t="s">
        <v>8</v>
      </c>
      <c r="J1245" t="s">
        <v>212</v>
      </c>
      <c r="K1245" t="s">
        <v>786</v>
      </c>
      <c r="L1245" t="s">
        <v>793</v>
      </c>
      <c r="M1245" t="s">
        <v>818</v>
      </c>
      <c r="N1245">
        <v>5</v>
      </c>
      <c r="O1245" s="3">
        <v>95.09</v>
      </c>
      <c r="P1245" s="3">
        <v>133.13</v>
      </c>
      <c r="Q1245" s="6">
        <v>0.15</v>
      </c>
      <c r="R1245" s="3">
        <v>565.80250000000001</v>
      </c>
      <c r="S1245" t="s">
        <v>919</v>
      </c>
    </row>
    <row r="1246" spans="1:19" x14ac:dyDescent="0.35">
      <c r="A1246" t="s">
        <v>2719</v>
      </c>
      <c r="B1246" t="s">
        <v>345</v>
      </c>
      <c r="C1246" s="5">
        <v>45395</v>
      </c>
      <c r="D1246" s="5">
        <v>45402</v>
      </c>
      <c r="E1246" t="s">
        <v>346</v>
      </c>
      <c r="F1246" t="s">
        <v>674</v>
      </c>
      <c r="G1246" t="s">
        <v>264</v>
      </c>
      <c r="H1246" t="s">
        <v>20</v>
      </c>
      <c r="I1246" t="s">
        <v>38</v>
      </c>
      <c r="J1246" t="s">
        <v>71</v>
      </c>
      <c r="K1246" t="s">
        <v>786</v>
      </c>
      <c r="L1246" t="s">
        <v>799</v>
      </c>
      <c r="M1246" t="s">
        <v>818</v>
      </c>
      <c r="N1246">
        <v>12</v>
      </c>
      <c r="O1246" s="3">
        <v>17.62</v>
      </c>
      <c r="P1246" s="3">
        <v>24.67</v>
      </c>
      <c r="Q1246" s="6">
        <v>0.05</v>
      </c>
      <c r="R1246" s="3">
        <v>281.238</v>
      </c>
      <c r="S1246" t="s">
        <v>814</v>
      </c>
    </row>
    <row r="1247" spans="1:19" x14ac:dyDescent="0.35">
      <c r="A1247" t="s">
        <v>2720</v>
      </c>
      <c r="B1247" t="s">
        <v>585</v>
      </c>
      <c r="C1247" s="5">
        <v>45313</v>
      </c>
      <c r="D1247" s="5">
        <v>45320</v>
      </c>
      <c r="E1247" t="s">
        <v>586</v>
      </c>
      <c r="F1247" t="s">
        <v>633</v>
      </c>
      <c r="G1247" t="s">
        <v>235</v>
      </c>
      <c r="H1247" t="s">
        <v>14</v>
      </c>
      <c r="I1247" t="s">
        <v>20</v>
      </c>
      <c r="J1247" t="s">
        <v>39</v>
      </c>
      <c r="K1247" t="s">
        <v>813</v>
      </c>
      <c r="L1247" t="s">
        <v>799</v>
      </c>
      <c r="M1247" t="s">
        <v>800</v>
      </c>
      <c r="N1247">
        <v>10</v>
      </c>
      <c r="O1247" s="3">
        <v>9.5</v>
      </c>
      <c r="P1247" s="3">
        <v>12.83</v>
      </c>
      <c r="Q1247" s="6">
        <v>0.05</v>
      </c>
      <c r="R1247" s="3">
        <v>121.88500000000001</v>
      </c>
      <c r="S1247" t="s">
        <v>790</v>
      </c>
    </row>
    <row r="1248" spans="1:19" x14ac:dyDescent="0.35">
      <c r="A1248" t="s">
        <v>2721</v>
      </c>
      <c r="B1248" t="s">
        <v>315</v>
      </c>
      <c r="C1248" s="5">
        <v>45360</v>
      </c>
      <c r="D1248" s="5">
        <v>45361</v>
      </c>
      <c r="E1248" t="s">
        <v>316</v>
      </c>
      <c r="F1248" t="s">
        <v>633</v>
      </c>
      <c r="G1248" t="s">
        <v>235</v>
      </c>
      <c r="H1248" t="s">
        <v>20</v>
      </c>
      <c r="I1248" t="s">
        <v>29</v>
      </c>
      <c r="J1248" t="s">
        <v>27</v>
      </c>
      <c r="K1248" t="s">
        <v>798</v>
      </c>
      <c r="L1248" t="s">
        <v>799</v>
      </c>
      <c r="M1248" t="s">
        <v>788</v>
      </c>
      <c r="N1248">
        <v>20</v>
      </c>
      <c r="O1248" s="3">
        <v>33.06</v>
      </c>
      <c r="P1248" s="3">
        <v>47.94</v>
      </c>
      <c r="Q1248" s="6">
        <v>0</v>
      </c>
      <c r="R1248" s="3">
        <v>958.8</v>
      </c>
      <c r="S1248" t="s">
        <v>919</v>
      </c>
    </row>
    <row r="1249" spans="1:19" x14ac:dyDescent="0.35">
      <c r="A1249" t="s">
        <v>2722</v>
      </c>
      <c r="B1249" t="s">
        <v>541</v>
      </c>
      <c r="C1249" s="5">
        <v>45457</v>
      </c>
      <c r="E1249" t="s">
        <v>542</v>
      </c>
      <c r="F1249" t="s">
        <v>674</v>
      </c>
      <c r="G1249" t="s">
        <v>235</v>
      </c>
      <c r="H1249" t="s">
        <v>14</v>
      </c>
      <c r="I1249" t="s">
        <v>79</v>
      </c>
      <c r="J1249" t="s">
        <v>108</v>
      </c>
      <c r="K1249" t="s">
        <v>798</v>
      </c>
      <c r="L1249" t="s">
        <v>817</v>
      </c>
      <c r="M1249" t="s">
        <v>800</v>
      </c>
      <c r="N1249">
        <v>12</v>
      </c>
      <c r="O1249" s="3">
        <v>9.3000000000000007</v>
      </c>
      <c r="P1249" s="3">
        <v>12.56</v>
      </c>
      <c r="Q1249" s="6">
        <v>0.1</v>
      </c>
      <c r="R1249" s="3">
        <v>135.648</v>
      </c>
      <c r="S1249" t="s">
        <v>1017</v>
      </c>
    </row>
    <row r="1250" spans="1:19" x14ac:dyDescent="0.35">
      <c r="A1250" t="s">
        <v>2723</v>
      </c>
      <c r="B1250" t="s">
        <v>573</v>
      </c>
      <c r="C1250" s="5">
        <v>45781</v>
      </c>
      <c r="E1250" t="s">
        <v>277</v>
      </c>
      <c r="F1250" t="s">
        <v>674</v>
      </c>
      <c r="G1250" t="s">
        <v>235</v>
      </c>
      <c r="H1250" t="s">
        <v>14</v>
      </c>
      <c r="I1250" t="s">
        <v>48</v>
      </c>
      <c r="J1250" t="s">
        <v>139</v>
      </c>
      <c r="K1250" t="s">
        <v>813</v>
      </c>
      <c r="L1250" t="s">
        <v>787</v>
      </c>
      <c r="M1250" t="s">
        <v>788</v>
      </c>
      <c r="N1250">
        <v>12</v>
      </c>
      <c r="O1250" s="3">
        <v>29.93</v>
      </c>
      <c r="P1250" s="3">
        <v>41.9</v>
      </c>
      <c r="Q1250" s="6">
        <v>0</v>
      </c>
      <c r="R1250" s="3">
        <v>502.79999999999995</v>
      </c>
      <c r="S1250" t="s">
        <v>859</v>
      </c>
    </row>
    <row r="1251" spans="1:19" x14ac:dyDescent="0.35">
      <c r="A1251" t="s">
        <v>2724</v>
      </c>
      <c r="B1251" t="s">
        <v>244</v>
      </c>
      <c r="C1251" s="5">
        <v>45428</v>
      </c>
      <c r="E1251" t="s">
        <v>245</v>
      </c>
      <c r="F1251" t="s">
        <v>633</v>
      </c>
      <c r="G1251" t="s">
        <v>235</v>
      </c>
      <c r="H1251" t="s">
        <v>797</v>
      </c>
      <c r="I1251" t="s">
        <v>14</v>
      </c>
      <c r="J1251" t="s">
        <v>111</v>
      </c>
      <c r="K1251" t="s">
        <v>786</v>
      </c>
      <c r="L1251" t="s">
        <v>787</v>
      </c>
      <c r="M1251" t="s">
        <v>800</v>
      </c>
      <c r="N1251">
        <v>3</v>
      </c>
      <c r="O1251" s="3">
        <v>19.850000000000001</v>
      </c>
      <c r="P1251" s="3">
        <v>28.78</v>
      </c>
      <c r="Q1251" s="6">
        <v>0.1</v>
      </c>
      <c r="R1251" s="3">
        <v>77.706000000000003</v>
      </c>
      <c r="S1251" t="s">
        <v>892</v>
      </c>
    </row>
    <row r="1252" spans="1:19" x14ac:dyDescent="0.35">
      <c r="A1252" t="s">
        <v>2725</v>
      </c>
      <c r="B1252" t="s">
        <v>345</v>
      </c>
      <c r="C1252" s="5">
        <v>45301</v>
      </c>
      <c r="D1252" s="5">
        <v>45309</v>
      </c>
      <c r="E1252" t="s">
        <v>346</v>
      </c>
      <c r="F1252" t="s">
        <v>633</v>
      </c>
      <c r="G1252" t="s">
        <v>264</v>
      </c>
      <c r="H1252" t="s">
        <v>48</v>
      </c>
      <c r="I1252" t="s">
        <v>48</v>
      </c>
      <c r="J1252" t="s">
        <v>54</v>
      </c>
      <c r="K1252" t="s">
        <v>786</v>
      </c>
      <c r="L1252" t="s">
        <v>799</v>
      </c>
      <c r="M1252" t="s">
        <v>788</v>
      </c>
      <c r="N1252">
        <v>3</v>
      </c>
      <c r="O1252" s="3">
        <v>21.67</v>
      </c>
      <c r="P1252" s="3">
        <v>28.17</v>
      </c>
      <c r="Q1252" s="6">
        <v>0.15</v>
      </c>
      <c r="R1252" s="3">
        <v>71.833500000000001</v>
      </c>
      <c r="S1252" t="s">
        <v>819</v>
      </c>
    </row>
    <row r="1253" spans="1:19" x14ac:dyDescent="0.35">
      <c r="A1253" t="s">
        <v>2726</v>
      </c>
      <c r="B1253" t="s">
        <v>322</v>
      </c>
      <c r="C1253" s="5">
        <v>45782</v>
      </c>
      <c r="D1253" s="5">
        <v>45785</v>
      </c>
      <c r="E1253" t="s">
        <v>245</v>
      </c>
      <c r="F1253" t="s">
        <v>674</v>
      </c>
      <c r="G1253" t="s">
        <v>243</v>
      </c>
      <c r="H1253" t="s">
        <v>797</v>
      </c>
      <c r="I1253" t="s">
        <v>8</v>
      </c>
      <c r="J1253" t="s">
        <v>101</v>
      </c>
      <c r="K1253" t="s">
        <v>798</v>
      </c>
      <c r="L1253" t="s">
        <v>799</v>
      </c>
      <c r="M1253" t="s">
        <v>842</v>
      </c>
      <c r="N1253">
        <v>10</v>
      </c>
      <c r="O1253" s="3">
        <v>16.510000000000002</v>
      </c>
      <c r="P1253" s="3">
        <v>23.94</v>
      </c>
      <c r="Q1253" s="6">
        <v>0</v>
      </c>
      <c r="R1253" s="3">
        <v>239.4</v>
      </c>
      <c r="S1253" t="s">
        <v>825</v>
      </c>
    </row>
    <row r="1254" spans="1:19" x14ac:dyDescent="0.35">
      <c r="A1254" t="s">
        <v>2727</v>
      </c>
      <c r="B1254" t="s">
        <v>609</v>
      </c>
      <c r="C1254" s="5">
        <v>45814</v>
      </c>
      <c r="E1254" t="s">
        <v>610</v>
      </c>
      <c r="F1254" t="s">
        <v>254</v>
      </c>
      <c r="H1254" t="s">
        <v>14</v>
      </c>
      <c r="I1254" t="s">
        <v>48</v>
      </c>
      <c r="J1254" t="s">
        <v>143</v>
      </c>
      <c r="K1254" t="s">
        <v>786</v>
      </c>
      <c r="L1254" t="s">
        <v>787</v>
      </c>
      <c r="M1254" t="s">
        <v>788</v>
      </c>
      <c r="N1254">
        <v>12</v>
      </c>
      <c r="O1254" s="3">
        <v>29.93</v>
      </c>
      <c r="P1254" s="3">
        <v>38.909999999999997</v>
      </c>
      <c r="Q1254" s="6">
        <v>0</v>
      </c>
      <c r="R1254" s="3">
        <v>466.91999999999996</v>
      </c>
      <c r="S1254" t="s">
        <v>869</v>
      </c>
    </row>
    <row r="1255" spans="1:19" x14ac:dyDescent="0.35">
      <c r="A1255" t="s">
        <v>2728</v>
      </c>
      <c r="B1255" t="s">
        <v>451</v>
      </c>
      <c r="C1255" s="5">
        <v>45715</v>
      </c>
      <c r="D1255" s="5">
        <v>45716</v>
      </c>
      <c r="E1255" t="s">
        <v>368</v>
      </c>
      <c r="F1255" t="s">
        <v>674</v>
      </c>
      <c r="G1255" t="s">
        <v>264</v>
      </c>
      <c r="H1255" t="s">
        <v>20</v>
      </c>
      <c r="I1255" t="s">
        <v>14</v>
      </c>
      <c r="J1255" t="s">
        <v>56</v>
      </c>
      <c r="K1255" t="s">
        <v>798</v>
      </c>
      <c r="L1255" t="s">
        <v>799</v>
      </c>
      <c r="M1255" t="s">
        <v>842</v>
      </c>
      <c r="N1255">
        <v>1</v>
      </c>
      <c r="O1255" s="3">
        <v>25.46</v>
      </c>
      <c r="P1255" s="3">
        <v>31.83</v>
      </c>
      <c r="Q1255" s="6">
        <v>0</v>
      </c>
      <c r="R1255" s="3">
        <v>31.83</v>
      </c>
      <c r="S1255" t="s">
        <v>935</v>
      </c>
    </row>
    <row r="1256" spans="1:19" x14ac:dyDescent="0.35">
      <c r="A1256" t="s">
        <v>2729</v>
      </c>
      <c r="B1256" t="s">
        <v>465</v>
      </c>
      <c r="C1256" s="5">
        <v>45489</v>
      </c>
      <c r="D1256" s="5">
        <v>45498</v>
      </c>
      <c r="E1256" t="s">
        <v>348</v>
      </c>
      <c r="F1256" t="s">
        <v>696</v>
      </c>
      <c r="G1256" t="s">
        <v>264</v>
      </c>
      <c r="H1256" t="s">
        <v>14</v>
      </c>
      <c r="I1256" t="s">
        <v>29</v>
      </c>
      <c r="J1256" t="s">
        <v>121</v>
      </c>
      <c r="K1256" t="s">
        <v>786</v>
      </c>
      <c r="L1256" t="s">
        <v>799</v>
      </c>
      <c r="M1256" t="s">
        <v>788</v>
      </c>
      <c r="N1256">
        <v>12</v>
      </c>
      <c r="O1256" s="3">
        <v>15.46</v>
      </c>
      <c r="P1256" s="3">
        <v>22.42</v>
      </c>
      <c r="Q1256" s="6">
        <v>0.05</v>
      </c>
      <c r="R1256" s="3">
        <v>255.58800000000002</v>
      </c>
      <c r="S1256" t="s">
        <v>946</v>
      </c>
    </row>
    <row r="1257" spans="1:19" x14ac:dyDescent="0.35">
      <c r="A1257" t="s">
        <v>2730</v>
      </c>
      <c r="B1257" t="s">
        <v>607</v>
      </c>
      <c r="C1257" s="5">
        <v>45708</v>
      </c>
      <c r="E1257" t="s">
        <v>608</v>
      </c>
      <c r="F1257" t="s">
        <v>681</v>
      </c>
      <c r="G1257" t="s">
        <v>264</v>
      </c>
      <c r="H1257" t="s">
        <v>797</v>
      </c>
      <c r="I1257" t="s">
        <v>48</v>
      </c>
      <c r="J1257" t="s">
        <v>143</v>
      </c>
      <c r="K1257" t="s">
        <v>798</v>
      </c>
      <c r="L1257" t="s">
        <v>793</v>
      </c>
      <c r="M1257" t="s">
        <v>842</v>
      </c>
      <c r="N1257">
        <v>1</v>
      </c>
      <c r="O1257" s="3">
        <v>29.93</v>
      </c>
      <c r="P1257" s="3">
        <v>38.909999999999997</v>
      </c>
      <c r="Q1257" s="6">
        <v>0.05</v>
      </c>
      <c r="R1257" s="3">
        <v>36.964499999999994</v>
      </c>
      <c r="S1257" t="s">
        <v>946</v>
      </c>
    </row>
    <row r="1258" spans="1:19" x14ac:dyDescent="0.35">
      <c r="A1258" t="s">
        <v>2731</v>
      </c>
      <c r="B1258" t="s">
        <v>295</v>
      </c>
      <c r="C1258" s="5">
        <v>45323</v>
      </c>
      <c r="E1258" t="s">
        <v>296</v>
      </c>
      <c r="F1258" t="s">
        <v>627</v>
      </c>
      <c r="G1258" t="s">
        <v>264</v>
      </c>
      <c r="H1258" t="s">
        <v>797</v>
      </c>
      <c r="I1258" t="s">
        <v>20</v>
      </c>
      <c r="J1258" t="s">
        <v>104</v>
      </c>
      <c r="K1258" t="s">
        <v>786</v>
      </c>
      <c r="L1258" t="s">
        <v>787</v>
      </c>
      <c r="M1258" t="s">
        <v>842</v>
      </c>
      <c r="N1258">
        <v>3</v>
      </c>
      <c r="O1258" s="3">
        <v>43.88</v>
      </c>
      <c r="P1258" s="3">
        <v>54.85</v>
      </c>
      <c r="Q1258" s="6">
        <v>0</v>
      </c>
      <c r="R1258" s="3">
        <v>164.55</v>
      </c>
      <c r="S1258" t="s">
        <v>1017</v>
      </c>
    </row>
    <row r="1259" spans="1:19" x14ac:dyDescent="0.35">
      <c r="A1259" t="s">
        <v>2732</v>
      </c>
      <c r="B1259" t="s">
        <v>495</v>
      </c>
      <c r="C1259" s="5">
        <v>45694</v>
      </c>
      <c r="E1259" t="s">
        <v>496</v>
      </c>
      <c r="F1259" t="s">
        <v>681</v>
      </c>
      <c r="G1259" t="s">
        <v>264</v>
      </c>
      <c r="H1259" t="s">
        <v>20</v>
      </c>
      <c r="I1259" t="s">
        <v>48</v>
      </c>
      <c r="J1259" t="s">
        <v>202</v>
      </c>
      <c r="K1259" t="s">
        <v>786</v>
      </c>
      <c r="L1259" t="s">
        <v>793</v>
      </c>
      <c r="M1259" t="s">
        <v>800</v>
      </c>
      <c r="N1259">
        <v>12</v>
      </c>
      <c r="O1259" s="3">
        <v>27</v>
      </c>
      <c r="P1259" s="3">
        <v>39.15</v>
      </c>
      <c r="Q1259" s="6">
        <v>0</v>
      </c>
      <c r="R1259" s="3">
        <v>469.79999999999995</v>
      </c>
      <c r="S1259" t="s">
        <v>819</v>
      </c>
    </row>
    <row r="1260" spans="1:19" x14ac:dyDescent="0.35">
      <c r="A1260" t="s">
        <v>2733</v>
      </c>
      <c r="B1260" t="s">
        <v>462</v>
      </c>
      <c r="C1260" s="5">
        <v>45815</v>
      </c>
      <c r="D1260" s="5">
        <v>45817</v>
      </c>
      <c r="E1260" t="s">
        <v>396</v>
      </c>
      <c r="F1260" t="s">
        <v>637</v>
      </c>
      <c r="G1260" t="s">
        <v>264</v>
      </c>
      <c r="H1260" t="s">
        <v>20</v>
      </c>
      <c r="I1260" t="s">
        <v>29</v>
      </c>
      <c r="J1260" t="s">
        <v>106</v>
      </c>
      <c r="K1260" t="s">
        <v>798</v>
      </c>
      <c r="L1260" t="s">
        <v>799</v>
      </c>
      <c r="M1260" t="s">
        <v>788</v>
      </c>
      <c r="N1260">
        <v>2</v>
      </c>
      <c r="O1260" s="3">
        <v>29.64</v>
      </c>
      <c r="P1260" s="3">
        <v>41.5</v>
      </c>
      <c r="Q1260" s="6">
        <v>0.05</v>
      </c>
      <c r="R1260" s="3">
        <v>78.849999999999994</v>
      </c>
      <c r="S1260" t="s">
        <v>1134</v>
      </c>
    </row>
    <row r="1261" spans="1:19" x14ac:dyDescent="0.35">
      <c r="A1261" t="s">
        <v>2734</v>
      </c>
      <c r="B1261" t="s">
        <v>442</v>
      </c>
      <c r="C1261" s="5">
        <v>46000</v>
      </c>
      <c r="E1261" t="s">
        <v>443</v>
      </c>
      <c r="F1261" t="s">
        <v>627</v>
      </c>
      <c r="G1261" t="s">
        <v>235</v>
      </c>
      <c r="H1261" t="s">
        <v>14</v>
      </c>
      <c r="I1261" t="s">
        <v>48</v>
      </c>
      <c r="J1261" t="s">
        <v>179</v>
      </c>
      <c r="K1261" t="s">
        <v>798</v>
      </c>
      <c r="L1261" t="s">
        <v>793</v>
      </c>
      <c r="M1261" t="s">
        <v>800</v>
      </c>
      <c r="N1261">
        <v>12</v>
      </c>
      <c r="O1261" s="3">
        <v>16.670000000000002</v>
      </c>
      <c r="P1261" s="3">
        <v>22.5</v>
      </c>
      <c r="Q1261" s="6">
        <v>0</v>
      </c>
      <c r="R1261" s="3">
        <v>270</v>
      </c>
      <c r="S1261" t="s">
        <v>859</v>
      </c>
    </row>
    <row r="1262" spans="1:19" x14ac:dyDescent="0.35">
      <c r="A1262" t="s">
        <v>2735</v>
      </c>
      <c r="B1262" t="s">
        <v>390</v>
      </c>
      <c r="C1262" s="5">
        <v>45900</v>
      </c>
      <c r="E1262" t="s">
        <v>391</v>
      </c>
      <c r="F1262" t="s">
        <v>633</v>
      </c>
      <c r="G1262" t="s">
        <v>235</v>
      </c>
      <c r="H1262" t="s">
        <v>48</v>
      </c>
      <c r="I1262" t="s">
        <v>14</v>
      </c>
      <c r="J1262" t="s">
        <v>25</v>
      </c>
      <c r="K1262" t="s">
        <v>798</v>
      </c>
      <c r="L1262" t="s">
        <v>793</v>
      </c>
      <c r="M1262" t="s">
        <v>788</v>
      </c>
      <c r="N1262">
        <v>2</v>
      </c>
      <c r="O1262" s="3">
        <v>18.95</v>
      </c>
      <c r="P1262" s="3">
        <v>25.58</v>
      </c>
      <c r="Q1262" s="6">
        <v>0</v>
      </c>
      <c r="R1262" s="3">
        <v>51.16</v>
      </c>
      <c r="S1262" t="s">
        <v>859</v>
      </c>
    </row>
    <row r="1263" spans="1:19" x14ac:dyDescent="0.35">
      <c r="A1263" t="s">
        <v>2736</v>
      </c>
      <c r="B1263" t="s">
        <v>518</v>
      </c>
      <c r="C1263" s="5">
        <v>45488</v>
      </c>
      <c r="E1263" t="s">
        <v>519</v>
      </c>
      <c r="F1263" t="s">
        <v>681</v>
      </c>
      <c r="G1263" t="s">
        <v>264</v>
      </c>
      <c r="H1263" t="s">
        <v>797</v>
      </c>
      <c r="I1263" t="s">
        <v>14</v>
      </c>
      <c r="J1263" t="s">
        <v>214</v>
      </c>
      <c r="K1263" t="s">
        <v>798</v>
      </c>
      <c r="L1263" t="s">
        <v>793</v>
      </c>
      <c r="M1263" t="s">
        <v>788</v>
      </c>
      <c r="N1263">
        <v>20</v>
      </c>
      <c r="O1263" s="3">
        <v>22.07</v>
      </c>
      <c r="P1263" s="3">
        <v>27.59</v>
      </c>
      <c r="Q1263" s="6">
        <v>0.1</v>
      </c>
      <c r="R1263" s="3">
        <v>496.61999999999995</v>
      </c>
      <c r="S1263" t="s">
        <v>888</v>
      </c>
    </row>
    <row r="1264" spans="1:19" x14ac:dyDescent="0.35">
      <c r="A1264" t="s">
        <v>2737</v>
      </c>
      <c r="B1264" t="s">
        <v>370</v>
      </c>
      <c r="C1264" s="5">
        <v>45996</v>
      </c>
      <c r="D1264" s="5">
        <v>46005</v>
      </c>
      <c r="E1264" t="s">
        <v>371</v>
      </c>
      <c r="F1264" t="s">
        <v>681</v>
      </c>
      <c r="G1264" t="s">
        <v>264</v>
      </c>
      <c r="H1264" t="s">
        <v>14</v>
      </c>
      <c r="I1264" t="s">
        <v>8</v>
      </c>
      <c r="J1264" t="s">
        <v>207</v>
      </c>
      <c r="K1264" t="s">
        <v>798</v>
      </c>
      <c r="L1264" t="s">
        <v>799</v>
      </c>
      <c r="M1264" t="s">
        <v>788</v>
      </c>
      <c r="N1264">
        <v>12</v>
      </c>
      <c r="O1264" s="3">
        <v>8.5399999999999991</v>
      </c>
      <c r="P1264" s="3">
        <v>10.67</v>
      </c>
      <c r="Q1264" s="6">
        <v>0.05</v>
      </c>
      <c r="R1264" s="3">
        <v>121.63799999999999</v>
      </c>
      <c r="S1264" t="s">
        <v>803</v>
      </c>
    </row>
    <row r="1265" spans="1:19" x14ac:dyDescent="0.35">
      <c r="A1265" t="s">
        <v>2738</v>
      </c>
      <c r="B1265" t="s">
        <v>596</v>
      </c>
      <c r="C1265" s="5">
        <v>45469</v>
      </c>
      <c r="E1265" t="s">
        <v>443</v>
      </c>
      <c r="F1265" t="s">
        <v>681</v>
      </c>
      <c r="G1265" t="s">
        <v>264</v>
      </c>
      <c r="H1265" t="s">
        <v>20</v>
      </c>
      <c r="I1265" t="s">
        <v>29</v>
      </c>
      <c r="J1265" t="s">
        <v>49</v>
      </c>
      <c r="K1265" t="s">
        <v>798</v>
      </c>
      <c r="L1265" t="s">
        <v>793</v>
      </c>
      <c r="M1265" t="s">
        <v>800</v>
      </c>
      <c r="N1265">
        <v>5</v>
      </c>
      <c r="O1265" s="3">
        <v>14.89</v>
      </c>
      <c r="P1265" s="3">
        <v>20.85</v>
      </c>
      <c r="Q1265" s="6">
        <v>0</v>
      </c>
      <c r="R1265" s="3">
        <v>104.25</v>
      </c>
      <c r="S1265" t="s">
        <v>869</v>
      </c>
    </row>
    <row r="1266" spans="1:19" x14ac:dyDescent="0.35">
      <c r="A1266" t="s">
        <v>2739</v>
      </c>
      <c r="B1266" t="s">
        <v>398</v>
      </c>
      <c r="C1266" s="5">
        <v>45800</v>
      </c>
      <c r="D1266" s="5">
        <v>45810</v>
      </c>
      <c r="E1266" t="s">
        <v>399</v>
      </c>
      <c r="F1266" t="s">
        <v>696</v>
      </c>
      <c r="G1266" t="s">
        <v>264</v>
      </c>
      <c r="H1266" t="s">
        <v>14</v>
      </c>
      <c r="I1266" t="s">
        <v>48</v>
      </c>
      <c r="J1266" t="s">
        <v>135</v>
      </c>
      <c r="K1266" t="s">
        <v>798</v>
      </c>
      <c r="L1266" t="s">
        <v>799</v>
      </c>
      <c r="M1266" t="s">
        <v>800</v>
      </c>
      <c r="N1266">
        <v>1</v>
      </c>
      <c r="O1266" s="3">
        <v>51.72</v>
      </c>
      <c r="P1266" s="3">
        <v>67.239999999999995</v>
      </c>
      <c r="Q1266" s="6">
        <v>0</v>
      </c>
      <c r="R1266" s="3">
        <v>67.239999999999995</v>
      </c>
      <c r="S1266" t="s">
        <v>1017</v>
      </c>
    </row>
    <row r="1267" spans="1:19" x14ac:dyDescent="0.35">
      <c r="A1267" t="s">
        <v>2740</v>
      </c>
      <c r="B1267" t="s">
        <v>337</v>
      </c>
      <c r="C1267" s="5">
        <v>45365</v>
      </c>
      <c r="E1267" t="s">
        <v>338</v>
      </c>
      <c r="F1267" t="s">
        <v>696</v>
      </c>
      <c r="G1267" t="s">
        <v>243</v>
      </c>
      <c r="H1267" t="s">
        <v>20</v>
      </c>
      <c r="I1267" t="s">
        <v>8</v>
      </c>
      <c r="J1267" t="s">
        <v>91</v>
      </c>
      <c r="K1267" t="s">
        <v>786</v>
      </c>
      <c r="L1267" t="s">
        <v>787</v>
      </c>
      <c r="M1267" t="s">
        <v>788</v>
      </c>
      <c r="N1267">
        <v>1</v>
      </c>
      <c r="O1267" s="3">
        <v>36.82</v>
      </c>
      <c r="P1267" s="3">
        <v>47.87</v>
      </c>
      <c r="Q1267" s="6">
        <v>0</v>
      </c>
      <c r="R1267" s="3">
        <v>47.87</v>
      </c>
      <c r="S1267" t="s">
        <v>819</v>
      </c>
    </row>
    <row r="1268" spans="1:19" x14ac:dyDescent="0.35">
      <c r="A1268" t="s">
        <v>2741</v>
      </c>
      <c r="B1268" t="s">
        <v>547</v>
      </c>
      <c r="C1268" s="5">
        <v>45757</v>
      </c>
      <c r="E1268" t="s">
        <v>375</v>
      </c>
      <c r="F1268" t="s">
        <v>637</v>
      </c>
      <c r="G1268" t="s">
        <v>243</v>
      </c>
      <c r="H1268" t="s">
        <v>797</v>
      </c>
      <c r="I1268" t="s">
        <v>14</v>
      </c>
      <c r="J1268" t="s">
        <v>90</v>
      </c>
      <c r="K1268" t="s">
        <v>798</v>
      </c>
      <c r="L1268" t="s">
        <v>793</v>
      </c>
      <c r="M1268" t="s">
        <v>842</v>
      </c>
      <c r="N1268">
        <v>3</v>
      </c>
      <c r="O1268" s="3">
        <v>27.34</v>
      </c>
      <c r="P1268" s="3">
        <v>39.64</v>
      </c>
      <c r="Q1268" s="6">
        <v>0.05</v>
      </c>
      <c r="R1268" s="3">
        <v>112.974</v>
      </c>
      <c r="S1268" t="s">
        <v>869</v>
      </c>
    </row>
    <row r="1269" spans="1:19" x14ac:dyDescent="0.35">
      <c r="A1269" t="s">
        <v>2742</v>
      </c>
      <c r="B1269" t="s">
        <v>327</v>
      </c>
      <c r="C1269" s="5">
        <v>45793</v>
      </c>
      <c r="E1269" t="s">
        <v>328</v>
      </c>
      <c r="F1269" t="s">
        <v>696</v>
      </c>
      <c r="G1269" t="s">
        <v>264</v>
      </c>
      <c r="H1269" t="s">
        <v>797</v>
      </c>
      <c r="I1269" t="s">
        <v>38</v>
      </c>
      <c r="J1269" t="s">
        <v>69</v>
      </c>
      <c r="K1269" t="s">
        <v>798</v>
      </c>
      <c r="L1269" t="s">
        <v>787</v>
      </c>
      <c r="M1269" t="s">
        <v>842</v>
      </c>
      <c r="N1269">
        <v>5</v>
      </c>
      <c r="O1269" s="3">
        <v>20.9</v>
      </c>
      <c r="P1269" s="3">
        <v>28.21</v>
      </c>
      <c r="Q1269" s="6">
        <v>0</v>
      </c>
      <c r="R1269" s="3">
        <v>141.05000000000001</v>
      </c>
      <c r="S1269" t="s">
        <v>829</v>
      </c>
    </row>
    <row r="1270" spans="1:19" x14ac:dyDescent="0.35">
      <c r="A1270" t="s">
        <v>2743</v>
      </c>
      <c r="B1270" t="s">
        <v>414</v>
      </c>
      <c r="C1270" s="5">
        <v>45334</v>
      </c>
      <c r="D1270" s="5">
        <v>45344</v>
      </c>
      <c r="E1270" t="s">
        <v>415</v>
      </c>
      <c r="F1270" t="s">
        <v>254</v>
      </c>
      <c r="G1270" t="s">
        <v>235</v>
      </c>
      <c r="H1270" t="s">
        <v>14</v>
      </c>
      <c r="I1270" t="s">
        <v>14</v>
      </c>
      <c r="J1270" t="s">
        <v>111</v>
      </c>
      <c r="K1270" t="s">
        <v>798</v>
      </c>
      <c r="L1270" t="s">
        <v>799</v>
      </c>
      <c r="M1270" t="s">
        <v>818</v>
      </c>
      <c r="N1270">
        <v>2</v>
      </c>
      <c r="O1270" s="3">
        <v>19.850000000000001</v>
      </c>
      <c r="P1270" s="3">
        <v>28.78</v>
      </c>
      <c r="Q1270" s="6">
        <v>0</v>
      </c>
      <c r="R1270" s="3">
        <v>57.56</v>
      </c>
      <c r="S1270" t="s">
        <v>829</v>
      </c>
    </row>
    <row r="1271" spans="1:19" x14ac:dyDescent="0.35">
      <c r="A1271" t="s">
        <v>2744</v>
      </c>
      <c r="B1271" t="s">
        <v>329</v>
      </c>
      <c r="C1271" s="5">
        <v>45353</v>
      </c>
      <c r="E1271" t="s">
        <v>330</v>
      </c>
      <c r="F1271" t="s">
        <v>633</v>
      </c>
      <c r="G1271" t="s">
        <v>235</v>
      </c>
      <c r="H1271" t="s">
        <v>48</v>
      </c>
      <c r="I1271" t="s">
        <v>38</v>
      </c>
      <c r="J1271" t="s">
        <v>126</v>
      </c>
      <c r="K1271" t="s">
        <v>798</v>
      </c>
      <c r="L1271" t="s">
        <v>793</v>
      </c>
      <c r="M1271" t="s">
        <v>788</v>
      </c>
      <c r="N1271">
        <v>2</v>
      </c>
      <c r="O1271" s="3">
        <v>41.95</v>
      </c>
      <c r="P1271" s="3">
        <v>58.73</v>
      </c>
      <c r="Q1271" s="6">
        <v>0</v>
      </c>
      <c r="R1271" s="3">
        <v>117.46</v>
      </c>
      <c r="S1271" t="s">
        <v>794</v>
      </c>
    </row>
    <row r="1272" spans="1:19" x14ac:dyDescent="0.35">
      <c r="A1272" t="s">
        <v>2745</v>
      </c>
      <c r="B1272" t="s">
        <v>541</v>
      </c>
      <c r="C1272" s="5">
        <v>45925</v>
      </c>
      <c r="D1272" s="5">
        <v>45935</v>
      </c>
      <c r="E1272" t="s">
        <v>542</v>
      </c>
      <c r="F1272" t="s">
        <v>637</v>
      </c>
      <c r="G1272" t="s">
        <v>235</v>
      </c>
      <c r="H1272" t="s">
        <v>797</v>
      </c>
      <c r="I1272" t="s">
        <v>48</v>
      </c>
      <c r="J1272" t="s">
        <v>177</v>
      </c>
      <c r="K1272" t="s">
        <v>798</v>
      </c>
      <c r="L1272" t="s">
        <v>799</v>
      </c>
      <c r="M1272" t="s">
        <v>788</v>
      </c>
      <c r="N1272">
        <v>5</v>
      </c>
      <c r="O1272" s="3">
        <v>41.79</v>
      </c>
      <c r="P1272" s="3">
        <v>60.6</v>
      </c>
      <c r="Q1272" s="6">
        <v>0</v>
      </c>
      <c r="R1272" s="3">
        <v>303</v>
      </c>
      <c r="S1272" t="s">
        <v>790</v>
      </c>
    </row>
    <row r="1273" spans="1:19" x14ac:dyDescent="0.35">
      <c r="A1273" t="s">
        <v>2746</v>
      </c>
      <c r="B1273" t="s">
        <v>362</v>
      </c>
      <c r="C1273" s="5">
        <v>45616</v>
      </c>
      <c r="D1273" s="5">
        <v>45626</v>
      </c>
      <c r="E1273" t="s">
        <v>363</v>
      </c>
      <c r="F1273" t="s">
        <v>637</v>
      </c>
      <c r="G1273" t="s">
        <v>235</v>
      </c>
      <c r="H1273" t="s">
        <v>48</v>
      </c>
      <c r="I1273" t="s">
        <v>29</v>
      </c>
      <c r="J1273" t="s">
        <v>123</v>
      </c>
      <c r="K1273" t="s">
        <v>798</v>
      </c>
      <c r="L1273" t="s">
        <v>799</v>
      </c>
      <c r="M1273" t="s">
        <v>842</v>
      </c>
      <c r="N1273">
        <v>10</v>
      </c>
      <c r="O1273" s="3">
        <v>20.7</v>
      </c>
      <c r="P1273" s="3">
        <v>30.01</v>
      </c>
      <c r="Q1273" s="6">
        <v>0</v>
      </c>
      <c r="R1273" s="3">
        <v>300.10000000000002</v>
      </c>
      <c r="S1273" t="s">
        <v>834</v>
      </c>
    </row>
    <row r="1274" spans="1:19" x14ac:dyDescent="0.35">
      <c r="A1274" t="s">
        <v>2747</v>
      </c>
      <c r="B1274" t="s">
        <v>409</v>
      </c>
      <c r="C1274" s="5">
        <v>46050</v>
      </c>
      <c r="D1274" s="5">
        <v>46060</v>
      </c>
      <c r="E1274" t="s">
        <v>410</v>
      </c>
      <c r="F1274" t="s">
        <v>637</v>
      </c>
      <c r="G1274" t="s">
        <v>235</v>
      </c>
      <c r="H1274" t="s">
        <v>14</v>
      </c>
      <c r="I1274" t="s">
        <v>38</v>
      </c>
      <c r="J1274" t="s">
        <v>117</v>
      </c>
      <c r="K1274" t="s">
        <v>813</v>
      </c>
      <c r="L1274" t="s">
        <v>799</v>
      </c>
      <c r="M1274" t="s">
        <v>788</v>
      </c>
      <c r="N1274">
        <v>3</v>
      </c>
      <c r="O1274" s="3">
        <v>43.25</v>
      </c>
      <c r="P1274" s="3">
        <v>60.55</v>
      </c>
      <c r="Q1274" s="6">
        <v>0</v>
      </c>
      <c r="R1274" s="3">
        <v>181.64999999999998</v>
      </c>
      <c r="S1274" t="s">
        <v>845</v>
      </c>
    </row>
    <row r="1275" spans="1:19" x14ac:dyDescent="0.35">
      <c r="A1275" t="s">
        <v>2748</v>
      </c>
      <c r="B1275" t="s">
        <v>386</v>
      </c>
      <c r="C1275" s="5">
        <v>45461</v>
      </c>
      <c r="E1275" t="s">
        <v>387</v>
      </c>
      <c r="F1275" t="s">
        <v>633</v>
      </c>
      <c r="G1275" t="s">
        <v>243</v>
      </c>
      <c r="H1275" t="s">
        <v>797</v>
      </c>
      <c r="I1275" t="s">
        <v>43</v>
      </c>
      <c r="J1275" t="s">
        <v>99</v>
      </c>
      <c r="K1275" t="s">
        <v>798</v>
      </c>
      <c r="L1275" t="s">
        <v>793</v>
      </c>
      <c r="M1275" t="s">
        <v>818</v>
      </c>
      <c r="N1275">
        <v>2</v>
      </c>
      <c r="O1275" s="3">
        <v>10.88</v>
      </c>
      <c r="P1275" s="3">
        <v>15.78</v>
      </c>
      <c r="Q1275" s="6">
        <v>0.05</v>
      </c>
      <c r="R1275" s="3">
        <v>29.981999999999999</v>
      </c>
      <c r="S1275" t="s">
        <v>963</v>
      </c>
    </row>
    <row r="1276" spans="1:19" x14ac:dyDescent="0.35">
      <c r="A1276" t="s">
        <v>2749</v>
      </c>
      <c r="B1276" t="s">
        <v>310</v>
      </c>
      <c r="C1276" s="5">
        <v>45529</v>
      </c>
      <c r="D1276" s="5">
        <v>45530</v>
      </c>
      <c r="E1276" t="s">
        <v>311</v>
      </c>
      <c r="F1276" t="s">
        <v>696</v>
      </c>
      <c r="G1276" t="s">
        <v>264</v>
      </c>
      <c r="H1276" t="s">
        <v>20</v>
      </c>
      <c r="I1276" t="s">
        <v>20</v>
      </c>
      <c r="J1276" t="s">
        <v>134</v>
      </c>
      <c r="K1276" t="s">
        <v>798</v>
      </c>
      <c r="L1276" t="s">
        <v>799</v>
      </c>
      <c r="M1276" t="s">
        <v>818</v>
      </c>
      <c r="N1276">
        <v>1</v>
      </c>
      <c r="O1276" s="3">
        <v>38.36</v>
      </c>
      <c r="P1276" s="3">
        <v>53.7</v>
      </c>
      <c r="Q1276" s="6">
        <v>0.1</v>
      </c>
      <c r="R1276" s="3">
        <v>48.33</v>
      </c>
      <c r="S1276" t="s">
        <v>935</v>
      </c>
    </row>
    <row r="1277" spans="1:19" x14ac:dyDescent="0.35">
      <c r="A1277" t="s">
        <v>2750</v>
      </c>
      <c r="B1277" t="s">
        <v>377</v>
      </c>
      <c r="C1277" s="5">
        <v>45846</v>
      </c>
      <c r="D1277" s="5">
        <v>45855</v>
      </c>
      <c r="E1277" t="s">
        <v>378</v>
      </c>
      <c r="F1277" t="s">
        <v>681</v>
      </c>
      <c r="G1277" t="s">
        <v>243</v>
      </c>
      <c r="H1277" t="s">
        <v>14</v>
      </c>
      <c r="I1277" t="s">
        <v>48</v>
      </c>
      <c r="J1277" t="s">
        <v>135</v>
      </c>
      <c r="K1277" t="s">
        <v>786</v>
      </c>
      <c r="L1277" t="s">
        <v>799</v>
      </c>
      <c r="M1277" t="s">
        <v>800</v>
      </c>
      <c r="N1277">
        <v>2</v>
      </c>
      <c r="O1277" s="3">
        <v>51.72</v>
      </c>
      <c r="P1277" s="3">
        <v>67.239999999999995</v>
      </c>
      <c r="Q1277" s="6">
        <v>0</v>
      </c>
      <c r="R1277" s="3">
        <v>134.47999999999999</v>
      </c>
      <c r="S1277" t="s">
        <v>819</v>
      </c>
    </row>
    <row r="1278" spans="1:19" x14ac:dyDescent="0.35">
      <c r="A1278" t="s">
        <v>2751</v>
      </c>
      <c r="B1278" t="s">
        <v>487</v>
      </c>
      <c r="C1278" s="5">
        <v>45922</v>
      </c>
      <c r="E1278" t="s">
        <v>488</v>
      </c>
      <c r="F1278" t="s">
        <v>627</v>
      </c>
      <c r="G1278" t="s">
        <v>243</v>
      </c>
      <c r="H1278" t="s">
        <v>797</v>
      </c>
      <c r="I1278" t="s">
        <v>8</v>
      </c>
      <c r="J1278" t="s">
        <v>95</v>
      </c>
      <c r="K1278" t="s">
        <v>813</v>
      </c>
      <c r="L1278" t="s">
        <v>787</v>
      </c>
      <c r="M1278" t="s">
        <v>818</v>
      </c>
      <c r="N1278">
        <v>1</v>
      </c>
      <c r="O1278" s="3">
        <v>23.02</v>
      </c>
      <c r="P1278" s="3">
        <v>28.77</v>
      </c>
      <c r="Q1278" s="6">
        <v>0</v>
      </c>
      <c r="R1278" s="3">
        <v>28.77</v>
      </c>
      <c r="S1278" t="s">
        <v>935</v>
      </c>
    </row>
    <row r="1279" spans="1:19" x14ac:dyDescent="0.35">
      <c r="A1279" t="s">
        <v>2752</v>
      </c>
      <c r="B1279" t="s">
        <v>430</v>
      </c>
      <c r="C1279" s="5">
        <v>45504</v>
      </c>
      <c r="E1279" t="s">
        <v>431</v>
      </c>
      <c r="F1279" t="s">
        <v>633</v>
      </c>
      <c r="G1279" t="s">
        <v>264</v>
      </c>
      <c r="H1279" t="s">
        <v>797</v>
      </c>
      <c r="I1279" t="s">
        <v>20</v>
      </c>
      <c r="J1279" t="s">
        <v>102</v>
      </c>
      <c r="K1279" t="s">
        <v>798</v>
      </c>
      <c r="L1279" t="s">
        <v>793</v>
      </c>
      <c r="M1279" t="s">
        <v>788</v>
      </c>
      <c r="N1279">
        <v>2</v>
      </c>
      <c r="O1279" s="3">
        <v>19.04</v>
      </c>
      <c r="P1279" s="3">
        <v>25.7</v>
      </c>
      <c r="Q1279" s="6">
        <v>0.05</v>
      </c>
      <c r="R1279" s="3">
        <v>48.83</v>
      </c>
      <c r="S1279" t="s">
        <v>946</v>
      </c>
    </row>
    <row r="1280" spans="1:19" x14ac:dyDescent="0.35">
      <c r="A1280" t="s">
        <v>2753</v>
      </c>
      <c r="B1280" t="s">
        <v>582</v>
      </c>
      <c r="C1280" s="5">
        <v>45772</v>
      </c>
      <c r="D1280" s="5">
        <v>45778</v>
      </c>
      <c r="E1280" t="s">
        <v>583</v>
      </c>
      <c r="F1280" t="s">
        <v>627</v>
      </c>
      <c r="G1280" t="s">
        <v>264</v>
      </c>
      <c r="H1280" t="s">
        <v>797</v>
      </c>
      <c r="I1280" t="s">
        <v>48</v>
      </c>
      <c r="J1280" t="s">
        <v>219</v>
      </c>
      <c r="K1280" t="s">
        <v>798</v>
      </c>
      <c r="L1280" t="s">
        <v>799</v>
      </c>
      <c r="M1280" t="s">
        <v>842</v>
      </c>
      <c r="N1280">
        <v>12</v>
      </c>
      <c r="O1280" s="3">
        <v>12.9</v>
      </c>
      <c r="P1280" s="3">
        <v>18.7</v>
      </c>
      <c r="Q1280" s="6">
        <v>0.05</v>
      </c>
      <c r="R1280" s="3">
        <v>213.17999999999998</v>
      </c>
      <c r="S1280" t="s">
        <v>803</v>
      </c>
    </row>
    <row r="1281" spans="1:19" x14ac:dyDescent="0.35">
      <c r="A1281" t="s">
        <v>2754</v>
      </c>
      <c r="B1281" t="s">
        <v>257</v>
      </c>
      <c r="C1281" s="5">
        <v>45660</v>
      </c>
      <c r="E1281" t="s">
        <v>258</v>
      </c>
      <c r="F1281" t="s">
        <v>696</v>
      </c>
      <c r="G1281" t="s">
        <v>235</v>
      </c>
      <c r="H1281" t="s">
        <v>797</v>
      </c>
      <c r="I1281" t="s">
        <v>20</v>
      </c>
      <c r="J1281" t="s">
        <v>18</v>
      </c>
      <c r="K1281" t="s">
        <v>798</v>
      </c>
      <c r="L1281" t="s">
        <v>793</v>
      </c>
      <c r="M1281" t="s">
        <v>818</v>
      </c>
      <c r="N1281">
        <v>10</v>
      </c>
      <c r="O1281" s="3">
        <v>21.57</v>
      </c>
      <c r="P1281" s="3">
        <v>26.96</v>
      </c>
      <c r="Q1281" s="6">
        <v>0</v>
      </c>
      <c r="R1281" s="3">
        <v>269.60000000000002</v>
      </c>
      <c r="S1281" t="s">
        <v>814</v>
      </c>
    </row>
    <row r="1282" spans="1:19" x14ac:dyDescent="0.35">
      <c r="A1282" t="s">
        <v>2755</v>
      </c>
      <c r="B1282" t="s">
        <v>452</v>
      </c>
      <c r="C1282" s="5">
        <v>45526</v>
      </c>
      <c r="D1282" s="5">
        <v>45532</v>
      </c>
      <c r="E1282" t="s">
        <v>420</v>
      </c>
      <c r="F1282" t="s">
        <v>633</v>
      </c>
      <c r="G1282" t="s">
        <v>264</v>
      </c>
      <c r="H1282" t="s">
        <v>14</v>
      </c>
      <c r="I1282" t="s">
        <v>43</v>
      </c>
      <c r="J1282" t="s">
        <v>75</v>
      </c>
      <c r="K1282" t="s">
        <v>813</v>
      </c>
      <c r="L1282" t="s">
        <v>799</v>
      </c>
      <c r="M1282" t="s">
        <v>788</v>
      </c>
      <c r="N1282">
        <v>2</v>
      </c>
      <c r="O1282" s="3">
        <v>24.35</v>
      </c>
      <c r="P1282" s="3">
        <v>34.090000000000003</v>
      </c>
      <c r="Q1282" s="6">
        <v>0</v>
      </c>
      <c r="R1282" s="3">
        <v>68.180000000000007</v>
      </c>
      <c r="S1282" t="s">
        <v>935</v>
      </c>
    </row>
    <row r="1283" spans="1:19" x14ac:dyDescent="0.35">
      <c r="A1283" t="s">
        <v>2756</v>
      </c>
      <c r="B1283" t="s">
        <v>317</v>
      </c>
      <c r="C1283" s="5">
        <v>45341</v>
      </c>
      <c r="D1283" s="5">
        <v>45350</v>
      </c>
      <c r="E1283" t="s">
        <v>318</v>
      </c>
      <c r="F1283" t="s">
        <v>681</v>
      </c>
      <c r="G1283" t="s">
        <v>264</v>
      </c>
      <c r="H1283" t="s">
        <v>48</v>
      </c>
      <c r="I1283" t="s">
        <v>20</v>
      </c>
      <c r="J1283" t="s">
        <v>196</v>
      </c>
      <c r="K1283" t="s">
        <v>813</v>
      </c>
      <c r="L1283" t="s">
        <v>799</v>
      </c>
      <c r="M1283" t="s">
        <v>842</v>
      </c>
      <c r="N1283">
        <v>10</v>
      </c>
      <c r="O1283" s="3">
        <v>15.78</v>
      </c>
      <c r="P1283" s="3">
        <v>19.72</v>
      </c>
      <c r="Q1283" s="6">
        <v>0</v>
      </c>
      <c r="R1283" s="3">
        <v>197.2</v>
      </c>
      <c r="S1283" t="s">
        <v>834</v>
      </c>
    </row>
    <row r="1284" spans="1:19" x14ac:dyDescent="0.35">
      <c r="A1284" t="s">
        <v>2757</v>
      </c>
      <c r="B1284" t="s">
        <v>353</v>
      </c>
      <c r="C1284" s="5">
        <v>45553</v>
      </c>
      <c r="D1284" s="5">
        <v>45558</v>
      </c>
      <c r="E1284" t="s">
        <v>258</v>
      </c>
      <c r="F1284" t="s">
        <v>633</v>
      </c>
      <c r="G1284" t="s">
        <v>264</v>
      </c>
      <c r="H1284" t="s">
        <v>797</v>
      </c>
      <c r="I1284" t="s">
        <v>20</v>
      </c>
      <c r="J1284" t="s">
        <v>137</v>
      </c>
      <c r="K1284" t="s">
        <v>798</v>
      </c>
      <c r="L1284" t="s">
        <v>799</v>
      </c>
      <c r="M1284" t="s">
        <v>788</v>
      </c>
      <c r="N1284">
        <v>3</v>
      </c>
      <c r="O1284" s="3">
        <v>23.58</v>
      </c>
      <c r="P1284" s="3">
        <v>31.83</v>
      </c>
      <c r="Q1284" s="6">
        <v>0</v>
      </c>
      <c r="R1284" s="3">
        <v>95.49</v>
      </c>
      <c r="S1284" t="s">
        <v>876</v>
      </c>
    </row>
    <row r="1285" spans="1:19" x14ac:dyDescent="0.35">
      <c r="A1285" t="s">
        <v>2758</v>
      </c>
      <c r="B1285" t="s">
        <v>299</v>
      </c>
      <c r="C1285" s="5">
        <v>45462</v>
      </c>
      <c r="D1285" s="5">
        <v>45470</v>
      </c>
      <c r="E1285" t="s">
        <v>300</v>
      </c>
      <c r="F1285" t="s">
        <v>674</v>
      </c>
      <c r="G1285" t="s">
        <v>264</v>
      </c>
      <c r="H1285" t="s">
        <v>20</v>
      </c>
      <c r="I1285" t="s">
        <v>8</v>
      </c>
      <c r="J1285" t="s">
        <v>181</v>
      </c>
      <c r="K1285" t="s">
        <v>798</v>
      </c>
      <c r="L1285" t="s">
        <v>799</v>
      </c>
      <c r="M1285" t="s">
        <v>788</v>
      </c>
      <c r="N1285">
        <v>3</v>
      </c>
      <c r="O1285" s="3">
        <v>20.49</v>
      </c>
      <c r="P1285" s="3">
        <v>29.71</v>
      </c>
      <c r="Q1285" s="6">
        <v>0</v>
      </c>
      <c r="R1285" s="3">
        <v>89.13</v>
      </c>
      <c r="S1285" t="s">
        <v>790</v>
      </c>
    </row>
    <row r="1286" spans="1:19" x14ac:dyDescent="0.35">
      <c r="A1286" t="s">
        <v>2759</v>
      </c>
      <c r="B1286" t="s">
        <v>395</v>
      </c>
      <c r="C1286" s="5">
        <v>45725</v>
      </c>
      <c r="D1286" s="5">
        <v>45728</v>
      </c>
      <c r="E1286" t="s">
        <v>396</v>
      </c>
      <c r="F1286" t="s">
        <v>254</v>
      </c>
      <c r="G1286" t="s">
        <v>264</v>
      </c>
      <c r="H1286" t="s">
        <v>20</v>
      </c>
      <c r="I1286" t="s">
        <v>8</v>
      </c>
      <c r="J1286" t="s">
        <v>10</v>
      </c>
      <c r="K1286" t="s">
        <v>813</v>
      </c>
      <c r="L1286" t="s">
        <v>799</v>
      </c>
      <c r="M1286" t="s">
        <v>842</v>
      </c>
      <c r="N1286">
        <v>1</v>
      </c>
      <c r="O1286" s="3">
        <v>22.74</v>
      </c>
      <c r="P1286" s="3">
        <v>28.42</v>
      </c>
      <c r="Q1286" s="6">
        <v>0</v>
      </c>
      <c r="R1286" s="3">
        <v>28.42</v>
      </c>
      <c r="S1286" t="s">
        <v>1017</v>
      </c>
    </row>
    <row r="1287" spans="1:19" x14ac:dyDescent="0.35">
      <c r="A1287" t="s">
        <v>2760</v>
      </c>
      <c r="B1287" t="s">
        <v>616</v>
      </c>
      <c r="C1287" s="5">
        <v>45838</v>
      </c>
      <c r="E1287" t="s">
        <v>231</v>
      </c>
      <c r="F1287" t="s">
        <v>696</v>
      </c>
      <c r="G1287" t="s">
        <v>264</v>
      </c>
      <c r="H1287" t="s">
        <v>14</v>
      </c>
      <c r="I1287" t="s">
        <v>14</v>
      </c>
      <c r="J1287" t="s">
        <v>186</v>
      </c>
      <c r="K1287" t="s">
        <v>798</v>
      </c>
      <c r="L1287" t="s">
        <v>787</v>
      </c>
      <c r="M1287" t="s">
        <v>788</v>
      </c>
      <c r="N1287">
        <v>1</v>
      </c>
      <c r="O1287" s="3">
        <v>28.32</v>
      </c>
      <c r="P1287" s="3">
        <v>35.4</v>
      </c>
      <c r="Q1287" s="6">
        <v>0</v>
      </c>
      <c r="R1287" s="3">
        <v>35.4</v>
      </c>
      <c r="S1287" t="s">
        <v>839</v>
      </c>
    </row>
    <row r="1288" spans="1:19" x14ac:dyDescent="0.35">
      <c r="A1288" t="s">
        <v>2761</v>
      </c>
      <c r="B1288" t="s">
        <v>612</v>
      </c>
      <c r="C1288" s="5">
        <v>45625</v>
      </c>
      <c r="D1288" s="5">
        <v>45628</v>
      </c>
      <c r="E1288" t="s">
        <v>447</v>
      </c>
      <c r="F1288" t="s">
        <v>633</v>
      </c>
      <c r="G1288" t="s">
        <v>235</v>
      </c>
      <c r="H1288" t="s">
        <v>14</v>
      </c>
      <c r="I1288" t="s">
        <v>20</v>
      </c>
      <c r="J1288" t="s">
        <v>102</v>
      </c>
      <c r="K1288" t="s">
        <v>813</v>
      </c>
      <c r="L1288" t="s">
        <v>799</v>
      </c>
      <c r="M1288" t="s">
        <v>842</v>
      </c>
      <c r="N1288">
        <v>2</v>
      </c>
      <c r="O1288" s="3">
        <v>19.04</v>
      </c>
      <c r="P1288" s="3">
        <v>25.7</v>
      </c>
      <c r="Q1288" s="6">
        <v>0.05</v>
      </c>
      <c r="R1288" s="3">
        <v>48.83</v>
      </c>
      <c r="S1288" t="s">
        <v>888</v>
      </c>
    </row>
    <row r="1289" spans="1:19" x14ac:dyDescent="0.35">
      <c r="A1289" t="s">
        <v>2762</v>
      </c>
      <c r="B1289" t="s">
        <v>354</v>
      </c>
      <c r="C1289" s="5">
        <v>45341</v>
      </c>
      <c r="D1289" s="5">
        <v>45349</v>
      </c>
      <c r="E1289" t="s">
        <v>321</v>
      </c>
      <c r="F1289" t="s">
        <v>637</v>
      </c>
      <c r="G1289" t="s">
        <v>243</v>
      </c>
      <c r="H1289" t="s">
        <v>797</v>
      </c>
      <c r="I1289" t="s">
        <v>20</v>
      </c>
      <c r="J1289" t="s">
        <v>188</v>
      </c>
      <c r="K1289" t="s">
        <v>786</v>
      </c>
      <c r="L1289" t="s">
        <v>799</v>
      </c>
      <c r="M1289" t="s">
        <v>800</v>
      </c>
      <c r="N1289">
        <v>10</v>
      </c>
      <c r="O1289" s="3">
        <v>24.6</v>
      </c>
      <c r="P1289" s="3">
        <v>35.67</v>
      </c>
      <c r="Q1289" s="6">
        <v>0.05</v>
      </c>
      <c r="R1289" s="3">
        <v>338.86500000000007</v>
      </c>
      <c r="S1289" t="s">
        <v>794</v>
      </c>
    </row>
    <row r="1290" spans="1:19" x14ac:dyDescent="0.35">
      <c r="A1290" t="s">
        <v>2763</v>
      </c>
      <c r="B1290" t="s">
        <v>592</v>
      </c>
      <c r="C1290" s="5">
        <v>45471</v>
      </c>
      <c r="E1290" t="s">
        <v>478</v>
      </c>
      <c r="F1290" t="s">
        <v>674</v>
      </c>
      <c r="G1290" t="s">
        <v>243</v>
      </c>
      <c r="H1290" t="s">
        <v>797</v>
      </c>
      <c r="I1290" t="s">
        <v>48</v>
      </c>
      <c r="J1290" t="s">
        <v>219</v>
      </c>
      <c r="K1290" t="s">
        <v>798</v>
      </c>
      <c r="L1290" t="s">
        <v>787</v>
      </c>
      <c r="M1290" t="s">
        <v>818</v>
      </c>
      <c r="N1290">
        <v>20</v>
      </c>
      <c r="O1290" s="3">
        <v>12.9</v>
      </c>
      <c r="P1290" s="3">
        <v>18.7</v>
      </c>
      <c r="Q1290" s="6">
        <v>0</v>
      </c>
      <c r="R1290" s="3">
        <v>374</v>
      </c>
      <c r="S1290" t="s">
        <v>839</v>
      </c>
    </row>
    <row r="1291" spans="1:19" x14ac:dyDescent="0.35">
      <c r="A1291" t="s">
        <v>2764</v>
      </c>
      <c r="B1291" t="s">
        <v>524</v>
      </c>
      <c r="C1291" s="5">
        <v>45586</v>
      </c>
      <c r="D1291" s="5">
        <v>45595</v>
      </c>
      <c r="E1291" t="s">
        <v>484</v>
      </c>
      <c r="F1291" t="s">
        <v>637</v>
      </c>
      <c r="H1291" t="s">
        <v>14</v>
      </c>
      <c r="I1291" t="s">
        <v>8</v>
      </c>
      <c r="J1291" t="s">
        <v>162</v>
      </c>
      <c r="K1291" t="s">
        <v>786</v>
      </c>
      <c r="L1291" t="s">
        <v>799</v>
      </c>
      <c r="M1291" t="s">
        <v>818</v>
      </c>
      <c r="N1291">
        <v>3</v>
      </c>
      <c r="O1291" s="3">
        <v>29.86</v>
      </c>
      <c r="P1291" s="3">
        <v>38.82</v>
      </c>
      <c r="Q1291" s="6">
        <v>0.1</v>
      </c>
      <c r="R1291" s="3">
        <v>104.81400000000001</v>
      </c>
      <c r="S1291" t="s">
        <v>845</v>
      </c>
    </row>
    <row r="1292" spans="1:19" x14ac:dyDescent="0.35">
      <c r="A1292" t="s">
        <v>2765</v>
      </c>
      <c r="B1292" t="s">
        <v>543</v>
      </c>
      <c r="C1292" s="5">
        <v>45654</v>
      </c>
      <c r="E1292" t="s">
        <v>544</v>
      </c>
      <c r="F1292" t="s">
        <v>681</v>
      </c>
      <c r="G1292" t="s">
        <v>243</v>
      </c>
      <c r="H1292" t="s">
        <v>20</v>
      </c>
      <c r="I1292" t="s">
        <v>79</v>
      </c>
      <c r="J1292" t="s">
        <v>77</v>
      </c>
      <c r="K1292" t="s">
        <v>798</v>
      </c>
      <c r="L1292" t="s">
        <v>793</v>
      </c>
      <c r="M1292" t="s">
        <v>818</v>
      </c>
      <c r="N1292">
        <v>1</v>
      </c>
      <c r="O1292" s="3">
        <v>13.71</v>
      </c>
      <c r="P1292" s="3">
        <v>17.82</v>
      </c>
      <c r="Q1292" s="6">
        <v>0</v>
      </c>
      <c r="R1292" s="3">
        <v>17.82</v>
      </c>
      <c r="S1292" t="s">
        <v>892</v>
      </c>
    </row>
    <row r="1293" spans="1:19" x14ac:dyDescent="0.35">
      <c r="A1293" t="s">
        <v>2766</v>
      </c>
      <c r="B1293" t="s">
        <v>272</v>
      </c>
      <c r="C1293" s="5">
        <v>45803</v>
      </c>
      <c r="D1293" s="5">
        <v>45810</v>
      </c>
      <c r="E1293" t="s">
        <v>273</v>
      </c>
      <c r="F1293" t="s">
        <v>674</v>
      </c>
      <c r="G1293" t="s">
        <v>243</v>
      </c>
      <c r="H1293" t="s">
        <v>797</v>
      </c>
      <c r="I1293" t="s">
        <v>14</v>
      </c>
      <c r="J1293" t="s">
        <v>24</v>
      </c>
      <c r="K1293" t="s">
        <v>786</v>
      </c>
      <c r="L1293" t="s">
        <v>799</v>
      </c>
      <c r="M1293" t="s">
        <v>842</v>
      </c>
      <c r="N1293">
        <v>1</v>
      </c>
      <c r="O1293" s="3">
        <v>37.42</v>
      </c>
      <c r="P1293" s="3">
        <v>50.52</v>
      </c>
      <c r="Q1293" s="6">
        <v>0.1</v>
      </c>
      <c r="R1293" s="3">
        <v>45.468000000000004</v>
      </c>
      <c r="S1293" t="s">
        <v>876</v>
      </c>
    </row>
    <row r="1294" spans="1:19" x14ac:dyDescent="0.35">
      <c r="A1294" t="s">
        <v>2767</v>
      </c>
      <c r="B1294" t="s">
        <v>455</v>
      </c>
      <c r="C1294" s="5">
        <v>45676</v>
      </c>
      <c r="E1294" t="s">
        <v>456</v>
      </c>
      <c r="F1294" t="s">
        <v>254</v>
      </c>
      <c r="G1294" t="s">
        <v>264</v>
      </c>
      <c r="H1294" t="s">
        <v>797</v>
      </c>
      <c r="I1294" t="s">
        <v>38</v>
      </c>
      <c r="J1294" t="s">
        <v>36</v>
      </c>
      <c r="K1294" t="s">
        <v>813</v>
      </c>
      <c r="L1294" t="s">
        <v>787</v>
      </c>
      <c r="M1294" t="s">
        <v>818</v>
      </c>
      <c r="N1294">
        <v>10</v>
      </c>
      <c r="O1294" s="3">
        <v>8.57</v>
      </c>
      <c r="P1294" s="3">
        <v>11.14</v>
      </c>
      <c r="Q1294" s="6">
        <v>0.15</v>
      </c>
      <c r="R1294" s="3">
        <v>94.69</v>
      </c>
      <c r="S1294" t="s">
        <v>888</v>
      </c>
    </row>
    <row r="1295" spans="1:19" x14ac:dyDescent="0.35">
      <c r="A1295" t="s">
        <v>2768</v>
      </c>
      <c r="B1295" t="s">
        <v>609</v>
      </c>
      <c r="C1295" s="5">
        <v>45752</v>
      </c>
      <c r="E1295" t="s">
        <v>610</v>
      </c>
      <c r="F1295" t="s">
        <v>681</v>
      </c>
      <c r="H1295" t="s">
        <v>797</v>
      </c>
      <c r="I1295" t="s">
        <v>14</v>
      </c>
      <c r="J1295" t="s">
        <v>152</v>
      </c>
      <c r="K1295" t="s">
        <v>786</v>
      </c>
      <c r="L1295" t="s">
        <v>793</v>
      </c>
      <c r="M1295" t="s">
        <v>788</v>
      </c>
      <c r="N1295">
        <v>5</v>
      </c>
      <c r="O1295" s="3">
        <v>38.549999999999997</v>
      </c>
      <c r="P1295" s="3">
        <v>53.97</v>
      </c>
      <c r="Q1295" s="6">
        <v>0</v>
      </c>
      <c r="R1295" s="3">
        <v>269.85000000000002</v>
      </c>
      <c r="S1295" t="s">
        <v>794</v>
      </c>
    </row>
    <row r="1296" spans="1:19" x14ac:dyDescent="0.35">
      <c r="A1296" t="s">
        <v>2769</v>
      </c>
      <c r="B1296" t="s">
        <v>504</v>
      </c>
      <c r="C1296" s="5">
        <v>45741</v>
      </c>
      <c r="D1296" s="5">
        <v>45742</v>
      </c>
      <c r="E1296" t="s">
        <v>505</v>
      </c>
      <c r="F1296" t="s">
        <v>696</v>
      </c>
      <c r="G1296" t="s">
        <v>264</v>
      </c>
      <c r="H1296" t="s">
        <v>14</v>
      </c>
      <c r="I1296" t="s">
        <v>48</v>
      </c>
      <c r="J1296" t="s">
        <v>179</v>
      </c>
      <c r="K1296" t="s">
        <v>798</v>
      </c>
      <c r="L1296" t="s">
        <v>822</v>
      </c>
      <c r="M1296" t="s">
        <v>818</v>
      </c>
      <c r="N1296">
        <v>2</v>
      </c>
      <c r="O1296" s="3">
        <v>16.670000000000002</v>
      </c>
      <c r="P1296" s="3">
        <v>22.5</v>
      </c>
      <c r="Q1296" s="6">
        <v>0</v>
      </c>
      <c r="R1296" s="3">
        <v>45</v>
      </c>
      <c r="S1296" t="s">
        <v>876</v>
      </c>
    </row>
    <row r="1297" spans="1:19" x14ac:dyDescent="0.35">
      <c r="A1297" t="s">
        <v>2770</v>
      </c>
      <c r="B1297" t="s">
        <v>565</v>
      </c>
      <c r="C1297" s="5">
        <v>45543</v>
      </c>
      <c r="D1297" s="5">
        <v>45545</v>
      </c>
      <c r="E1297" t="s">
        <v>566</v>
      </c>
      <c r="F1297" t="s">
        <v>254</v>
      </c>
      <c r="H1297" t="s">
        <v>797</v>
      </c>
      <c r="I1297" t="s">
        <v>14</v>
      </c>
      <c r="J1297" t="s">
        <v>56</v>
      </c>
      <c r="K1297" t="s">
        <v>813</v>
      </c>
      <c r="L1297" t="s">
        <v>799</v>
      </c>
      <c r="M1297" t="s">
        <v>818</v>
      </c>
      <c r="N1297">
        <v>20</v>
      </c>
      <c r="O1297" s="3">
        <v>25.46</v>
      </c>
      <c r="P1297" s="3">
        <v>31.83</v>
      </c>
      <c r="Q1297" s="6">
        <v>0.15</v>
      </c>
      <c r="R1297" s="3">
        <v>541.1099999999999</v>
      </c>
      <c r="S1297" t="s">
        <v>876</v>
      </c>
    </row>
    <row r="1298" spans="1:19" x14ac:dyDescent="0.35">
      <c r="A1298" t="s">
        <v>2771</v>
      </c>
      <c r="B1298" t="s">
        <v>448</v>
      </c>
      <c r="C1298" s="5">
        <v>45904</v>
      </c>
      <c r="D1298" s="5">
        <v>45910</v>
      </c>
      <c r="E1298" t="s">
        <v>427</v>
      </c>
      <c r="F1298" t="s">
        <v>637</v>
      </c>
      <c r="G1298" t="s">
        <v>243</v>
      </c>
      <c r="H1298" t="s">
        <v>14</v>
      </c>
      <c r="I1298" t="s">
        <v>8</v>
      </c>
      <c r="J1298" t="s">
        <v>207</v>
      </c>
      <c r="K1298" t="s">
        <v>798</v>
      </c>
      <c r="L1298" t="s">
        <v>822</v>
      </c>
      <c r="M1298" t="s">
        <v>818</v>
      </c>
      <c r="N1298">
        <v>2</v>
      </c>
      <c r="O1298" s="3">
        <v>8.5399999999999991</v>
      </c>
      <c r="P1298" s="3">
        <v>10.67</v>
      </c>
      <c r="Q1298" s="6">
        <v>0</v>
      </c>
      <c r="R1298" s="3">
        <v>21.34</v>
      </c>
      <c r="S1298" t="s">
        <v>814</v>
      </c>
    </row>
    <row r="1299" spans="1:19" x14ac:dyDescent="0.35">
      <c r="A1299" t="s">
        <v>2772</v>
      </c>
      <c r="B1299" t="s">
        <v>513</v>
      </c>
      <c r="C1299" s="5">
        <v>45490</v>
      </c>
      <c r="D1299" s="5">
        <v>45499</v>
      </c>
      <c r="E1299" t="s">
        <v>514</v>
      </c>
      <c r="F1299" t="s">
        <v>674</v>
      </c>
      <c r="G1299" t="s">
        <v>264</v>
      </c>
      <c r="H1299" t="s">
        <v>797</v>
      </c>
      <c r="I1299" t="s">
        <v>29</v>
      </c>
      <c r="J1299" t="s">
        <v>27</v>
      </c>
      <c r="K1299" t="s">
        <v>813</v>
      </c>
      <c r="L1299" t="s">
        <v>799</v>
      </c>
      <c r="M1299" t="s">
        <v>800</v>
      </c>
      <c r="N1299">
        <v>3</v>
      </c>
      <c r="O1299" s="3">
        <v>33.06</v>
      </c>
      <c r="P1299" s="3">
        <v>47.94</v>
      </c>
      <c r="Q1299" s="6">
        <v>0</v>
      </c>
      <c r="R1299" s="3">
        <v>143.82</v>
      </c>
      <c r="S1299" t="s">
        <v>839</v>
      </c>
    </row>
    <row r="1300" spans="1:19" x14ac:dyDescent="0.35">
      <c r="A1300" t="s">
        <v>2774</v>
      </c>
      <c r="B1300" t="s">
        <v>520</v>
      </c>
      <c r="C1300" s="5">
        <v>45515</v>
      </c>
      <c r="D1300" s="5">
        <v>45521</v>
      </c>
      <c r="E1300" t="s">
        <v>521</v>
      </c>
      <c r="F1300" t="s">
        <v>633</v>
      </c>
      <c r="G1300" t="s">
        <v>243</v>
      </c>
      <c r="H1300" t="s">
        <v>797</v>
      </c>
      <c r="I1300" t="s">
        <v>29</v>
      </c>
      <c r="J1300" t="s">
        <v>191</v>
      </c>
      <c r="K1300" t="s">
        <v>798</v>
      </c>
      <c r="L1300" t="s">
        <v>799</v>
      </c>
      <c r="M1300" t="s">
        <v>818</v>
      </c>
      <c r="N1300">
        <v>2</v>
      </c>
      <c r="O1300" s="3">
        <v>11.26</v>
      </c>
      <c r="P1300" s="3">
        <v>15.2</v>
      </c>
      <c r="Q1300" s="6">
        <v>0</v>
      </c>
      <c r="R1300" s="3">
        <v>30.4</v>
      </c>
      <c r="S1300" t="s">
        <v>946</v>
      </c>
    </row>
    <row r="1301" spans="1:19" x14ac:dyDescent="0.35">
      <c r="A1301" t="s">
        <v>2775</v>
      </c>
      <c r="B1301" t="s">
        <v>283</v>
      </c>
      <c r="C1301" s="5">
        <v>45583</v>
      </c>
      <c r="D1301" s="5">
        <v>45584</v>
      </c>
      <c r="E1301" t="s">
        <v>284</v>
      </c>
      <c r="F1301" t="s">
        <v>637</v>
      </c>
      <c r="G1301" t="s">
        <v>264</v>
      </c>
      <c r="H1301" t="s">
        <v>14</v>
      </c>
      <c r="I1301" t="s">
        <v>8</v>
      </c>
      <c r="J1301" t="s">
        <v>212</v>
      </c>
      <c r="K1301" t="s">
        <v>813</v>
      </c>
      <c r="L1301" t="s">
        <v>799</v>
      </c>
      <c r="M1301" t="s">
        <v>818</v>
      </c>
      <c r="N1301">
        <v>10</v>
      </c>
      <c r="O1301" s="3">
        <v>95.09</v>
      </c>
      <c r="P1301" s="3">
        <v>133.13</v>
      </c>
      <c r="Q1301" s="6">
        <v>0.05</v>
      </c>
      <c r="R1301" s="3">
        <v>1264.7349999999999</v>
      </c>
      <c r="S1301" t="s">
        <v>892</v>
      </c>
    </row>
    <row r="1302" spans="1:19" x14ac:dyDescent="0.35">
      <c r="A1302" t="s">
        <v>2776</v>
      </c>
      <c r="B1302" t="s">
        <v>597</v>
      </c>
      <c r="C1302" s="5">
        <v>45974</v>
      </c>
      <c r="E1302" t="s">
        <v>598</v>
      </c>
      <c r="F1302" t="s">
        <v>681</v>
      </c>
      <c r="G1302" t="s">
        <v>235</v>
      </c>
      <c r="H1302" t="s">
        <v>14</v>
      </c>
      <c r="I1302" t="s">
        <v>48</v>
      </c>
      <c r="J1302" t="s">
        <v>202</v>
      </c>
      <c r="K1302" t="s">
        <v>813</v>
      </c>
      <c r="L1302" t="s">
        <v>817</v>
      </c>
      <c r="M1302" t="s">
        <v>818</v>
      </c>
      <c r="N1302">
        <v>2</v>
      </c>
      <c r="O1302" s="3">
        <v>27</v>
      </c>
      <c r="P1302" s="3">
        <v>39.15</v>
      </c>
      <c r="Q1302" s="6">
        <v>0</v>
      </c>
      <c r="R1302" s="3">
        <v>78.3</v>
      </c>
      <c r="S1302" t="s">
        <v>825</v>
      </c>
    </row>
    <row r="1303" spans="1:19" x14ac:dyDescent="0.35">
      <c r="A1303" t="s">
        <v>2777</v>
      </c>
      <c r="B1303" t="s">
        <v>599</v>
      </c>
      <c r="C1303" s="5">
        <v>46023</v>
      </c>
      <c r="D1303" s="5">
        <v>46030</v>
      </c>
      <c r="E1303" t="s">
        <v>600</v>
      </c>
      <c r="F1303" t="s">
        <v>681</v>
      </c>
      <c r="G1303" t="s">
        <v>243</v>
      </c>
      <c r="H1303" t="s">
        <v>14</v>
      </c>
      <c r="I1303" t="s">
        <v>20</v>
      </c>
      <c r="J1303" t="s">
        <v>51</v>
      </c>
      <c r="K1303" t="s">
        <v>813</v>
      </c>
      <c r="L1303" t="s">
        <v>799</v>
      </c>
      <c r="M1303" t="s">
        <v>788</v>
      </c>
      <c r="N1303">
        <v>20</v>
      </c>
      <c r="O1303" s="3">
        <v>11.28</v>
      </c>
      <c r="P1303" s="3">
        <v>15.23</v>
      </c>
      <c r="Q1303" s="6">
        <v>0</v>
      </c>
      <c r="R1303" s="3">
        <v>304.60000000000002</v>
      </c>
      <c r="S1303" t="s">
        <v>946</v>
      </c>
    </row>
    <row r="1304" spans="1:19" x14ac:dyDescent="0.35">
      <c r="A1304" t="s">
        <v>2778</v>
      </c>
      <c r="B1304" t="s">
        <v>386</v>
      </c>
      <c r="C1304" s="5">
        <v>45574</v>
      </c>
      <c r="E1304" t="s">
        <v>387</v>
      </c>
      <c r="F1304" t="s">
        <v>254</v>
      </c>
      <c r="G1304" t="s">
        <v>243</v>
      </c>
      <c r="H1304" t="s">
        <v>797</v>
      </c>
      <c r="I1304" t="s">
        <v>14</v>
      </c>
      <c r="J1304" t="s">
        <v>150</v>
      </c>
      <c r="K1304" t="s">
        <v>813</v>
      </c>
      <c r="L1304" t="s">
        <v>787</v>
      </c>
      <c r="M1304" t="s">
        <v>818</v>
      </c>
      <c r="N1304">
        <v>5</v>
      </c>
      <c r="O1304" s="3">
        <v>5.81</v>
      </c>
      <c r="P1304" s="3">
        <v>7.55</v>
      </c>
      <c r="Q1304" s="6">
        <v>0.1</v>
      </c>
      <c r="R1304" s="3">
        <v>33.975000000000001</v>
      </c>
      <c r="S1304" t="s">
        <v>963</v>
      </c>
    </row>
    <row r="1305" spans="1:19" x14ac:dyDescent="0.35">
      <c r="A1305" t="s">
        <v>2779</v>
      </c>
      <c r="B1305" t="s">
        <v>479</v>
      </c>
      <c r="C1305" s="5">
        <v>45719</v>
      </c>
      <c r="E1305" t="s">
        <v>480</v>
      </c>
      <c r="F1305" t="s">
        <v>627</v>
      </c>
      <c r="G1305" t="s">
        <v>243</v>
      </c>
      <c r="H1305" t="s">
        <v>14</v>
      </c>
      <c r="I1305" t="s">
        <v>29</v>
      </c>
      <c r="J1305" t="s">
        <v>27</v>
      </c>
      <c r="K1305" t="s">
        <v>786</v>
      </c>
      <c r="L1305" t="s">
        <v>793</v>
      </c>
      <c r="M1305" t="s">
        <v>842</v>
      </c>
      <c r="N1305">
        <v>20</v>
      </c>
      <c r="O1305" s="3">
        <v>33.06</v>
      </c>
      <c r="P1305" s="3">
        <v>47.94</v>
      </c>
      <c r="Q1305" s="6">
        <v>0</v>
      </c>
      <c r="R1305" s="3">
        <v>958.8</v>
      </c>
      <c r="S1305" t="s">
        <v>829</v>
      </c>
    </row>
    <row r="1306" spans="1:19" x14ac:dyDescent="0.35">
      <c r="A1306" t="s">
        <v>2780</v>
      </c>
      <c r="B1306" t="s">
        <v>295</v>
      </c>
      <c r="C1306" s="5">
        <v>45563</v>
      </c>
      <c r="D1306" s="5">
        <v>45571</v>
      </c>
      <c r="E1306" t="s">
        <v>296</v>
      </c>
      <c r="F1306" t="s">
        <v>674</v>
      </c>
      <c r="G1306" t="s">
        <v>264</v>
      </c>
      <c r="H1306" t="s">
        <v>14</v>
      </c>
      <c r="I1306" t="s">
        <v>8</v>
      </c>
      <c r="J1306" t="s">
        <v>95</v>
      </c>
      <c r="K1306" t="s">
        <v>786</v>
      </c>
      <c r="L1306" t="s">
        <v>822</v>
      </c>
      <c r="M1306" t="s">
        <v>818</v>
      </c>
      <c r="N1306">
        <v>5</v>
      </c>
      <c r="O1306" s="3">
        <v>23.02</v>
      </c>
      <c r="P1306" s="3">
        <v>28.77</v>
      </c>
      <c r="Q1306" s="6">
        <v>0</v>
      </c>
      <c r="R1306" s="3">
        <v>143.85</v>
      </c>
      <c r="S1306" t="s">
        <v>834</v>
      </c>
    </row>
    <row r="1307" spans="1:19" x14ac:dyDescent="0.35">
      <c r="A1307" t="s">
        <v>2781</v>
      </c>
      <c r="B1307" t="s">
        <v>597</v>
      </c>
      <c r="C1307" s="5">
        <v>45642</v>
      </c>
      <c r="E1307" t="s">
        <v>598</v>
      </c>
      <c r="F1307" t="s">
        <v>633</v>
      </c>
      <c r="G1307" t="s">
        <v>235</v>
      </c>
      <c r="H1307" t="s">
        <v>20</v>
      </c>
      <c r="I1307" t="s">
        <v>20</v>
      </c>
      <c r="J1307" t="s">
        <v>159</v>
      </c>
      <c r="K1307" t="s">
        <v>786</v>
      </c>
      <c r="L1307" t="s">
        <v>793</v>
      </c>
      <c r="M1307" t="s">
        <v>800</v>
      </c>
      <c r="N1307">
        <v>10</v>
      </c>
      <c r="O1307" s="3">
        <v>8.2200000000000006</v>
      </c>
      <c r="P1307" s="3">
        <v>11.1</v>
      </c>
      <c r="Q1307" s="6">
        <v>0.15</v>
      </c>
      <c r="R1307" s="3">
        <v>94.35</v>
      </c>
      <c r="S1307" t="s">
        <v>825</v>
      </c>
    </row>
    <row r="1308" spans="1:19" x14ac:dyDescent="0.35">
      <c r="A1308" t="s">
        <v>2782</v>
      </c>
      <c r="B1308" t="s">
        <v>354</v>
      </c>
      <c r="C1308" s="5">
        <v>45626</v>
      </c>
      <c r="D1308" s="5">
        <v>45630</v>
      </c>
      <c r="E1308" t="s">
        <v>321</v>
      </c>
      <c r="F1308" t="s">
        <v>681</v>
      </c>
      <c r="G1308" t="s">
        <v>243</v>
      </c>
      <c r="H1308" t="s">
        <v>14</v>
      </c>
      <c r="I1308" t="s">
        <v>8</v>
      </c>
      <c r="J1308" t="s">
        <v>73</v>
      </c>
      <c r="K1308" t="s">
        <v>798</v>
      </c>
      <c r="L1308" t="s">
        <v>799</v>
      </c>
      <c r="M1308" t="s">
        <v>800</v>
      </c>
      <c r="N1308">
        <v>1</v>
      </c>
      <c r="O1308" s="3">
        <v>67.95</v>
      </c>
      <c r="P1308" s="3">
        <v>88.34</v>
      </c>
      <c r="Q1308" s="6">
        <v>0.1</v>
      </c>
      <c r="R1308" s="3">
        <v>79.506</v>
      </c>
      <c r="S1308" t="s">
        <v>794</v>
      </c>
    </row>
    <row r="1309" spans="1:19" x14ac:dyDescent="0.35">
      <c r="A1309" t="s">
        <v>2783</v>
      </c>
      <c r="B1309" t="s">
        <v>502</v>
      </c>
      <c r="C1309" s="5">
        <v>45314</v>
      </c>
      <c r="D1309" s="5">
        <v>45319</v>
      </c>
      <c r="E1309" t="s">
        <v>503</v>
      </c>
      <c r="F1309" t="s">
        <v>633</v>
      </c>
      <c r="G1309" t="s">
        <v>235</v>
      </c>
      <c r="H1309" t="s">
        <v>797</v>
      </c>
      <c r="I1309" t="s">
        <v>43</v>
      </c>
      <c r="J1309" t="s">
        <v>200</v>
      </c>
      <c r="K1309" t="s">
        <v>798</v>
      </c>
      <c r="L1309" t="s">
        <v>799</v>
      </c>
      <c r="M1309" t="s">
        <v>818</v>
      </c>
      <c r="N1309">
        <v>1</v>
      </c>
      <c r="O1309" s="3">
        <v>69.23</v>
      </c>
      <c r="P1309" s="3">
        <v>86.54</v>
      </c>
      <c r="Q1309" s="6">
        <v>0</v>
      </c>
      <c r="R1309" s="3">
        <v>86.54</v>
      </c>
      <c r="S1309" t="s">
        <v>803</v>
      </c>
    </row>
    <row r="1310" spans="1:19" x14ac:dyDescent="0.35">
      <c r="A1310" t="s">
        <v>2784</v>
      </c>
      <c r="B1310" t="s">
        <v>351</v>
      </c>
      <c r="C1310" s="5">
        <v>45555</v>
      </c>
      <c r="D1310" s="5">
        <v>45557</v>
      </c>
      <c r="E1310" t="s">
        <v>352</v>
      </c>
      <c r="F1310" t="s">
        <v>627</v>
      </c>
      <c r="G1310" t="s">
        <v>264</v>
      </c>
      <c r="H1310" t="s">
        <v>797</v>
      </c>
      <c r="I1310" t="s">
        <v>48</v>
      </c>
      <c r="J1310" t="s">
        <v>219</v>
      </c>
      <c r="K1310" t="s">
        <v>786</v>
      </c>
      <c r="L1310" t="s">
        <v>822</v>
      </c>
      <c r="M1310" t="s">
        <v>788</v>
      </c>
      <c r="N1310">
        <v>1</v>
      </c>
      <c r="O1310" s="3">
        <v>12.9</v>
      </c>
      <c r="P1310" s="3">
        <v>18.7</v>
      </c>
      <c r="Q1310" s="6">
        <v>0.05</v>
      </c>
      <c r="R1310" s="3">
        <v>17.765000000000001</v>
      </c>
      <c r="S1310" t="s">
        <v>888</v>
      </c>
    </row>
    <row r="1311" spans="1:19" x14ac:dyDescent="0.35">
      <c r="A1311" t="s">
        <v>2785</v>
      </c>
      <c r="B1311" t="s">
        <v>513</v>
      </c>
      <c r="C1311" s="5">
        <v>46006</v>
      </c>
      <c r="D1311" s="5">
        <v>46009</v>
      </c>
      <c r="E1311" t="s">
        <v>514</v>
      </c>
      <c r="F1311" t="s">
        <v>633</v>
      </c>
      <c r="G1311" t="s">
        <v>264</v>
      </c>
      <c r="H1311" t="s">
        <v>797</v>
      </c>
      <c r="I1311" t="s">
        <v>8</v>
      </c>
      <c r="J1311" t="s">
        <v>181</v>
      </c>
      <c r="K1311" t="s">
        <v>798</v>
      </c>
      <c r="L1311" t="s">
        <v>799</v>
      </c>
      <c r="M1311" t="s">
        <v>800</v>
      </c>
      <c r="N1311">
        <v>3</v>
      </c>
      <c r="O1311" s="3">
        <v>20.49</v>
      </c>
      <c r="P1311" s="3">
        <v>29.71</v>
      </c>
      <c r="Q1311" s="6">
        <v>0</v>
      </c>
      <c r="R1311" s="3">
        <v>89.13</v>
      </c>
      <c r="S1311" t="s">
        <v>794</v>
      </c>
    </row>
    <row r="1312" spans="1:19" x14ac:dyDescent="0.35">
      <c r="A1312" t="s">
        <v>2786</v>
      </c>
      <c r="B1312" t="s">
        <v>574</v>
      </c>
      <c r="C1312" s="5">
        <v>45930</v>
      </c>
      <c r="E1312" t="s">
        <v>458</v>
      </c>
      <c r="F1312" t="s">
        <v>254</v>
      </c>
      <c r="H1312" t="s">
        <v>20</v>
      </c>
      <c r="I1312" t="s">
        <v>48</v>
      </c>
      <c r="J1312" t="s">
        <v>139</v>
      </c>
      <c r="K1312" t="s">
        <v>786</v>
      </c>
      <c r="L1312" t="s">
        <v>787</v>
      </c>
      <c r="M1312" t="s">
        <v>818</v>
      </c>
      <c r="N1312">
        <v>20</v>
      </c>
      <c r="O1312" s="3">
        <v>29.93</v>
      </c>
      <c r="P1312" s="3">
        <v>41.9</v>
      </c>
      <c r="Q1312" s="6">
        <v>0.05</v>
      </c>
      <c r="R1312" s="3">
        <v>796.1</v>
      </c>
      <c r="S1312" t="s">
        <v>888</v>
      </c>
    </row>
    <row r="1313" spans="1:19" x14ac:dyDescent="0.35">
      <c r="A1313" t="s">
        <v>2787</v>
      </c>
      <c r="B1313" t="s">
        <v>266</v>
      </c>
      <c r="C1313" s="5">
        <v>45716</v>
      </c>
      <c r="E1313" t="s">
        <v>267</v>
      </c>
      <c r="F1313" t="s">
        <v>633</v>
      </c>
      <c r="G1313" t="s">
        <v>243</v>
      </c>
      <c r="H1313" t="s">
        <v>48</v>
      </c>
      <c r="I1313" t="s">
        <v>8</v>
      </c>
      <c r="J1313" t="s">
        <v>181</v>
      </c>
      <c r="K1313" t="s">
        <v>813</v>
      </c>
      <c r="L1313" t="s">
        <v>793</v>
      </c>
      <c r="M1313" t="s">
        <v>818</v>
      </c>
      <c r="N1313">
        <v>12</v>
      </c>
      <c r="O1313" s="3">
        <v>20.49</v>
      </c>
      <c r="P1313" s="3">
        <v>29.71</v>
      </c>
      <c r="Q1313" s="6">
        <v>0.05</v>
      </c>
      <c r="R1313" s="3">
        <v>338.69399999999996</v>
      </c>
      <c r="S1313" t="s">
        <v>803</v>
      </c>
    </row>
    <row r="1314" spans="1:19" x14ac:dyDescent="0.35">
      <c r="A1314" t="s">
        <v>2788</v>
      </c>
      <c r="B1314" t="s">
        <v>481</v>
      </c>
      <c r="C1314" s="5">
        <v>45511</v>
      </c>
      <c r="D1314" s="5">
        <v>45517</v>
      </c>
      <c r="E1314" t="s">
        <v>482</v>
      </c>
      <c r="F1314" t="s">
        <v>637</v>
      </c>
      <c r="G1314" t="s">
        <v>264</v>
      </c>
      <c r="H1314" t="s">
        <v>797</v>
      </c>
      <c r="I1314" t="s">
        <v>48</v>
      </c>
      <c r="J1314" t="s">
        <v>190</v>
      </c>
      <c r="K1314" t="s">
        <v>798</v>
      </c>
      <c r="L1314" t="s">
        <v>799</v>
      </c>
      <c r="M1314" t="s">
        <v>800</v>
      </c>
      <c r="N1314">
        <v>3</v>
      </c>
      <c r="O1314" s="3">
        <v>21.56</v>
      </c>
      <c r="P1314" s="3">
        <v>31.26</v>
      </c>
      <c r="Q1314" s="6">
        <v>0</v>
      </c>
      <c r="R1314" s="3">
        <v>93.78</v>
      </c>
      <c r="S1314" t="s">
        <v>946</v>
      </c>
    </row>
    <row r="1315" spans="1:19" x14ac:dyDescent="0.35">
      <c r="A1315" t="s">
        <v>2789</v>
      </c>
      <c r="B1315" t="s">
        <v>312</v>
      </c>
      <c r="C1315" s="5">
        <v>45899</v>
      </c>
      <c r="E1315" t="s">
        <v>313</v>
      </c>
      <c r="F1315" t="s">
        <v>254</v>
      </c>
      <c r="G1315" t="s">
        <v>235</v>
      </c>
      <c r="H1315" t="s">
        <v>797</v>
      </c>
      <c r="I1315" t="s">
        <v>14</v>
      </c>
      <c r="J1315" t="s">
        <v>111</v>
      </c>
      <c r="K1315" t="s">
        <v>786</v>
      </c>
      <c r="L1315" t="s">
        <v>787</v>
      </c>
      <c r="M1315" t="s">
        <v>818</v>
      </c>
      <c r="N1315">
        <v>1</v>
      </c>
      <c r="O1315" s="3">
        <v>19.850000000000001</v>
      </c>
      <c r="P1315" s="3">
        <v>28.78</v>
      </c>
      <c r="Q1315" s="6">
        <v>0.05</v>
      </c>
      <c r="R1315" s="3">
        <v>27.341000000000001</v>
      </c>
      <c r="S1315" t="s">
        <v>834</v>
      </c>
    </row>
    <row r="1316" spans="1:19" x14ac:dyDescent="0.35">
      <c r="A1316" t="s">
        <v>2790</v>
      </c>
      <c r="B1316" t="s">
        <v>353</v>
      </c>
      <c r="C1316" s="5">
        <v>46006</v>
      </c>
      <c r="E1316" t="s">
        <v>258</v>
      </c>
      <c r="F1316" t="s">
        <v>254</v>
      </c>
      <c r="G1316" t="s">
        <v>264</v>
      </c>
      <c r="H1316" t="s">
        <v>797</v>
      </c>
      <c r="I1316" t="s">
        <v>20</v>
      </c>
      <c r="J1316" t="s">
        <v>163</v>
      </c>
      <c r="K1316" t="s">
        <v>813</v>
      </c>
      <c r="L1316" t="s">
        <v>787</v>
      </c>
      <c r="M1316" t="s">
        <v>800</v>
      </c>
      <c r="N1316">
        <v>2</v>
      </c>
      <c r="O1316" s="3">
        <v>55.3</v>
      </c>
      <c r="P1316" s="3">
        <v>74.66</v>
      </c>
      <c r="Q1316" s="6">
        <v>0.15</v>
      </c>
      <c r="R1316" s="3">
        <v>126.922</v>
      </c>
      <c r="S1316" t="s">
        <v>825</v>
      </c>
    </row>
    <row r="1317" spans="1:19" x14ac:dyDescent="0.35">
      <c r="A1317" t="s">
        <v>2791</v>
      </c>
      <c r="B1317" t="s">
        <v>575</v>
      </c>
      <c r="C1317" s="5">
        <v>46008</v>
      </c>
      <c r="E1317" t="s">
        <v>439</v>
      </c>
      <c r="F1317" t="s">
        <v>627</v>
      </c>
      <c r="G1317" t="s">
        <v>264</v>
      </c>
      <c r="H1317" t="s">
        <v>797</v>
      </c>
      <c r="I1317" t="s">
        <v>14</v>
      </c>
      <c r="J1317" t="s">
        <v>90</v>
      </c>
      <c r="K1317" t="s">
        <v>813</v>
      </c>
      <c r="L1317" t="s">
        <v>793</v>
      </c>
      <c r="M1317" t="s">
        <v>842</v>
      </c>
      <c r="N1317">
        <v>10</v>
      </c>
      <c r="O1317" s="3">
        <v>27.34</v>
      </c>
      <c r="P1317" s="3">
        <v>39.64</v>
      </c>
      <c r="Q1317" s="6">
        <v>0</v>
      </c>
      <c r="R1317" s="3">
        <v>396.4</v>
      </c>
      <c r="S1317" t="s">
        <v>803</v>
      </c>
    </row>
    <row r="1318" spans="1:19" x14ac:dyDescent="0.35">
      <c r="A1318" t="s">
        <v>2792</v>
      </c>
      <c r="B1318" t="s">
        <v>557</v>
      </c>
      <c r="C1318" s="5">
        <v>45376</v>
      </c>
      <c r="E1318" t="s">
        <v>558</v>
      </c>
      <c r="F1318" t="s">
        <v>254</v>
      </c>
      <c r="G1318" t="s">
        <v>235</v>
      </c>
      <c r="H1318" t="s">
        <v>20</v>
      </c>
      <c r="I1318" t="s">
        <v>8</v>
      </c>
      <c r="J1318" t="s">
        <v>162</v>
      </c>
      <c r="K1318" t="s">
        <v>813</v>
      </c>
      <c r="L1318" t="s">
        <v>787</v>
      </c>
      <c r="M1318" t="s">
        <v>818</v>
      </c>
      <c r="N1318">
        <v>5</v>
      </c>
      <c r="O1318" s="3">
        <v>29.86</v>
      </c>
      <c r="P1318" s="3">
        <v>38.82</v>
      </c>
      <c r="Q1318" s="6">
        <v>0.05</v>
      </c>
      <c r="R1318" s="3">
        <v>184.39499999999998</v>
      </c>
      <c r="S1318" t="s">
        <v>919</v>
      </c>
    </row>
    <row r="1319" spans="1:19" x14ac:dyDescent="0.35">
      <c r="A1319" t="s">
        <v>2793</v>
      </c>
      <c r="B1319" t="s">
        <v>419</v>
      </c>
      <c r="C1319" s="5">
        <v>45565</v>
      </c>
      <c r="D1319" s="5">
        <v>45575</v>
      </c>
      <c r="E1319" t="s">
        <v>420</v>
      </c>
      <c r="F1319" t="s">
        <v>627</v>
      </c>
      <c r="G1319" t="s">
        <v>243</v>
      </c>
      <c r="H1319" t="s">
        <v>20</v>
      </c>
      <c r="I1319" t="s">
        <v>8</v>
      </c>
      <c r="J1319" t="s">
        <v>198</v>
      </c>
      <c r="K1319" t="s">
        <v>813</v>
      </c>
      <c r="L1319" t="s">
        <v>799</v>
      </c>
      <c r="M1319" t="s">
        <v>788</v>
      </c>
      <c r="N1319">
        <v>2</v>
      </c>
      <c r="O1319" s="3">
        <v>30.64</v>
      </c>
      <c r="P1319" s="3">
        <v>42.9</v>
      </c>
      <c r="Q1319" s="6">
        <v>0</v>
      </c>
      <c r="R1319" s="3">
        <v>85.8</v>
      </c>
      <c r="S1319" t="s">
        <v>845</v>
      </c>
    </row>
    <row r="1320" spans="1:19" x14ac:dyDescent="0.35">
      <c r="A1320" t="s">
        <v>2794</v>
      </c>
      <c r="B1320" t="s">
        <v>568</v>
      </c>
      <c r="C1320" s="5">
        <v>45558</v>
      </c>
      <c r="D1320" s="5">
        <v>45564</v>
      </c>
      <c r="E1320" t="s">
        <v>360</v>
      </c>
      <c r="F1320" t="s">
        <v>637</v>
      </c>
      <c r="H1320" t="s">
        <v>14</v>
      </c>
      <c r="I1320" t="s">
        <v>43</v>
      </c>
      <c r="J1320" t="s">
        <v>99</v>
      </c>
      <c r="K1320" t="s">
        <v>813</v>
      </c>
      <c r="L1320" t="s">
        <v>799</v>
      </c>
      <c r="M1320" t="s">
        <v>800</v>
      </c>
      <c r="N1320">
        <v>12</v>
      </c>
      <c r="O1320" s="3">
        <v>10.88</v>
      </c>
      <c r="P1320" s="3">
        <v>15.78</v>
      </c>
      <c r="Q1320" s="6">
        <v>0</v>
      </c>
      <c r="R1320" s="3">
        <v>189.35999999999999</v>
      </c>
      <c r="S1320" t="s">
        <v>935</v>
      </c>
    </row>
    <row r="1321" spans="1:19" x14ac:dyDescent="0.35">
      <c r="A1321" t="s">
        <v>2795</v>
      </c>
      <c r="B1321" t="s">
        <v>585</v>
      </c>
      <c r="C1321" s="5">
        <v>45972</v>
      </c>
      <c r="D1321" s="5">
        <v>45979</v>
      </c>
      <c r="E1321" t="s">
        <v>586</v>
      </c>
      <c r="F1321" t="s">
        <v>696</v>
      </c>
      <c r="G1321" t="s">
        <v>235</v>
      </c>
      <c r="H1321" t="s">
        <v>20</v>
      </c>
      <c r="I1321" t="s">
        <v>14</v>
      </c>
      <c r="J1321" t="s">
        <v>67</v>
      </c>
      <c r="K1321" t="s">
        <v>798</v>
      </c>
      <c r="L1321" t="s">
        <v>799</v>
      </c>
      <c r="M1321" t="s">
        <v>800</v>
      </c>
      <c r="N1321">
        <v>3</v>
      </c>
      <c r="O1321" s="3">
        <v>17.63</v>
      </c>
      <c r="P1321" s="3">
        <v>22.92</v>
      </c>
      <c r="Q1321" s="6">
        <v>0.15</v>
      </c>
      <c r="R1321" s="3">
        <v>58.446000000000005</v>
      </c>
      <c r="S1321" t="s">
        <v>1001</v>
      </c>
    </row>
    <row r="1322" spans="1:19" x14ac:dyDescent="0.35">
      <c r="A1322" t="s">
        <v>2796</v>
      </c>
      <c r="B1322" t="s">
        <v>428</v>
      </c>
      <c r="C1322" s="5">
        <v>45720</v>
      </c>
      <c r="E1322" t="s">
        <v>429</v>
      </c>
      <c r="F1322" t="s">
        <v>681</v>
      </c>
      <c r="G1322" t="s">
        <v>264</v>
      </c>
      <c r="H1322" t="s">
        <v>797</v>
      </c>
      <c r="I1322" t="s">
        <v>29</v>
      </c>
      <c r="J1322" t="s">
        <v>182</v>
      </c>
      <c r="K1322" t="s">
        <v>798</v>
      </c>
      <c r="L1322" t="s">
        <v>787</v>
      </c>
      <c r="M1322" t="s">
        <v>788</v>
      </c>
      <c r="N1322">
        <v>10</v>
      </c>
      <c r="O1322" s="3">
        <v>19.77</v>
      </c>
      <c r="P1322" s="3">
        <v>27.68</v>
      </c>
      <c r="Q1322" s="6">
        <v>0</v>
      </c>
      <c r="R1322" s="3">
        <v>276.8</v>
      </c>
      <c r="S1322" t="s">
        <v>834</v>
      </c>
    </row>
    <row r="1323" spans="1:19" x14ac:dyDescent="0.35">
      <c r="A1323" t="s">
        <v>2797</v>
      </c>
      <c r="B1323" t="s">
        <v>334</v>
      </c>
      <c r="C1323" s="5">
        <v>45352</v>
      </c>
      <c r="E1323" t="s">
        <v>335</v>
      </c>
      <c r="F1323" t="s">
        <v>674</v>
      </c>
      <c r="G1323" t="s">
        <v>243</v>
      </c>
      <c r="H1323" t="s">
        <v>797</v>
      </c>
      <c r="I1323" t="s">
        <v>14</v>
      </c>
      <c r="J1323" t="s">
        <v>209</v>
      </c>
      <c r="K1323" t="s">
        <v>798</v>
      </c>
      <c r="L1323" t="s">
        <v>787</v>
      </c>
      <c r="M1323" t="s">
        <v>842</v>
      </c>
      <c r="N1323">
        <v>1</v>
      </c>
      <c r="O1323" s="3">
        <v>24.18</v>
      </c>
      <c r="P1323" s="3">
        <v>33.85</v>
      </c>
      <c r="Q1323" s="6">
        <v>0</v>
      </c>
      <c r="R1323" s="3">
        <v>33.85</v>
      </c>
      <c r="S1323" t="s">
        <v>1134</v>
      </c>
    </row>
    <row r="1324" spans="1:19" x14ac:dyDescent="0.35">
      <c r="A1324" t="s">
        <v>2798</v>
      </c>
      <c r="B1324" t="s">
        <v>545</v>
      </c>
      <c r="C1324" s="5">
        <v>45996</v>
      </c>
      <c r="E1324" t="s">
        <v>546</v>
      </c>
      <c r="F1324" t="s">
        <v>674</v>
      </c>
      <c r="G1324" t="s">
        <v>235</v>
      </c>
      <c r="H1324" t="s">
        <v>20</v>
      </c>
      <c r="I1324" t="s">
        <v>14</v>
      </c>
      <c r="J1324" t="s">
        <v>16</v>
      </c>
      <c r="K1324" t="s">
        <v>798</v>
      </c>
      <c r="L1324" t="s">
        <v>787</v>
      </c>
      <c r="M1324" t="s">
        <v>800</v>
      </c>
      <c r="N1324">
        <v>5</v>
      </c>
      <c r="O1324" s="3">
        <v>56.69</v>
      </c>
      <c r="P1324" s="3">
        <v>79.37</v>
      </c>
      <c r="Q1324" s="6">
        <v>0.15</v>
      </c>
      <c r="R1324" s="3">
        <v>337.32249999999999</v>
      </c>
      <c r="S1324" t="s">
        <v>963</v>
      </c>
    </row>
    <row r="1325" spans="1:19" x14ac:dyDescent="0.35">
      <c r="A1325" t="s">
        <v>2799</v>
      </c>
      <c r="B1325" t="s">
        <v>270</v>
      </c>
      <c r="C1325" s="5">
        <v>45776</v>
      </c>
      <c r="E1325" t="s">
        <v>231</v>
      </c>
      <c r="F1325" t="s">
        <v>633</v>
      </c>
      <c r="G1325" t="s">
        <v>235</v>
      </c>
      <c r="H1325" t="s">
        <v>797</v>
      </c>
      <c r="I1325" t="s">
        <v>79</v>
      </c>
      <c r="J1325" t="s">
        <v>108</v>
      </c>
      <c r="K1325" t="s">
        <v>813</v>
      </c>
      <c r="L1325" t="s">
        <v>787</v>
      </c>
      <c r="M1325" t="s">
        <v>842</v>
      </c>
      <c r="N1325">
        <v>5</v>
      </c>
      <c r="O1325" s="3">
        <v>9.3000000000000007</v>
      </c>
      <c r="P1325" s="3">
        <v>12.56</v>
      </c>
      <c r="Q1325" s="6">
        <v>0</v>
      </c>
      <c r="R1325" s="3">
        <v>62.800000000000004</v>
      </c>
      <c r="S1325" t="s">
        <v>935</v>
      </c>
    </row>
    <row r="1326" spans="1:19" x14ac:dyDescent="0.35">
      <c r="A1326" t="s">
        <v>2800</v>
      </c>
      <c r="B1326" t="s">
        <v>495</v>
      </c>
      <c r="C1326" s="5">
        <v>45483</v>
      </c>
      <c r="D1326" s="5">
        <v>45490</v>
      </c>
      <c r="E1326" t="s">
        <v>496</v>
      </c>
      <c r="F1326" t="s">
        <v>681</v>
      </c>
      <c r="G1326" t="s">
        <v>264</v>
      </c>
      <c r="H1326" t="s">
        <v>48</v>
      </c>
      <c r="I1326" t="s">
        <v>8</v>
      </c>
      <c r="J1326" t="s">
        <v>6</v>
      </c>
      <c r="K1326" t="s">
        <v>786</v>
      </c>
      <c r="L1326" t="s">
        <v>799</v>
      </c>
      <c r="M1326" t="s">
        <v>818</v>
      </c>
      <c r="N1326">
        <v>10</v>
      </c>
      <c r="O1326" s="3">
        <v>32.24</v>
      </c>
      <c r="P1326" s="3">
        <v>41.91</v>
      </c>
      <c r="Q1326" s="6">
        <v>0</v>
      </c>
      <c r="R1326" s="3">
        <v>419.09999999999997</v>
      </c>
      <c r="S1326" t="s">
        <v>1134</v>
      </c>
    </row>
    <row r="1327" spans="1:19" x14ac:dyDescent="0.35">
      <c r="A1327" t="s">
        <v>2801</v>
      </c>
      <c r="B1327" t="s">
        <v>606</v>
      </c>
      <c r="C1327" s="5">
        <v>45966</v>
      </c>
      <c r="D1327" s="5">
        <v>45968</v>
      </c>
      <c r="E1327" t="s">
        <v>600</v>
      </c>
      <c r="F1327" t="s">
        <v>627</v>
      </c>
      <c r="H1327" t="s">
        <v>20</v>
      </c>
      <c r="I1327" t="s">
        <v>14</v>
      </c>
      <c r="J1327" t="s">
        <v>128</v>
      </c>
      <c r="K1327" t="s">
        <v>813</v>
      </c>
      <c r="L1327" t="s">
        <v>799</v>
      </c>
      <c r="M1327" t="s">
        <v>788</v>
      </c>
      <c r="N1327">
        <v>3</v>
      </c>
      <c r="O1327" s="3">
        <v>18.850000000000001</v>
      </c>
      <c r="P1327" s="3">
        <v>27.33</v>
      </c>
      <c r="Q1327" s="6">
        <v>0</v>
      </c>
      <c r="R1327" s="3">
        <v>81.99</v>
      </c>
      <c r="S1327" t="s">
        <v>876</v>
      </c>
    </row>
    <row r="1328" spans="1:19" x14ac:dyDescent="0.35">
      <c r="A1328" t="s">
        <v>2802</v>
      </c>
      <c r="B1328" t="s">
        <v>351</v>
      </c>
      <c r="C1328" s="5">
        <v>45790</v>
      </c>
      <c r="D1328" s="5">
        <v>45797</v>
      </c>
      <c r="E1328" t="s">
        <v>352</v>
      </c>
      <c r="F1328" t="s">
        <v>254</v>
      </c>
      <c r="G1328" t="s">
        <v>264</v>
      </c>
      <c r="H1328" t="s">
        <v>20</v>
      </c>
      <c r="I1328" t="s">
        <v>14</v>
      </c>
      <c r="J1328" t="s">
        <v>209</v>
      </c>
      <c r="K1328" t="s">
        <v>798</v>
      </c>
      <c r="L1328" t="s">
        <v>799</v>
      </c>
      <c r="M1328" t="s">
        <v>800</v>
      </c>
      <c r="N1328">
        <v>3</v>
      </c>
      <c r="O1328" s="3">
        <v>24.18</v>
      </c>
      <c r="P1328" s="3">
        <v>33.85</v>
      </c>
      <c r="Q1328" s="6">
        <v>0</v>
      </c>
      <c r="R1328" s="3">
        <v>101.55000000000001</v>
      </c>
      <c r="S1328" t="s">
        <v>810</v>
      </c>
    </row>
    <row r="1329" spans="1:19" x14ac:dyDescent="0.35">
      <c r="A1329" t="s">
        <v>2803</v>
      </c>
      <c r="B1329" t="s">
        <v>563</v>
      </c>
      <c r="C1329" s="5">
        <v>45331</v>
      </c>
      <c r="E1329" t="s">
        <v>311</v>
      </c>
      <c r="F1329" t="s">
        <v>633</v>
      </c>
      <c r="G1329" t="s">
        <v>264</v>
      </c>
      <c r="H1329" t="s">
        <v>20</v>
      </c>
      <c r="I1329" t="s">
        <v>8</v>
      </c>
      <c r="J1329" t="s">
        <v>91</v>
      </c>
      <c r="K1329" t="s">
        <v>786</v>
      </c>
      <c r="L1329" t="s">
        <v>793</v>
      </c>
      <c r="M1329" t="s">
        <v>842</v>
      </c>
      <c r="N1329">
        <v>2</v>
      </c>
      <c r="O1329" s="3">
        <v>36.82</v>
      </c>
      <c r="P1329" s="3">
        <v>47.87</v>
      </c>
      <c r="Q1329" s="6">
        <v>0</v>
      </c>
      <c r="R1329" s="3">
        <v>95.74</v>
      </c>
      <c r="S1329" t="s">
        <v>819</v>
      </c>
    </row>
    <row r="1330" spans="1:19" x14ac:dyDescent="0.35">
      <c r="A1330" t="s">
        <v>2804</v>
      </c>
      <c r="B1330" t="s">
        <v>382</v>
      </c>
      <c r="C1330" s="5">
        <v>45805</v>
      </c>
      <c r="D1330" s="5">
        <v>45814</v>
      </c>
      <c r="E1330" t="s">
        <v>383</v>
      </c>
      <c r="F1330" t="s">
        <v>674</v>
      </c>
      <c r="G1330" t="s">
        <v>264</v>
      </c>
      <c r="H1330" t="s">
        <v>797</v>
      </c>
      <c r="I1330" t="s">
        <v>8</v>
      </c>
      <c r="J1330" t="s">
        <v>207</v>
      </c>
      <c r="K1330" t="s">
        <v>798</v>
      </c>
      <c r="L1330" t="s">
        <v>799</v>
      </c>
      <c r="M1330" t="s">
        <v>800</v>
      </c>
      <c r="N1330">
        <v>3</v>
      </c>
      <c r="O1330" s="3">
        <v>8.5399999999999991</v>
      </c>
      <c r="P1330" s="3">
        <v>10.67</v>
      </c>
      <c r="Q1330" s="6">
        <v>0.1</v>
      </c>
      <c r="R1330" s="3">
        <v>28.808999999999997</v>
      </c>
      <c r="S1330" t="s">
        <v>935</v>
      </c>
    </row>
    <row r="1331" spans="1:19" x14ac:dyDescent="0.35">
      <c r="A1331" t="s">
        <v>2805</v>
      </c>
      <c r="B1331" t="s">
        <v>556</v>
      </c>
      <c r="C1331" s="5">
        <v>45896</v>
      </c>
      <c r="D1331" s="5">
        <v>45905</v>
      </c>
      <c r="E1331" t="s">
        <v>472</v>
      </c>
      <c r="F1331" t="s">
        <v>674</v>
      </c>
      <c r="G1331" t="s">
        <v>235</v>
      </c>
      <c r="H1331" t="s">
        <v>797</v>
      </c>
      <c r="I1331" t="s">
        <v>48</v>
      </c>
      <c r="J1331" t="s">
        <v>210</v>
      </c>
      <c r="K1331" t="s">
        <v>786</v>
      </c>
      <c r="L1331" t="s">
        <v>799</v>
      </c>
      <c r="M1331" t="s">
        <v>818</v>
      </c>
      <c r="N1331">
        <v>3</v>
      </c>
      <c r="O1331" s="3">
        <v>25.36</v>
      </c>
      <c r="P1331" s="3">
        <v>34.24</v>
      </c>
      <c r="Q1331" s="6">
        <v>0.15</v>
      </c>
      <c r="R1331" s="3">
        <v>87.311999999999998</v>
      </c>
      <c r="S1331" t="s">
        <v>803</v>
      </c>
    </row>
    <row r="1332" spans="1:19" x14ac:dyDescent="0.35">
      <c r="A1332" t="s">
        <v>2806</v>
      </c>
      <c r="B1332" t="s">
        <v>607</v>
      </c>
      <c r="C1332" s="5">
        <v>45589</v>
      </c>
      <c r="E1332" t="s">
        <v>608</v>
      </c>
      <c r="F1332" t="s">
        <v>696</v>
      </c>
      <c r="G1332" t="s">
        <v>264</v>
      </c>
      <c r="H1332" t="s">
        <v>797</v>
      </c>
      <c r="I1332" t="s">
        <v>8</v>
      </c>
      <c r="J1332" t="s">
        <v>162</v>
      </c>
      <c r="K1332" t="s">
        <v>798</v>
      </c>
      <c r="L1332" t="s">
        <v>793</v>
      </c>
      <c r="M1332" t="s">
        <v>842</v>
      </c>
      <c r="N1332">
        <v>10</v>
      </c>
      <c r="O1332" s="3">
        <v>29.86</v>
      </c>
      <c r="P1332" s="3">
        <v>38.82</v>
      </c>
      <c r="Q1332" s="6">
        <v>0.05</v>
      </c>
      <c r="R1332" s="3">
        <v>368.78999999999996</v>
      </c>
      <c r="S1332" t="s">
        <v>876</v>
      </c>
    </row>
    <row r="1333" spans="1:19" x14ac:dyDescent="0.35">
      <c r="A1333" t="s">
        <v>2807</v>
      </c>
      <c r="B1333" t="s">
        <v>541</v>
      </c>
      <c r="C1333" s="5">
        <v>45766</v>
      </c>
      <c r="E1333" t="s">
        <v>542</v>
      </c>
      <c r="F1333" t="s">
        <v>674</v>
      </c>
      <c r="G1333" t="s">
        <v>235</v>
      </c>
      <c r="H1333" t="s">
        <v>48</v>
      </c>
      <c r="I1333" t="s">
        <v>14</v>
      </c>
      <c r="J1333" t="s">
        <v>12</v>
      </c>
      <c r="K1333" t="s">
        <v>786</v>
      </c>
      <c r="L1333" t="s">
        <v>793</v>
      </c>
      <c r="M1333" t="s">
        <v>800</v>
      </c>
      <c r="N1333">
        <v>5</v>
      </c>
      <c r="O1333" s="3">
        <v>35.03</v>
      </c>
      <c r="P1333" s="3">
        <v>50.79</v>
      </c>
      <c r="Q1333" s="6">
        <v>0</v>
      </c>
      <c r="R1333" s="3">
        <v>253.95</v>
      </c>
      <c r="S1333" t="s">
        <v>869</v>
      </c>
    </row>
    <row r="1334" spans="1:19" x14ac:dyDescent="0.35">
      <c r="A1334" t="s">
        <v>2808</v>
      </c>
      <c r="B1334" t="s">
        <v>576</v>
      </c>
      <c r="C1334" s="5">
        <v>45331</v>
      </c>
      <c r="D1334" s="5">
        <v>45335</v>
      </c>
      <c r="E1334" t="s">
        <v>577</v>
      </c>
      <c r="F1334" t="s">
        <v>627</v>
      </c>
      <c r="G1334" t="s">
        <v>243</v>
      </c>
      <c r="H1334" t="s">
        <v>797</v>
      </c>
      <c r="I1334" t="s">
        <v>43</v>
      </c>
      <c r="J1334" t="s">
        <v>215</v>
      </c>
      <c r="K1334" t="s">
        <v>798</v>
      </c>
      <c r="L1334" t="s">
        <v>799</v>
      </c>
      <c r="M1334" t="s">
        <v>842</v>
      </c>
      <c r="N1334">
        <v>10</v>
      </c>
      <c r="O1334" s="3">
        <v>28.96</v>
      </c>
      <c r="P1334" s="3">
        <v>40.54</v>
      </c>
      <c r="Q1334" s="6">
        <v>0</v>
      </c>
      <c r="R1334" s="3">
        <v>405.4</v>
      </c>
      <c r="S1334" t="s">
        <v>845</v>
      </c>
    </row>
    <row r="1335" spans="1:19" x14ac:dyDescent="0.35">
      <c r="A1335" t="s">
        <v>2809</v>
      </c>
      <c r="B1335" t="s">
        <v>481</v>
      </c>
      <c r="C1335" s="5">
        <v>45698</v>
      </c>
      <c r="E1335" t="s">
        <v>482</v>
      </c>
      <c r="F1335" t="s">
        <v>254</v>
      </c>
      <c r="G1335" t="s">
        <v>264</v>
      </c>
      <c r="H1335" t="s">
        <v>48</v>
      </c>
      <c r="I1335" t="s">
        <v>29</v>
      </c>
      <c r="J1335" t="s">
        <v>158</v>
      </c>
      <c r="K1335" t="s">
        <v>786</v>
      </c>
      <c r="L1335" t="s">
        <v>793</v>
      </c>
      <c r="M1335" t="s">
        <v>818</v>
      </c>
      <c r="N1335">
        <v>1</v>
      </c>
      <c r="O1335" s="3">
        <v>25.8</v>
      </c>
      <c r="P1335" s="3">
        <v>36.119999999999997</v>
      </c>
      <c r="Q1335" s="6">
        <v>0</v>
      </c>
      <c r="R1335" s="3">
        <v>36.119999999999997</v>
      </c>
      <c r="S1335" t="s">
        <v>892</v>
      </c>
    </row>
    <row r="1336" spans="1:19" x14ac:dyDescent="0.35">
      <c r="A1336" t="s">
        <v>2810</v>
      </c>
      <c r="B1336" t="s">
        <v>426</v>
      </c>
      <c r="C1336" s="5">
        <v>46042</v>
      </c>
      <c r="E1336" t="s">
        <v>427</v>
      </c>
      <c r="F1336" t="s">
        <v>637</v>
      </c>
      <c r="G1336" t="s">
        <v>264</v>
      </c>
      <c r="H1336" t="s">
        <v>14</v>
      </c>
      <c r="I1336" t="s">
        <v>29</v>
      </c>
      <c r="J1336" t="s">
        <v>176</v>
      </c>
      <c r="K1336" t="s">
        <v>813</v>
      </c>
      <c r="L1336" t="s">
        <v>817</v>
      </c>
      <c r="M1336" t="s">
        <v>788</v>
      </c>
      <c r="N1336">
        <v>5</v>
      </c>
      <c r="O1336" s="3">
        <v>25.88</v>
      </c>
      <c r="P1336" s="3">
        <v>36.229999999999997</v>
      </c>
      <c r="Q1336" s="6">
        <v>0.1</v>
      </c>
      <c r="R1336" s="3">
        <v>163.03499999999997</v>
      </c>
      <c r="S1336" t="s">
        <v>825</v>
      </c>
    </row>
    <row r="1337" spans="1:19" x14ac:dyDescent="0.35">
      <c r="A1337" t="s">
        <v>2811</v>
      </c>
      <c r="B1337" t="s">
        <v>616</v>
      </c>
      <c r="C1337" s="5">
        <v>45857</v>
      </c>
      <c r="E1337" t="s">
        <v>231</v>
      </c>
      <c r="F1337" t="s">
        <v>254</v>
      </c>
      <c r="G1337" t="s">
        <v>264</v>
      </c>
      <c r="H1337" t="s">
        <v>20</v>
      </c>
      <c r="I1337" t="s">
        <v>38</v>
      </c>
      <c r="J1337" t="s">
        <v>69</v>
      </c>
      <c r="K1337" t="s">
        <v>786</v>
      </c>
      <c r="L1337" t="s">
        <v>793</v>
      </c>
      <c r="M1337" t="s">
        <v>800</v>
      </c>
      <c r="N1337">
        <v>5</v>
      </c>
      <c r="O1337" s="3">
        <v>20.9</v>
      </c>
      <c r="P1337" s="3">
        <v>28.21</v>
      </c>
      <c r="Q1337" s="6">
        <v>0</v>
      </c>
      <c r="R1337" s="3">
        <v>141.05000000000001</v>
      </c>
      <c r="S1337" t="s">
        <v>790</v>
      </c>
    </row>
    <row r="1338" spans="1:19" x14ac:dyDescent="0.35">
      <c r="A1338" t="s">
        <v>2812</v>
      </c>
      <c r="B1338" t="s">
        <v>248</v>
      </c>
      <c r="C1338" s="5">
        <v>45963</v>
      </c>
      <c r="E1338" t="s">
        <v>249</v>
      </c>
      <c r="F1338" t="s">
        <v>681</v>
      </c>
      <c r="H1338" t="s">
        <v>797</v>
      </c>
      <c r="I1338" t="s">
        <v>43</v>
      </c>
      <c r="J1338" t="s">
        <v>99</v>
      </c>
      <c r="K1338" t="s">
        <v>798</v>
      </c>
      <c r="L1338" t="s">
        <v>793</v>
      </c>
      <c r="M1338" t="s">
        <v>818</v>
      </c>
      <c r="N1338">
        <v>12</v>
      </c>
      <c r="O1338" s="3">
        <v>10.88</v>
      </c>
      <c r="P1338" s="3">
        <v>15.78</v>
      </c>
      <c r="Q1338" s="6">
        <v>0</v>
      </c>
      <c r="R1338" s="3">
        <v>189.35999999999999</v>
      </c>
      <c r="S1338" t="s">
        <v>919</v>
      </c>
    </row>
    <row r="1339" spans="1:19" x14ac:dyDescent="0.35">
      <c r="A1339" t="s">
        <v>2813</v>
      </c>
      <c r="B1339" t="s">
        <v>362</v>
      </c>
      <c r="C1339" s="5">
        <v>45424</v>
      </c>
      <c r="E1339" t="s">
        <v>363</v>
      </c>
      <c r="F1339" t="s">
        <v>681</v>
      </c>
      <c r="G1339" t="s">
        <v>235</v>
      </c>
      <c r="H1339" t="s">
        <v>797</v>
      </c>
      <c r="I1339" t="s">
        <v>43</v>
      </c>
      <c r="J1339" t="s">
        <v>44</v>
      </c>
      <c r="K1339" t="s">
        <v>798</v>
      </c>
      <c r="L1339" t="s">
        <v>787</v>
      </c>
      <c r="M1339" t="s">
        <v>818</v>
      </c>
      <c r="N1339">
        <v>12</v>
      </c>
      <c r="O1339" s="3">
        <v>14.05</v>
      </c>
      <c r="P1339" s="3">
        <v>19.670000000000002</v>
      </c>
      <c r="Q1339" s="6">
        <v>0</v>
      </c>
      <c r="R1339" s="3">
        <v>236.04000000000002</v>
      </c>
      <c r="S1339" t="s">
        <v>810</v>
      </c>
    </row>
    <row r="1340" spans="1:19" x14ac:dyDescent="0.35">
      <c r="A1340" t="s">
        <v>2815</v>
      </c>
      <c r="B1340" t="s">
        <v>611</v>
      </c>
      <c r="C1340" s="5">
        <v>45662</v>
      </c>
      <c r="D1340" s="5">
        <v>45664</v>
      </c>
      <c r="E1340" t="s">
        <v>287</v>
      </c>
      <c r="F1340" t="s">
        <v>633</v>
      </c>
      <c r="G1340" t="s">
        <v>235</v>
      </c>
      <c r="H1340" t="s">
        <v>797</v>
      </c>
      <c r="I1340" t="s">
        <v>43</v>
      </c>
      <c r="J1340" t="s">
        <v>146</v>
      </c>
      <c r="K1340" t="s">
        <v>798</v>
      </c>
      <c r="L1340" t="s">
        <v>799</v>
      </c>
      <c r="M1340" t="s">
        <v>842</v>
      </c>
      <c r="N1340">
        <v>10</v>
      </c>
      <c r="O1340" s="3">
        <v>24.05</v>
      </c>
      <c r="P1340" s="3">
        <v>31.27</v>
      </c>
      <c r="Q1340" s="6">
        <v>0</v>
      </c>
      <c r="R1340" s="3">
        <v>312.7</v>
      </c>
      <c r="S1340" t="s">
        <v>888</v>
      </c>
    </row>
    <row r="1341" spans="1:19" x14ac:dyDescent="0.35">
      <c r="A1341" t="s">
        <v>2816</v>
      </c>
      <c r="B1341" t="s">
        <v>295</v>
      </c>
      <c r="C1341" s="5">
        <v>45295</v>
      </c>
      <c r="E1341" t="s">
        <v>296</v>
      </c>
      <c r="F1341" t="s">
        <v>637</v>
      </c>
      <c r="G1341" t="s">
        <v>264</v>
      </c>
      <c r="H1341" t="s">
        <v>20</v>
      </c>
      <c r="I1341" t="s">
        <v>48</v>
      </c>
      <c r="J1341" t="s">
        <v>135</v>
      </c>
      <c r="K1341" t="s">
        <v>786</v>
      </c>
      <c r="L1341" t="s">
        <v>793</v>
      </c>
      <c r="M1341" t="s">
        <v>788</v>
      </c>
      <c r="N1341">
        <v>5</v>
      </c>
      <c r="O1341" s="3">
        <v>51.72</v>
      </c>
      <c r="P1341" s="3">
        <v>67.239999999999995</v>
      </c>
      <c r="Q1341" s="6">
        <v>0</v>
      </c>
      <c r="R1341" s="3">
        <v>336.2</v>
      </c>
      <c r="S1341" t="s">
        <v>845</v>
      </c>
    </row>
    <row r="1342" spans="1:19" x14ac:dyDescent="0.35">
      <c r="A1342" t="s">
        <v>2817</v>
      </c>
      <c r="B1342" t="s">
        <v>511</v>
      </c>
      <c r="C1342" s="5">
        <v>45637</v>
      </c>
      <c r="D1342" s="5">
        <v>45642</v>
      </c>
      <c r="E1342" t="s">
        <v>512</v>
      </c>
      <c r="F1342" t="s">
        <v>637</v>
      </c>
      <c r="G1342" t="s">
        <v>264</v>
      </c>
      <c r="H1342" t="s">
        <v>20</v>
      </c>
      <c r="I1342" t="s">
        <v>8</v>
      </c>
      <c r="J1342" t="s">
        <v>73</v>
      </c>
      <c r="K1342" t="s">
        <v>798</v>
      </c>
      <c r="L1342" t="s">
        <v>799</v>
      </c>
      <c r="M1342" t="s">
        <v>818</v>
      </c>
      <c r="N1342">
        <v>10</v>
      </c>
      <c r="O1342" s="3">
        <v>67.95</v>
      </c>
      <c r="P1342" s="3">
        <v>88.34</v>
      </c>
      <c r="Q1342" s="6">
        <v>0.15</v>
      </c>
      <c r="R1342" s="3">
        <v>750.8900000000001</v>
      </c>
      <c r="S1342" t="s">
        <v>946</v>
      </c>
    </row>
    <row r="1343" spans="1:19" x14ac:dyDescent="0.35">
      <c r="A1343" t="s">
        <v>2818</v>
      </c>
      <c r="B1343" t="s">
        <v>317</v>
      </c>
      <c r="C1343" s="5">
        <v>45377</v>
      </c>
      <c r="D1343" s="5">
        <v>45387</v>
      </c>
      <c r="E1343" t="s">
        <v>318</v>
      </c>
      <c r="F1343" t="s">
        <v>633</v>
      </c>
      <c r="G1343" t="s">
        <v>264</v>
      </c>
      <c r="H1343" t="s">
        <v>797</v>
      </c>
      <c r="I1343" t="s">
        <v>14</v>
      </c>
      <c r="J1343" t="s">
        <v>16</v>
      </c>
      <c r="K1343" t="s">
        <v>786</v>
      </c>
      <c r="L1343" t="s">
        <v>799</v>
      </c>
      <c r="M1343" t="s">
        <v>800</v>
      </c>
      <c r="N1343">
        <v>12</v>
      </c>
      <c r="O1343" s="3">
        <v>56.69</v>
      </c>
      <c r="P1343" s="3">
        <v>79.37</v>
      </c>
      <c r="Q1343" s="6">
        <v>0.15</v>
      </c>
      <c r="R1343" s="3">
        <v>809.57400000000007</v>
      </c>
      <c r="S1343" t="s">
        <v>839</v>
      </c>
    </row>
    <row r="1344" spans="1:19" x14ac:dyDescent="0.35">
      <c r="A1344" t="s">
        <v>2819</v>
      </c>
      <c r="B1344" t="s">
        <v>358</v>
      </c>
      <c r="C1344" s="5">
        <v>45380</v>
      </c>
      <c r="D1344" s="5">
        <v>45386</v>
      </c>
      <c r="E1344" t="s">
        <v>287</v>
      </c>
      <c r="F1344" t="s">
        <v>674</v>
      </c>
      <c r="G1344" t="s">
        <v>243</v>
      </c>
      <c r="H1344" t="s">
        <v>797</v>
      </c>
      <c r="I1344" t="s">
        <v>43</v>
      </c>
      <c r="J1344" t="s">
        <v>113</v>
      </c>
      <c r="K1344" t="s">
        <v>798</v>
      </c>
      <c r="L1344" t="s">
        <v>799</v>
      </c>
      <c r="M1344" t="s">
        <v>788</v>
      </c>
      <c r="N1344">
        <v>20</v>
      </c>
      <c r="O1344" s="3">
        <v>16.91</v>
      </c>
      <c r="P1344" s="3">
        <v>21.14</v>
      </c>
      <c r="Q1344" s="6">
        <v>0.05</v>
      </c>
      <c r="R1344" s="3">
        <v>401.66</v>
      </c>
      <c r="S1344" t="s">
        <v>869</v>
      </c>
    </row>
    <row r="1345" spans="1:19" x14ac:dyDescent="0.35">
      <c r="A1345" t="s">
        <v>2820</v>
      </c>
      <c r="B1345" t="s">
        <v>463</v>
      </c>
      <c r="C1345" s="5">
        <v>45322</v>
      </c>
      <c r="D1345" s="5">
        <v>45326</v>
      </c>
      <c r="E1345" t="s">
        <v>464</v>
      </c>
      <c r="F1345" t="s">
        <v>637</v>
      </c>
      <c r="G1345" t="s">
        <v>264</v>
      </c>
      <c r="H1345" t="s">
        <v>20</v>
      </c>
      <c r="I1345" t="s">
        <v>38</v>
      </c>
      <c r="J1345" t="s">
        <v>172</v>
      </c>
      <c r="K1345" t="s">
        <v>813</v>
      </c>
      <c r="L1345" t="s">
        <v>799</v>
      </c>
      <c r="M1345" t="s">
        <v>818</v>
      </c>
      <c r="N1345">
        <v>5</v>
      </c>
      <c r="O1345" s="3">
        <v>18.329999999999998</v>
      </c>
      <c r="P1345" s="3">
        <v>22.91</v>
      </c>
      <c r="Q1345" s="6">
        <v>0</v>
      </c>
      <c r="R1345" s="3">
        <v>114.55</v>
      </c>
      <c r="S1345" t="s">
        <v>810</v>
      </c>
    </row>
    <row r="1346" spans="1:19" x14ac:dyDescent="0.35">
      <c r="A1346" t="s">
        <v>2821</v>
      </c>
      <c r="B1346" t="s">
        <v>502</v>
      </c>
      <c r="C1346" s="5">
        <v>45927</v>
      </c>
      <c r="E1346" t="s">
        <v>503</v>
      </c>
      <c r="F1346" t="s">
        <v>637</v>
      </c>
      <c r="G1346" t="s">
        <v>235</v>
      </c>
      <c r="H1346" t="s">
        <v>14</v>
      </c>
      <c r="I1346" t="s">
        <v>29</v>
      </c>
      <c r="J1346" t="s">
        <v>123</v>
      </c>
      <c r="K1346" t="s">
        <v>798</v>
      </c>
      <c r="L1346" t="s">
        <v>817</v>
      </c>
      <c r="M1346" t="s">
        <v>788</v>
      </c>
      <c r="N1346">
        <v>10</v>
      </c>
      <c r="O1346" s="3">
        <v>20.7</v>
      </c>
      <c r="P1346" s="3">
        <v>30.01</v>
      </c>
      <c r="Q1346" s="6">
        <v>0.15</v>
      </c>
      <c r="R1346" s="3">
        <v>255.08500000000004</v>
      </c>
      <c r="S1346" t="s">
        <v>819</v>
      </c>
    </row>
    <row r="1347" spans="1:19" x14ac:dyDescent="0.35">
      <c r="A1347" t="s">
        <v>2822</v>
      </c>
      <c r="B1347" t="s">
        <v>463</v>
      </c>
      <c r="C1347" s="5">
        <v>45862</v>
      </c>
      <c r="E1347" t="s">
        <v>464</v>
      </c>
      <c r="F1347" t="s">
        <v>633</v>
      </c>
      <c r="G1347" t="s">
        <v>264</v>
      </c>
      <c r="H1347" t="s">
        <v>14</v>
      </c>
      <c r="I1347" t="s">
        <v>8</v>
      </c>
      <c r="J1347" t="s">
        <v>95</v>
      </c>
      <c r="K1347" t="s">
        <v>813</v>
      </c>
      <c r="L1347" t="s">
        <v>787</v>
      </c>
      <c r="M1347" t="s">
        <v>818</v>
      </c>
      <c r="N1347">
        <v>1</v>
      </c>
      <c r="O1347" s="3">
        <v>23.02</v>
      </c>
      <c r="P1347" s="3">
        <v>28.77</v>
      </c>
      <c r="Q1347" s="6">
        <v>0</v>
      </c>
      <c r="R1347" s="3">
        <v>28.77</v>
      </c>
      <c r="S1347" t="s">
        <v>839</v>
      </c>
    </row>
    <row r="1348" spans="1:19" x14ac:dyDescent="0.35">
      <c r="A1348" t="s">
        <v>2823</v>
      </c>
      <c r="B1348" t="s">
        <v>252</v>
      </c>
      <c r="C1348" s="5">
        <v>45876</v>
      </c>
      <c r="E1348" t="s">
        <v>253</v>
      </c>
      <c r="F1348" t="s">
        <v>681</v>
      </c>
      <c r="G1348" t="s">
        <v>243</v>
      </c>
      <c r="H1348" t="s">
        <v>48</v>
      </c>
      <c r="I1348" t="s">
        <v>38</v>
      </c>
      <c r="J1348" t="s">
        <v>36</v>
      </c>
      <c r="K1348" t="s">
        <v>798</v>
      </c>
      <c r="L1348" t="s">
        <v>793</v>
      </c>
      <c r="M1348" t="s">
        <v>842</v>
      </c>
      <c r="N1348">
        <v>1</v>
      </c>
      <c r="O1348" s="3">
        <v>8.57</v>
      </c>
      <c r="P1348" s="3">
        <v>11.14</v>
      </c>
      <c r="Q1348" s="6">
        <v>0</v>
      </c>
      <c r="R1348" s="3">
        <v>11.14</v>
      </c>
      <c r="S1348" t="s">
        <v>845</v>
      </c>
    </row>
    <row r="1349" spans="1:19" x14ac:dyDescent="0.35">
      <c r="A1349" t="s">
        <v>2824</v>
      </c>
      <c r="B1349" t="s">
        <v>320</v>
      </c>
      <c r="C1349" s="5">
        <v>45379</v>
      </c>
      <c r="D1349" s="5">
        <v>45388</v>
      </c>
      <c r="E1349" t="s">
        <v>321</v>
      </c>
      <c r="F1349" t="s">
        <v>627</v>
      </c>
      <c r="G1349" t="s">
        <v>235</v>
      </c>
      <c r="H1349" t="s">
        <v>14</v>
      </c>
      <c r="I1349" t="s">
        <v>29</v>
      </c>
      <c r="J1349" t="s">
        <v>145</v>
      </c>
      <c r="K1349" t="s">
        <v>786</v>
      </c>
      <c r="L1349" t="s">
        <v>799</v>
      </c>
      <c r="M1349" t="s">
        <v>818</v>
      </c>
      <c r="N1349">
        <v>5</v>
      </c>
      <c r="O1349" s="3">
        <v>57.16</v>
      </c>
      <c r="P1349" s="3">
        <v>82.88</v>
      </c>
      <c r="Q1349" s="6">
        <v>0.05</v>
      </c>
      <c r="R1349" s="3">
        <v>393.67999999999995</v>
      </c>
      <c r="S1349" t="s">
        <v>790</v>
      </c>
    </row>
    <row r="1350" spans="1:19" x14ac:dyDescent="0.35">
      <c r="A1350" t="s">
        <v>2825</v>
      </c>
      <c r="B1350" t="s">
        <v>334</v>
      </c>
      <c r="C1350" s="5">
        <v>46035</v>
      </c>
      <c r="D1350" s="5">
        <v>46042</v>
      </c>
      <c r="E1350" t="s">
        <v>335</v>
      </c>
      <c r="F1350" t="s">
        <v>627</v>
      </c>
      <c r="G1350" t="s">
        <v>243</v>
      </c>
      <c r="H1350" t="s">
        <v>20</v>
      </c>
      <c r="I1350" t="s">
        <v>38</v>
      </c>
      <c r="J1350" t="s">
        <v>117</v>
      </c>
      <c r="K1350" t="s">
        <v>786</v>
      </c>
      <c r="L1350" t="s">
        <v>799</v>
      </c>
      <c r="M1350" t="s">
        <v>788</v>
      </c>
      <c r="N1350">
        <v>3</v>
      </c>
      <c r="O1350" s="3">
        <v>43.25</v>
      </c>
      <c r="P1350" s="3">
        <v>60.55</v>
      </c>
      <c r="Q1350" s="6">
        <v>0</v>
      </c>
      <c r="R1350" s="3">
        <v>181.64999999999998</v>
      </c>
      <c r="S1350" t="s">
        <v>790</v>
      </c>
    </row>
    <row r="1351" spans="1:19" x14ac:dyDescent="0.35">
      <c r="A1351" t="s">
        <v>2826</v>
      </c>
      <c r="B1351" t="s">
        <v>327</v>
      </c>
      <c r="C1351" s="5">
        <v>45592</v>
      </c>
      <c r="E1351" t="s">
        <v>328</v>
      </c>
      <c r="F1351" t="s">
        <v>254</v>
      </c>
      <c r="G1351" t="s">
        <v>264</v>
      </c>
      <c r="H1351" t="s">
        <v>48</v>
      </c>
      <c r="I1351" t="s">
        <v>8</v>
      </c>
      <c r="J1351" t="s">
        <v>204</v>
      </c>
      <c r="K1351" t="s">
        <v>798</v>
      </c>
      <c r="L1351" t="s">
        <v>817</v>
      </c>
      <c r="M1351" t="s">
        <v>800</v>
      </c>
      <c r="N1351">
        <v>2</v>
      </c>
      <c r="O1351" s="3">
        <v>28.27</v>
      </c>
      <c r="P1351" s="3">
        <v>40.99</v>
      </c>
      <c r="Q1351" s="6">
        <v>0.05</v>
      </c>
      <c r="R1351" s="3">
        <v>77.881</v>
      </c>
      <c r="S1351" t="s">
        <v>888</v>
      </c>
    </row>
    <row r="1352" spans="1:19" x14ac:dyDescent="0.35">
      <c r="A1352" t="s">
        <v>2827</v>
      </c>
      <c r="B1352" t="s">
        <v>473</v>
      </c>
      <c r="C1352" s="5">
        <v>45579</v>
      </c>
      <c r="D1352" s="5">
        <v>45580</v>
      </c>
      <c r="E1352" t="s">
        <v>368</v>
      </c>
      <c r="F1352" t="s">
        <v>254</v>
      </c>
      <c r="G1352" t="s">
        <v>235</v>
      </c>
      <c r="H1352" t="s">
        <v>48</v>
      </c>
      <c r="I1352" t="s">
        <v>43</v>
      </c>
      <c r="J1352" t="s">
        <v>53</v>
      </c>
      <c r="K1352" t="s">
        <v>798</v>
      </c>
      <c r="L1352" t="s">
        <v>799</v>
      </c>
      <c r="M1352" t="s">
        <v>800</v>
      </c>
      <c r="N1352">
        <v>5</v>
      </c>
      <c r="O1352" s="3">
        <v>54.93</v>
      </c>
      <c r="P1352" s="3">
        <v>79.650000000000006</v>
      </c>
      <c r="Q1352" s="6">
        <v>0.05</v>
      </c>
      <c r="R1352" s="3">
        <v>378.33749999999998</v>
      </c>
      <c r="S1352" t="s">
        <v>839</v>
      </c>
    </row>
    <row r="1353" spans="1:19" x14ac:dyDescent="0.35">
      <c r="A1353" t="s">
        <v>2828</v>
      </c>
      <c r="B1353" t="s">
        <v>369</v>
      </c>
      <c r="C1353" s="5">
        <v>45583</v>
      </c>
      <c r="D1353" s="5">
        <v>45585</v>
      </c>
      <c r="E1353" t="s">
        <v>282</v>
      </c>
      <c r="F1353" t="s">
        <v>681</v>
      </c>
      <c r="G1353" t="s">
        <v>243</v>
      </c>
      <c r="H1353" t="s">
        <v>797</v>
      </c>
      <c r="I1353" t="s">
        <v>38</v>
      </c>
      <c r="J1353" t="s">
        <v>117</v>
      </c>
      <c r="K1353" t="s">
        <v>813</v>
      </c>
      <c r="L1353" t="s">
        <v>799</v>
      </c>
      <c r="M1353" t="s">
        <v>842</v>
      </c>
      <c r="N1353">
        <v>5</v>
      </c>
      <c r="O1353" s="3">
        <v>43.25</v>
      </c>
      <c r="P1353" s="3">
        <v>60.55</v>
      </c>
      <c r="Q1353" s="6">
        <v>0</v>
      </c>
      <c r="R1353" s="3">
        <v>302.75</v>
      </c>
      <c r="S1353" t="s">
        <v>919</v>
      </c>
    </row>
    <row r="1354" spans="1:19" x14ac:dyDescent="0.35">
      <c r="A1354" t="s">
        <v>2829</v>
      </c>
      <c r="B1354" t="s">
        <v>432</v>
      </c>
      <c r="C1354" s="5">
        <v>45562</v>
      </c>
      <c r="D1354" s="5">
        <v>45567</v>
      </c>
      <c r="E1354" t="s">
        <v>433</v>
      </c>
      <c r="F1354" t="s">
        <v>254</v>
      </c>
      <c r="G1354" t="s">
        <v>243</v>
      </c>
      <c r="H1354" t="s">
        <v>797</v>
      </c>
      <c r="I1354" t="s">
        <v>14</v>
      </c>
      <c r="J1354" t="s">
        <v>186</v>
      </c>
      <c r="K1354" t="s">
        <v>798</v>
      </c>
      <c r="L1354" t="s">
        <v>799</v>
      </c>
      <c r="M1354" t="s">
        <v>788</v>
      </c>
      <c r="N1354">
        <v>20</v>
      </c>
      <c r="O1354" s="3">
        <v>28.32</v>
      </c>
      <c r="P1354" s="3">
        <v>35.4</v>
      </c>
      <c r="Q1354" s="6">
        <v>0</v>
      </c>
      <c r="R1354" s="3">
        <v>708</v>
      </c>
      <c r="S1354" t="s">
        <v>1017</v>
      </c>
    </row>
    <row r="1355" spans="1:19" x14ac:dyDescent="0.35">
      <c r="A1355" t="s">
        <v>2830</v>
      </c>
      <c r="B1355" t="s">
        <v>310</v>
      </c>
      <c r="C1355" s="5">
        <v>45855</v>
      </c>
      <c r="D1355" s="5">
        <v>45860</v>
      </c>
      <c r="E1355" t="s">
        <v>311</v>
      </c>
      <c r="F1355" t="s">
        <v>637</v>
      </c>
      <c r="G1355" t="s">
        <v>264</v>
      </c>
      <c r="H1355" t="s">
        <v>20</v>
      </c>
      <c r="I1355" t="s">
        <v>20</v>
      </c>
      <c r="J1355" t="s">
        <v>34</v>
      </c>
      <c r="K1355" t="s">
        <v>786</v>
      </c>
      <c r="L1355" t="s">
        <v>799</v>
      </c>
      <c r="M1355" t="s">
        <v>800</v>
      </c>
      <c r="N1355">
        <v>5</v>
      </c>
      <c r="O1355" s="3">
        <v>28.02</v>
      </c>
      <c r="P1355" s="3">
        <v>36.43</v>
      </c>
      <c r="Q1355" s="6">
        <v>0.1</v>
      </c>
      <c r="R1355" s="3">
        <v>163.935</v>
      </c>
      <c r="S1355" t="s">
        <v>825</v>
      </c>
    </row>
    <row r="1356" spans="1:19" x14ac:dyDescent="0.35">
      <c r="A1356" t="s">
        <v>2831</v>
      </c>
      <c r="B1356" t="s">
        <v>606</v>
      </c>
      <c r="C1356" s="5">
        <v>45394</v>
      </c>
      <c r="E1356" t="s">
        <v>600</v>
      </c>
      <c r="F1356" t="s">
        <v>254</v>
      </c>
      <c r="H1356" t="s">
        <v>797</v>
      </c>
      <c r="I1356" t="s">
        <v>14</v>
      </c>
      <c r="J1356" t="s">
        <v>128</v>
      </c>
      <c r="K1356" t="s">
        <v>786</v>
      </c>
      <c r="L1356" t="s">
        <v>787</v>
      </c>
      <c r="M1356" t="s">
        <v>800</v>
      </c>
      <c r="N1356">
        <v>5</v>
      </c>
      <c r="O1356" s="3">
        <v>18.850000000000001</v>
      </c>
      <c r="P1356" s="3">
        <v>27.33</v>
      </c>
      <c r="Q1356" s="6">
        <v>0</v>
      </c>
      <c r="R1356" s="3">
        <v>136.64999999999998</v>
      </c>
      <c r="S1356" t="s">
        <v>829</v>
      </c>
    </row>
    <row r="1357" spans="1:19" x14ac:dyDescent="0.35">
      <c r="A1357" t="s">
        <v>2832</v>
      </c>
      <c r="B1357" t="s">
        <v>320</v>
      </c>
      <c r="C1357" s="5">
        <v>45432</v>
      </c>
      <c r="E1357" t="s">
        <v>321</v>
      </c>
      <c r="F1357" t="s">
        <v>627</v>
      </c>
      <c r="G1357" t="s">
        <v>235</v>
      </c>
      <c r="H1357" t="s">
        <v>797</v>
      </c>
      <c r="I1357" t="s">
        <v>29</v>
      </c>
      <c r="J1357" t="s">
        <v>115</v>
      </c>
      <c r="K1357" t="s">
        <v>786</v>
      </c>
      <c r="L1357" t="s">
        <v>787</v>
      </c>
      <c r="M1357" t="s">
        <v>800</v>
      </c>
      <c r="N1357">
        <v>1</v>
      </c>
      <c r="O1357" s="3">
        <v>34.340000000000003</v>
      </c>
      <c r="P1357" s="3">
        <v>44.64</v>
      </c>
      <c r="Q1357" s="6">
        <v>0.05</v>
      </c>
      <c r="R1357" s="3">
        <v>42.408000000000001</v>
      </c>
      <c r="S1357" t="s">
        <v>790</v>
      </c>
    </row>
    <row r="1358" spans="1:19" x14ac:dyDescent="0.35">
      <c r="A1358" t="s">
        <v>2833</v>
      </c>
      <c r="B1358" t="s">
        <v>355</v>
      </c>
      <c r="C1358" s="5">
        <v>45401</v>
      </c>
      <c r="E1358" t="s">
        <v>356</v>
      </c>
      <c r="F1358" t="s">
        <v>627</v>
      </c>
      <c r="G1358" t="s">
        <v>264</v>
      </c>
      <c r="H1358" t="s">
        <v>48</v>
      </c>
      <c r="I1358" t="s">
        <v>48</v>
      </c>
      <c r="J1358" t="s">
        <v>217</v>
      </c>
      <c r="K1358" t="s">
        <v>786</v>
      </c>
      <c r="L1358" t="s">
        <v>793</v>
      </c>
      <c r="M1358" t="s">
        <v>800</v>
      </c>
      <c r="N1358">
        <v>2</v>
      </c>
      <c r="O1358" s="3">
        <v>24.07</v>
      </c>
      <c r="P1358" s="3">
        <v>34.9</v>
      </c>
      <c r="Q1358" s="6">
        <v>0</v>
      </c>
      <c r="R1358" s="3">
        <v>69.8</v>
      </c>
      <c r="S1358" t="s">
        <v>810</v>
      </c>
    </row>
    <row r="1359" spans="1:19" x14ac:dyDescent="0.35">
      <c r="A1359" t="s">
        <v>2834</v>
      </c>
      <c r="B1359" t="s">
        <v>588</v>
      </c>
      <c r="C1359" s="5">
        <v>45956</v>
      </c>
      <c r="D1359" s="5">
        <v>45965</v>
      </c>
      <c r="E1359" t="s">
        <v>435</v>
      </c>
      <c r="F1359" t="s">
        <v>637</v>
      </c>
      <c r="G1359" t="s">
        <v>264</v>
      </c>
      <c r="H1359" t="s">
        <v>797</v>
      </c>
      <c r="I1359" t="s">
        <v>43</v>
      </c>
      <c r="J1359" t="s">
        <v>53</v>
      </c>
      <c r="K1359" t="s">
        <v>786</v>
      </c>
      <c r="L1359" t="s">
        <v>799</v>
      </c>
      <c r="M1359" t="s">
        <v>788</v>
      </c>
      <c r="N1359">
        <v>2</v>
      </c>
      <c r="O1359" s="3">
        <v>54.93</v>
      </c>
      <c r="P1359" s="3">
        <v>79.650000000000006</v>
      </c>
      <c r="Q1359" s="6">
        <v>0</v>
      </c>
      <c r="R1359" s="3">
        <v>159.30000000000001</v>
      </c>
      <c r="S1359" t="s">
        <v>825</v>
      </c>
    </row>
    <row r="1360" spans="1:19" x14ac:dyDescent="0.35">
      <c r="A1360" t="s">
        <v>2835</v>
      </c>
      <c r="B1360" t="s">
        <v>238</v>
      </c>
      <c r="C1360" s="5">
        <v>45536</v>
      </c>
      <c r="D1360" s="5">
        <v>45540</v>
      </c>
      <c r="E1360" t="s">
        <v>239</v>
      </c>
      <c r="F1360" t="s">
        <v>681</v>
      </c>
      <c r="G1360" t="s">
        <v>243</v>
      </c>
      <c r="H1360" t="s">
        <v>14</v>
      </c>
      <c r="I1360" t="s">
        <v>38</v>
      </c>
      <c r="J1360" t="s">
        <v>69</v>
      </c>
      <c r="K1360" t="s">
        <v>798</v>
      </c>
      <c r="L1360" t="s">
        <v>799</v>
      </c>
      <c r="M1360" t="s">
        <v>788</v>
      </c>
      <c r="N1360">
        <v>3</v>
      </c>
      <c r="O1360" s="3">
        <v>20.9</v>
      </c>
      <c r="P1360" s="3">
        <v>28.21</v>
      </c>
      <c r="Q1360" s="6">
        <v>0.05</v>
      </c>
      <c r="R1360" s="3">
        <v>80.398499999999999</v>
      </c>
      <c r="S1360" t="s">
        <v>790</v>
      </c>
    </row>
    <row r="1361" spans="1:19" x14ac:dyDescent="0.35">
      <c r="A1361" t="s">
        <v>2836</v>
      </c>
      <c r="B1361" t="s">
        <v>382</v>
      </c>
      <c r="C1361" s="5">
        <v>45352</v>
      </c>
      <c r="D1361" s="5">
        <v>45362</v>
      </c>
      <c r="E1361" t="s">
        <v>383</v>
      </c>
      <c r="F1361" t="s">
        <v>627</v>
      </c>
      <c r="G1361" t="s">
        <v>264</v>
      </c>
      <c r="H1361" t="s">
        <v>14</v>
      </c>
      <c r="I1361" t="s">
        <v>14</v>
      </c>
      <c r="J1361" t="s">
        <v>194</v>
      </c>
      <c r="K1361" t="s">
        <v>813</v>
      </c>
      <c r="L1361" t="s">
        <v>799</v>
      </c>
      <c r="M1361" t="s">
        <v>800</v>
      </c>
      <c r="N1361">
        <v>2</v>
      </c>
      <c r="O1361" s="3">
        <v>20.32</v>
      </c>
      <c r="P1361" s="3">
        <v>25.4</v>
      </c>
      <c r="Q1361" s="6">
        <v>0</v>
      </c>
      <c r="R1361" s="3">
        <v>50.8</v>
      </c>
      <c r="S1361" t="s">
        <v>935</v>
      </c>
    </row>
    <row r="1362" spans="1:19" x14ac:dyDescent="0.35">
      <c r="A1362" t="s">
        <v>2837</v>
      </c>
      <c r="B1362" t="s">
        <v>418</v>
      </c>
      <c r="C1362" s="5">
        <v>45713</v>
      </c>
      <c r="E1362" t="s">
        <v>253</v>
      </c>
      <c r="F1362" t="s">
        <v>633</v>
      </c>
      <c r="G1362" t="s">
        <v>264</v>
      </c>
      <c r="H1362" t="s">
        <v>797</v>
      </c>
      <c r="I1362" t="s">
        <v>14</v>
      </c>
      <c r="J1362" t="s">
        <v>111</v>
      </c>
      <c r="K1362" t="s">
        <v>786</v>
      </c>
      <c r="L1362" t="s">
        <v>787</v>
      </c>
      <c r="M1362" t="s">
        <v>818</v>
      </c>
      <c r="N1362">
        <v>12</v>
      </c>
      <c r="O1362" s="3">
        <v>19.850000000000001</v>
      </c>
      <c r="P1362" s="3">
        <v>28.78</v>
      </c>
      <c r="Q1362" s="6">
        <v>0</v>
      </c>
      <c r="R1362" s="3">
        <v>345.36</v>
      </c>
      <c r="S1362" t="s">
        <v>869</v>
      </c>
    </row>
    <row r="1363" spans="1:19" x14ac:dyDescent="0.35">
      <c r="A1363" t="s">
        <v>2838</v>
      </c>
      <c r="B1363" t="s">
        <v>230</v>
      </c>
      <c r="C1363" s="5">
        <v>45911</v>
      </c>
      <c r="E1363" t="s">
        <v>231</v>
      </c>
      <c r="F1363" t="s">
        <v>254</v>
      </c>
      <c r="G1363" t="s">
        <v>235</v>
      </c>
      <c r="H1363" t="s">
        <v>797</v>
      </c>
      <c r="I1363" t="s">
        <v>38</v>
      </c>
      <c r="J1363" t="s">
        <v>69</v>
      </c>
      <c r="K1363" t="s">
        <v>813</v>
      </c>
      <c r="L1363" t="s">
        <v>793</v>
      </c>
      <c r="M1363" t="s">
        <v>788</v>
      </c>
      <c r="N1363">
        <v>3</v>
      </c>
      <c r="O1363" s="3">
        <v>20.9</v>
      </c>
      <c r="P1363" s="3">
        <v>28.21</v>
      </c>
      <c r="Q1363" s="6">
        <v>0.1</v>
      </c>
      <c r="R1363" s="3">
        <v>76.167000000000002</v>
      </c>
      <c r="S1363" t="s">
        <v>810</v>
      </c>
    </row>
    <row r="1364" spans="1:19" x14ac:dyDescent="0.35">
      <c r="A1364" t="s">
        <v>2839</v>
      </c>
      <c r="B1364" t="s">
        <v>334</v>
      </c>
      <c r="C1364" s="5">
        <v>45948</v>
      </c>
      <c r="E1364" t="s">
        <v>335</v>
      </c>
      <c r="F1364" t="s">
        <v>681</v>
      </c>
      <c r="G1364" t="s">
        <v>243</v>
      </c>
      <c r="H1364" t="s">
        <v>797</v>
      </c>
      <c r="I1364" t="s">
        <v>14</v>
      </c>
      <c r="J1364" t="s">
        <v>152</v>
      </c>
      <c r="K1364" t="s">
        <v>798</v>
      </c>
      <c r="L1364" t="s">
        <v>793</v>
      </c>
      <c r="M1364" t="s">
        <v>788</v>
      </c>
      <c r="N1364">
        <v>12</v>
      </c>
      <c r="O1364" s="3">
        <v>38.549999999999997</v>
      </c>
      <c r="P1364" s="3">
        <v>53.97</v>
      </c>
      <c r="Q1364" s="6">
        <v>0.15</v>
      </c>
      <c r="R1364" s="3">
        <v>550.49400000000003</v>
      </c>
      <c r="S1364" t="s">
        <v>829</v>
      </c>
    </row>
    <row r="1365" spans="1:19" x14ac:dyDescent="0.35">
      <c r="A1365" t="s">
        <v>2840</v>
      </c>
      <c r="B1365" t="s">
        <v>582</v>
      </c>
      <c r="C1365" s="5">
        <v>46040</v>
      </c>
      <c r="D1365" s="5">
        <v>46042</v>
      </c>
      <c r="E1365" t="s">
        <v>583</v>
      </c>
      <c r="F1365" t="s">
        <v>696</v>
      </c>
      <c r="G1365" t="s">
        <v>264</v>
      </c>
      <c r="H1365" t="s">
        <v>797</v>
      </c>
      <c r="I1365" t="s">
        <v>14</v>
      </c>
      <c r="J1365" t="s">
        <v>93</v>
      </c>
      <c r="K1365" t="s">
        <v>798</v>
      </c>
      <c r="L1365" t="s">
        <v>822</v>
      </c>
      <c r="M1365" t="s">
        <v>842</v>
      </c>
      <c r="N1365">
        <v>3</v>
      </c>
      <c r="O1365" s="3">
        <v>26.96</v>
      </c>
      <c r="P1365" s="3">
        <v>37.74</v>
      </c>
      <c r="Q1365" s="6">
        <v>0.15</v>
      </c>
      <c r="R1365" s="3">
        <v>96.236999999999995</v>
      </c>
      <c r="S1365" t="s">
        <v>963</v>
      </c>
    </row>
    <row r="1366" spans="1:19" x14ac:dyDescent="0.35">
      <c r="A1366" t="s">
        <v>2841</v>
      </c>
      <c r="B1366" t="s">
        <v>473</v>
      </c>
      <c r="C1366" s="5">
        <v>46004</v>
      </c>
      <c r="E1366" t="s">
        <v>368</v>
      </c>
      <c r="F1366" t="s">
        <v>254</v>
      </c>
      <c r="G1366" t="s">
        <v>235</v>
      </c>
      <c r="H1366" t="s">
        <v>797</v>
      </c>
      <c r="I1366" t="s">
        <v>38</v>
      </c>
      <c r="J1366" t="s">
        <v>82</v>
      </c>
      <c r="K1366" t="s">
        <v>798</v>
      </c>
      <c r="L1366" t="s">
        <v>787</v>
      </c>
      <c r="M1366" t="s">
        <v>842</v>
      </c>
      <c r="N1366">
        <v>3</v>
      </c>
      <c r="O1366" s="3">
        <v>12.54</v>
      </c>
      <c r="P1366" s="3">
        <v>16.93</v>
      </c>
      <c r="Q1366" s="6">
        <v>0</v>
      </c>
      <c r="R1366" s="3">
        <v>50.79</v>
      </c>
      <c r="S1366" t="s">
        <v>1134</v>
      </c>
    </row>
    <row r="1367" spans="1:19" x14ac:dyDescent="0.35">
      <c r="A1367" t="s">
        <v>2842</v>
      </c>
      <c r="B1367" t="s">
        <v>573</v>
      </c>
      <c r="C1367" s="5">
        <v>45712</v>
      </c>
      <c r="E1367" t="s">
        <v>277</v>
      </c>
      <c r="F1367" t="s">
        <v>627</v>
      </c>
      <c r="G1367" t="s">
        <v>235</v>
      </c>
      <c r="H1367" t="s">
        <v>14</v>
      </c>
      <c r="I1367" t="s">
        <v>8</v>
      </c>
      <c r="J1367" t="s">
        <v>174</v>
      </c>
      <c r="K1367" t="s">
        <v>798</v>
      </c>
      <c r="L1367" t="s">
        <v>793</v>
      </c>
      <c r="M1367" t="s">
        <v>788</v>
      </c>
      <c r="N1367">
        <v>12</v>
      </c>
      <c r="O1367" s="3">
        <v>32.53</v>
      </c>
      <c r="P1367" s="3">
        <v>43.92</v>
      </c>
      <c r="Q1367" s="6">
        <v>0</v>
      </c>
      <c r="R1367" s="3">
        <v>527.04</v>
      </c>
      <c r="S1367" t="s">
        <v>935</v>
      </c>
    </row>
    <row r="1368" spans="1:19" x14ac:dyDescent="0.35">
      <c r="A1368" t="s">
        <v>2843</v>
      </c>
      <c r="B1368" t="s">
        <v>575</v>
      </c>
      <c r="C1368" s="5">
        <v>45653</v>
      </c>
      <c r="D1368" s="5">
        <v>45658</v>
      </c>
      <c r="E1368" t="s">
        <v>439</v>
      </c>
      <c r="F1368" t="s">
        <v>637</v>
      </c>
      <c r="G1368" t="s">
        <v>264</v>
      </c>
      <c r="H1368" t="s">
        <v>48</v>
      </c>
      <c r="I1368" t="s">
        <v>20</v>
      </c>
      <c r="J1368" t="s">
        <v>104</v>
      </c>
      <c r="K1368" t="s">
        <v>798</v>
      </c>
      <c r="L1368" t="s">
        <v>799</v>
      </c>
      <c r="M1368" t="s">
        <v>800</v>
      </c>
      <c r="N1368">
        <v>5</v>
      </c>
      <c r="O1368" s="3">
        <v>43.88</v>
      </c>
      <c r="P1368" s="3">
        <v>54.85</v>
      </c>
      <c r="Q1368" s="6">
        <v>0.05</v>
      </c>
      <c r="R1368" s="3">
        <v>260.53750000000002</v>
      </c>
      <c r="S1368" t="s">
        <v>829</v>
      </c>
    </row>
    <row r="1369" spans="1:19" x14ac:dyDescent="0.35">
      <c r="A1369" t="s">
        <v>2844</v>
      </c>
      <c r="B1369" t="s">
        <v>495</v>
      </c>
      <c r="C1369" s="5">
        <v>45295</v>
      </c>
      <c r="E1369" t="s">
        <v>496</v>
      </c>
      <c r="F1369" t="s">
        <v>674</v>
      </c>
      <c r="G1369" t="s">
        <v>264</v>
      </c>
      <c r="H1369" t="s">
        <v>797</v>
      </c>
      <c r="I1369" t="s">
        <v>8</v>
      </c>
      <c r="J1369" t="s">
        <v>101</v>
      </c>
      <c r="K1369" t="s">
        <v>786</v>
      </c>
      <c r="L1369" t="s">
        <v>787</v>
      </c>
      <c r="M1369" t="s">
        <v>818</v>
      </c>
      <c r="N1369">
        <v>20</v>
      </c>
      <c r="O1369" s="3">
        <v>16.510000000000002</v>
      </c>
      <c r="P1369" s="3">
        <v>23.94</v>
      </c>
      <c r="Q1369" s="6">
        <v>0.1</v>
      </c>
      <c r="R1369" s="3">
        <v>430.92</v>
      </c>
      <c r="S1369" t="s">
        <v>859</v>
      </c>
    </row>
    <row r="1370" spans="1:19" x14ac:dyDescent="0.35">
      <c r="A1370" t="s">
        <v>2845</v>
      </c>
      <c r="B1370" t="s">
        <v>329</v>
      </c>
      <c r="C1370" s="5">
        <v>45500</v>
      </c>
      <c r="E1370" t="s">
        <v>330</v>
      </c>
      <c r="F1370" t="s">
        <v>633</v>
      </c>
      <c r="G1370" t="s">
        <v>235</v>
      </c>
      <c r="H1370" t="s">
        <v>797</v>
      </c>
      <c r="I1370" t="s">
        <v>43</v>
      </c>
      <c r="J1370" t="s">
        <v>53</v>
      </c>
      <c r="K1370" t="s">
        <v>798</v>
      </c>
      <c r="L1370" t="s">
        <v>793</v>
      </c>
      <c r="M1370" t="s">
        <v>842</v>
      </c>
      <c r="N1370">
        <v>2</v>
      </c>
      <c r="O1370" s="3">
        <v>54.93</v>
      </c>
      <c r="P1370" s="3">
        <v>79.650000000000006</v>
      </c>
      <c r="Q1370" s="6">
        <v>0.05</v>
      </c>
      <c r="R1370" s="3">
        <v>151.33500000000001</v>
      </c>
      <c r="S1370" t="s">
        <v>892</v>
      </c>
    </row>
    <row r="1371" spans="1:19" x14ac:dyDescent="0.35">
      <c r="A1371" t="s">
        <v>2846</v>
      </c>
      <c r="B1371" t="s">
        <v>493</v>
      </c>
      <c r="C1371" s="5">
        <v>45358</v>
      </c>
      <c r="E1371" t="s">
        <v>311</v>
      </c>
      <c r="F1371" t="s">
        <v>633</v>
      </c>
      <c r="G1371" t="s">
        <v>243</v>
      </c>
      <c r="H1371" t="s">
        <v>797</v>
      </c>
      <c r="I1371" t="s">
        <v>48</v>
      </c>
      <c r="J1371" t="s">
        <v>179</v>
      </c>
      <c r="K1371" t="s">
        <v>798</v>
      </c>
      <c r="L1371" t="s">
        <v>793</v>
      </c>
      <c r="M1371" t="s">
        <v>800</v>
      </c>
      <c r="N1371">
        <v>12</v>
      </c>
      <c r="O1371" s="3">
        <v>16.670000000000002</v>
      </c>
      <c r="P1371" s="3">
        <v>22.5</v>
      </c>
      <c r="Q1371" s="6">
        <v>0.05</v>
      </c>
      <c r="R1371" s="3">
        <v>256.5</v>
      </c>
      <c r="S1371" t="s">
        <v>935</v>
      </c>
    </row>
    <row r="1372" spans="1:19" x14ac:dyDescent="0.35">
      <c r="A1372" t="s">
        <v>2847</v>
      </c>
      <c r="B1372" t="s">
        <v>501</v>
      </c>
      <c r="C1372" s="5">
        <v>45568</v>
      </c>
      <c r="D1372" s="5">
        <v>45577</v>
      </c>
      <c r="E1372" t="s">
        <v>363</v>
      </c>
      <c r="F1372" t="s">
        <v>674</v>
      </c>
      <c r="G1372" t="s">
        <v>264</v>
      </c>
      <c r="H1372" t="s">
        <v>797</v>
      </c>
      <c r="I1372" t="s">
        <v>8</v>
      </c>
      <c r="J1372" t="s">
        <v>91</v>
      </c>
      <c r="K1372" t="s">
        <v>813</v>
      </c>
      <c r="L1372" t="s">
        <v>799</v>
      </c>
      <c r="M1372" t="s">
        <v>818</v>
      </c>
      <c r="N1372">
        <v>20</v>
      </c>
      <c r="O1372" s="3">
        <v>36.82</v>
      </c>
      <c r="P1372" s="3">
        <v>47.87</v>
      </c>
      <c r="Q1372" s="6">
        <v>0.05</v>
      </c>
      <c r="R1372" s="3">
        <v>909.53</v>
      </c>
      <c r="S1372" t="s">
        <v>794</v>
      </c>
    </row>
    <row r="1373" spans="1:19" x14ac:dyDescent="0.35">
      <c r="A1373" t="s">
        <v>2848</v>
      </c>
      <c r="B1373" t="s">
        <v>351</v>
      </c>
      <c r="C1373" s="5">
        <v>45813</v>
      </c>
      <c r="E1373" t="s">
        <v>352</v>
      </c>
      <c r="F1373" t="s">
        <v>254</v>
      </c>
      <c r="G1373" t="s">
        <v>264</v>
      </c>
      <c r="H1373" t="s">
        <v>797</v>
      </c>
      <c r="I1373" t="s">
        <v>29</v>
      </c>
      <c r="J1373" t="s">
        <v>27</v>
      </c>
      <c r="K1373" t="s">
        <v>798</v>
      </c>
      <c r="L1373" t="s">
        <v>793</v>
      </c>
      <c r="M1373" t="s">
        <v>842</v>
      </c>
      <c r="N1373">
        <v>1</v>
      </c>
      <c r="O1373" s="3">
        <v>33.06</v>
      </c>
      <c r="P1373" s="3">
        <v>47.94</v>
      </c>
      <c r="Q1373" s="6">
        <v>0</v>
      </c>
      <c r="R1373" s="3">
        <v>47.94</v>
      </c>
      <c r="S1373" t="s">
        <v>825</v>
      </c>
    </row>
    <row r="1374" spans="1:19" x14ac:dyDescent="0.35">
      <c r="A1374" t="s">
        <v>2849</v>
      </c>
      <c r="B1374" t="s">
        <v>605</v>
      </c>
      <c r="C1374" s="5">
        <v>45820</v>
      </c>
      <c r="D1374" s="5">
        <v>45824</v>
      </c>
      <c r="E1374" t="s">
        <v>389</v>
      </c>
      <c r="F1374" t="s">
        <v>696</v>
      </c>
      <c r="G1374" t="s">
        <v>264</v>
      </c>
      <c r="H1374" t="s">
        <v>797</v>
      </c>
      <c r="I1374" t="s">
        <v>8</v>
      </c>
      <c r="J1374" t="s">
        <v>6</v>
      </c>
      <c r="K1374" t="s">
        <v>798</v>
      </c>
      <c r="L1374" t="s">
        <v>822</v>
      </c>
      <c r="M1374" t="s">
        <v>788</v>
      </c>
      <c r="N1374">
        <v>10</v>
      </c>
      <c r="O1374" s="3">
        <v>32.24</v>
      </c>
      <c r="P1374" s="3">
        <v>41.91</v>
      </c>
      <c r="Q1374" s="6">
        <v>0</v>
      </c>
      <c r="R1374" s="3">
        <v>419.09999999999997</v>
      </c>
      <c r="S1374" t="s">
        <v>1017</v>
      </c>
    </row>
    <row r="1375" spans="1:19" x14ac:dyDescent="0.35">
      <c r="A1375" t="s">
        <v>2850</v>
      </c>
      <c r="B1375" t="s">
        <v>557</v>
      </c>
      <c r="C1375" s="5">
        <v>45976</v>
      </c>
      <c r="E1375" t="s">
        <v>558</v>
      </c>
      <c r="F1375" t="s">
        <v>627</v>
      </c>
      <c r="G1375" t="s">
        <v>235</v>
      </c>
      <c r="H1375" t="s">
        <v>20</v>
      </c>
      <c r="I1375" t="s">
        <v>14</v>
      </c>
      <c r="J1375" t="s">
        <v>12</v>
      </c>
      <c r="K1375" t="s">
        <v>798</v>
      </c>
      <c r="L1375" t="s">
        <v>793</v>
      </c>
      <c r="M1375" t="s">
        <v>818</v>
      </c>
      <c r="N1375">
        <v>1</v>
      </c>
      <c r="O1375" s="3">
        <v>35.03</v>
      </c>
      <c r="P1375" s="3">
        <v>50.79</v>
      </c>
      <c r="Q1375" s="6">
        <v>0.1</v>
      </c>
      <c r="R1375" s="3">
        <v>45.710999999999999</v>
      </c>
      <c r="S1375" t="s">
        <v>839</v>
      </c>
    </row>
    <row r="1376" spans="1:19" x14ac:dyDescent="0.35">
      <c r="A1376" t="s">
        <v>2851</v>
      </c>
      <c r="B1376" t="s">
        <v>436</v>
      </c>
      <c r="C1376" s="5">
        <v>45444</v>
      </c>
      <c r="D1376" s="5">
        <v>45447</v>
      </c>
      <c r="E1376" t="s">
        <v>396</v>
      </c>
      <c r="F1376" t="s">
        <v>637</v>
      </c>
      <c r="G1376" t="s">
        <v>235</v>
      </c>
      <c r="H1376" t="s">
        <v>14</v>
      </c>
      <c r="I1376" t="s">
        <v>38</v>
      </c>
      <c r="J1376" t="s">
        <v>80</v>
      </c>
      <c r="K1376" t="s">
        <v>798</v>
      </c>
      <c r="L1376" t="s">
        <v>799</v>
      </c>
      <c r="M1376" t="s">
        <v>842</v>
      </c>
      <c r="N1376">
        <v>1</v>
      </c>
      <c r="O1376" s="3">
        <v>38.57</v>
      </c>
      <c r="P1376" s="3">
        <v>48.21</v>
      </c>
      <c r="Q1376" s="6">
        <v>0.05</v>
      </c>
      <c r="R1376" s="3">
        <v>45.799500000000002</v>
      </c>
      <c r="S1376" t="s">
        <v>963</v>
      </c>
    </row>
    <row r="1377" spans="1:19" x14ac:dyDescent="0.35">
      <c r="A1377" t="s">
        <v>2852</v>
      </c>
      <c r="B1377" t="s">
        <v>595</v>
      </c>
      <c r="C1377" s="5">
        <v>45403</v>
      </c>
      <c r="E1377" t="s">
        <v>253</v>
      </c>
      <c r="F1377" t="s">
        <v>637</v>
      </c>
      <c r="G1377" t="s">
        <v>235</v>
      </c>
      <c r="H1377" t="s">
        <v>797</v>
      </c>
      <c r="I1377" t="s">
        <v>38</v>
      </c>
      <c r="J1377" t="s">
        <v>117</v>
      </c>
      <c r="K1377" t="s">
        <v>798</v>
      </c>
      <c r="L1377" t="s">
        <v>793</v>
      </c>
      <c r="M1377" t="s">
        <v>788</v>
      </c>
      <c r="N1377">
        <v>2</v>
      </c>
      <c r="O1377" s="3">
        <v>43.25</v>
      </c>
      <c r="P1377" s="3">
        <v>60.55</v>
      </c>
      <c r="Q1377" s="6">
        <v>0.15</v>
      </c>
      <c r="R1377" s="3">
        <v>102.935</v>
      </c>
      <c r="S1377" t="s">
        <v>935</v>
      </c>
    </row>
    <row r="1378" spans="1:19" x14ac:dyDescent="0.35">
      <c r="A1378" t="s">
        <v>2853</v>
      </c>
      <c r="B1378" t="s">
        <v>538</v>
      </c>
      <c r="C1378" s="5">
        <v>45977</v>
      </c>
      <c r="D1378" s="5">
        <v>45983</v>
      </c>
      <c r="E1378" t="s">
        <v>539</v>
      </c>
      <c r="F1378" t="s">
        <v>627</v>
      </c>
      <c r="G1378" t="s">
        <v>264</v>
      </c>
      <c r="H1378" t="s">
        <v>797</v>
      </c>
      <c r="I1378" t="s">
        <v>29</v>
      </c>
      <c r="J1378" t="s">
        <v>27</v>
      </c>
      <c r="K1378" t="s">
        <v>798</v>
      </c>
      <c r="L1378" t="s">
        <v>799</v>
      </c>
      <c r="M1378" t="s">
        <v>788</v>
      </c>
      <c r="N1378">
        <v>10</v>
      </c>
      <c r="O1378" s="3">
        <v>33.06</v>
      </c>
      <c r="P1378" s="3">
        <v>47.94</v>
      </c>
      <c r="Q1378" s="6">
        <v>0</v>
      </c>
      <c r="R1378" s="3">
        <v>479.4</v>
      </c>
      <c r="S1378" t="s">
        <v>829</v>
      </c>
    </row>
    <row r="1379" spans="1:19" x14ac:dyDescent="0.35">
      <c r="A1379" t="s">
        <v>2854</v>
      </c>
      <c r="B1379" t="s">
        <v>609</v>
      </c>
      <c r="C1379" s="5">
        <v>45657</v>
      </c>
      <c r="D1379" s="5">
        <v>45659</v>
      </c>
      <c r="E1379" t="s">
        <v>610</v>
      </c>
      <c r="F1379" t="s">
        <v>674</v>
      </c>
      <c r="H1379" t="s">
        <v>14</v>
      </c>
      <c r="I1379" t="s">
        <v>20</v>
      </c>
      <c r="J1379" t="s">
        <v>97</v>
      </c>
      <c r="K1379" t="s">
        <v>798</v>
      </c>
      <c r="L1379" t="s">
        <v>799</v>
      </c>
      <c r="M1379" t="s">
        <v>842</v>
      </c>
      <c r="N1379">
        <v>12</v>
      </c>
      <c r="O1379" s="3">
        <v>20.79</v>
      </c>
      <c r="P1379" s="3">
        <v>28.07</v>
      </c>
      <c r="Q1379" s="6">
        <v>0.15</v>
      </c>
      <c r="R1379" s="3">
        <v>286.31400000000002</v>
      </c>
      <c r="S1379" t="s">
        <v>834</v>
      </c>
    </row>
    <row r="1380" spans="1:19" x14ac:dyDescent="0.35">
      <c r="A1380" t="s">
        <v>2855</v>
      </c>
      <c r="B1380" t="s">
        <v>394</v>
      </c>
      <c r="C1380" s="5">
        <v>45870</v>
      </c>
      <c r="E1380" t="s">
        <v>356</v>
      </c>
      <c r="F1380" t="s">
        <v>696</v>
      </c>
      <c r="G1380" t="s">
        <v>264</v>
      </c>
      <c r="H1380" t="s">
        <v>20</v>
      </c>
      <c r="I1380" t="s">
        <v>29</v>
      </c>
      <c r="J1380" t="s">
        <v>49</v>
      </c>
      <c r="K1380" t="s">
        <v>798</v>
      </c>
      <c r="L1380" t="s">
        <v>793</v>
      </c>
      <c r="M1380" t="s">
        <v>842</v>
      </c>
      <c r="N1380">
        <v>20</v>
      </c>
      <c r="O1380" s="3">
        <v>14.89</v>
      </c>
      <c r="P1380" s="3">
        <v>20.85</v>
      </c>
      <c r="Q1380" s="6">
        <v>0</v>
      </c>
      <c r="R1380" s="3">
        <v>417</v>
      </c>
      <c r="S1380" t="s">
        <v>825</v>
      </c>
    </row>
    <row r="1381" spans="1:19" x14ac:dyDescent="0.35">
      <c r="A1381" t="s">
        <v>2856</v>
      </c>
      <c r="B1381" t="s">
        <v>593</v>
      </c>
      <c r="C1381" s="5">
        <v>45853</v>
      </c>
      <c r="E1381" t="s">
        <v>594</v>
      </c>
      <c r="F1381" t="s">
        <v>674</v>
      </c>
      <c r="G1381" t="s">
        <v>243</v>
      </c>
      <c r="H1381" t="s">
        <v>797</v>
      </c>
      <c r="I1381" t="s">
        <v>29</v>
      </c>
      <c r="J1381" t="s">
        <v>115</v>
      </c>
      <c r="K1381" t="s">
        <v>798</v>
      </c>
      <c r="L1381" t="s">
        <v>793</v>
      </c>
      <c r="M1381" t="s">
        <v>842</v>
      </c>
      <c r="N1381">
        <v>1</v>
      </c>
      <c r="O1381" s="3">
        <v>34.340000000000003</v>
      </c>
      <c r="P1381" s="3">
        <v>44.64</v>
      </c>
      <c r="Q1381" s="6">
        <v>0</v>
      </c>
      <c r="R1381" s="3">
        <v>44.64</v>
      </c>
      <c r="S1381" t="s">
        <v>839</v>
      </c>
    </row>
    <row r="1382" spans="1:19" x14ac:dyDescent="0.35">
      <c r="A1382" t="s">
        <v>2858</v>
      </c>
      <c r="B1382" t="s">
        <v>334</v>
      </c>
      <c r="C1382" s="5">
        <v>45893</v>
      </c>
      <c r="D1382" s="5">
        <v>45903</v>
      </c>
      <c r="E1382" t="s">
        <v>335</v>
      </c>
      <c r="F1382" t="s">
        <v>633</v>
      </c>
      <c r="G1382" t="s">
        <v>243</v>
      </c>
      <c r="H1382" t="s">
        <v>14</v>
      </c>
      <c r="I1382" t="s">
        <v>48</v>
      </c>
      <c r="J1382" t="s">
        <v>217</v>
      </c>
      <c r="K1382" t="s">
        <v>786</v>
      </c>
      <c r="L1382" t="s">
        <v>822</v>
      </c>
      <c r="M1382" t="s">
        <v>842</v>
      </c>
      <c r="N1382">
        <v>3</v>
      </c>
      <c r="O1382" s="3">
        <v>24.07</v>
      </c>
      <c r="P1382" s="3">
        <v>34.9</v>
      </c>
      <c r="Q1382" s="6">
        <v>0</v>
      </c>
      <c r="R1382" s="3">
        <v>104.69999999999999</v>
      </c>
      <c r="S1382" t="s">
        <v>794</v>
      </c>
    </row>
    <row r="1383" spans="1:19" x14ac:dyDescent="0.35">
      <c r="A1383" t="s">
        <v>2859</v>
      </c>
      <c r="B1383" t="s">
        <v>401</v>
      </c>
      <c r="C1383" s="5">
        <v>45413</v>
      </c>
      <c r="D1383" s="5">
        <v>45418</v>
      </c>
      <c r="E1383" t="s">
        <v>402</v>
      </c>
      <c r="F1383" t="s">
        <v>637</v>
      </c>
      <c r="G1383" t="s">
        <v>243</v>
      </c>
      <c r="H1383" t="s">
        <v>14</v>
      </c>
      <c r="I1383" t="s">
        <v>43</v>
      </c>
      <c r="J1383" t="s">
        <v>99</v>
      </c>
      <c r="K1383" t="s">
        <v>798</v>
      </c>
      <c r="L1383" t="s">
        <v>822</v>
      </c>
      <c r="M1383" t="s">
        <v>788</v>
      </c>
      <c r="N1383">
        <v>3</v>
      </c>
      <c r="O1383" s="3">
        <v>10.88</v>
      </c>
      <c r="P1383" s="3">
        <v>15.78</v>
      </c>
      <c r="Q1383" s="6">
        <v>0</v>
      </c>
      <c r="R1383" s="3">
        <v>47.339999999999996</v>
      </c>
      <c r="S1383" t="s">
        <v>819</v>
      </c>
    </row>
    <row r="1384" spans="1:19" x14ac:dyDescent="0.35">
      <c r="A1384" t="s">
        <v>2860</v>
      </c>
      <c r="B1384" t="s">
        <v>573</v>
      </c>
      <c r="C1384" s="5">
        <v>45846</v>
      </c>
      <c r="D1384" s="5">
        <v>45848</v>
      </c>
      <c r="E1384" t="s">
        <v>277</v>
      </c>
      <c r="F1384" t="s">
        <v>637</v>
      </c>
      <c r="G1384" t="s">
        <v>235</v>
      </c>
      <c r="H1384" t="s">
        <v>14</v>
      </c>
      <c r="I1384" t="s">
        <v>38</v>
      </c>
      <c r="J1384" t="s">
        <v>80</v>
      </c>
      <c r="K1384" t="s">
        <v>813</v>
      </c>
      <c r="L1384" t="s">
        <v>799</v>
      </c>
      <c r="M1384" t="s">
        <v>788</v>
      </c>
      <c r="N1384">
        <v>10</v>
      </c>
      <c r="O1384" s="3">
        <v>38.57</v>
      </c>
      <c r="P1384" s="3">
        <v>48.21</v>
      </c>
      <c r="Q1384" s="6">
        <v>0.05</v>
      </c>
      <c r="R1384" s="3">
        <v>457.995</v>
      </c>
      <c r="S1384" t="s">
        <v>1134</v>
      </c>
    </row>
    <row r="1385" spans="1:19" x14ac:dyDescent="0.35">
      <c r="A1385" t="s">
        <v>2861</v>
      </c>
      <c r="B1385" t="s">
        <v>547</v>
      </c>
      <c r="C1385" s="5">
        <v>45382</v>
      </c>
      <c r="E1385" t="s">
        <v>375</v>
      </c>
      <c r="F1385" t="s">
        <v>674</v>
      </c>
      <c r="G1385" t="s">
        <v>243</v>
      </c>
      <c r="H1385" t="s">
        <v>48</v>
      </c>
      <c r="I1385" t="s">
        <v>38</v>
      </c>
      <c r="J1385" t="s">
        <v>126</v>
      </c>
      <c r="K1385" t="s">
        <v>798</v>
      </c>
      <c r="L1385" t="s">
        <v>793</v>
      </c>
      <c r="M1385" t="s">
        <v>800</v>
      </c>
      <c r="N1385">
        <v>3</v>
      </c>
      <c r="O1385" s="3">
        <v>41.95</v>
      </c>
      <c r="P1385" s="3">
        <v>58.73</v>
      </c>
      <c r="Q1385" s="6">
        <v>0</v>
      </c>
      <c r="R1385" s="3">
        <v>176.19</v>
      </c>
      <c r="S1385" t="s">
        <v>845</v>
      </c>
    </row>
    <row r="1386" spans="1:19" x14ac:dyDescent="0.35">
      <c r="A1386" t="s">
        <v>2862</v>
      </c>
      <c r="B1386" t="s">
        <v>260</v>
      </c>
      <c r="C1386" s="5">
        <v>45861</v>
      </c>
      <c r="E1386" t="s">
        <v>261</v>
      </c>
      <c r="F1386" t="s">
        <v>681</v>
      </c>
      <c r="G1386" t="s">
        <v>264</v>
      </c>
      <c r="H1386" t="s">
        <v>797</v>
      </c>
      <c r="I1386" t="s">
        <v>29</v>
      </c>
      <c r="J1386" t="s">
        <v>27</v>
      </c>
      <c r="K1386" t="s">
        <v>798</v>
      </c>
      <c r="L1386" t="s">
        <v>787</v>
      </c>
      <c r="M1386" t="s">
        <v>800</v>
      </c>
      <c r="N1386">
        <v>20</v>
      </c>
      <c r="O1386" s="3">
        <v>33.06</v>
      </c>
      <c r="P1386" s="3">
        <v>47.94</v>
      </c>
      <c r="Q1386" s="6">
        <v>0</v>
      </c>
      <c r="R1386" s="3">
        <v>958.8</v>
      </c>
      <c r="S1386" t="s">
        <v>810</v>
      </c>
    </row>
    <row r="1387" spans="1:19" x14ac:dyDescent="0.35">
      <c r="A1387" t="s">
        <v>2863</v>
      </c>
      <c r="B1387" t="s">
        <v>601</v>
      </c>
      <c r="C1387" s="5">
        <v>45452</v>
      </c>
      <c r="E1387" t="s">
        <v>602</v>
      </c>
      <c r="F1387" t="s">
        <v>254</v>
      </c>
      <c r="G1387" t="s">
        <v>235</v>
      </c>
      <c r="H1387" t="s">
        <v>20</v>
      </c>
      <c r="I1387" t="s">
        <v>8</v>
      </c>
      <c r="J1387" t="s">
        <v>212</v>
      </c>
      <c r="K1387" t="s">
        <v>813</v>
      </c>
      <c r="L1387" t="s">
        <v>793</v>
      </c>
      <c r="M1387" t="s">
        <v>788</v>
      </c>
      <c r="N1387">
        <v>1</v>
      </c>
      <c r="O1387" s="3">
        <v>95.09</v>
      </c>
      <c r="P1387" s="3">
        <v>133.13</v>
      </c>
      <c r="Q1387" s="6">
        <v>0</v>
      </c>
      <c r="R1387" s="3">
        <v>133.13</v>
      </c>
      <c r="S1387" t="s">
        <v>845</v>
      </c>
    </row>
    <row r="1388" spans="1:19" x14ac:dyDescent="0.35">
      <c r="A1388" t="s">
        <v>2864</v>
      </c>
      <c r="B1388" t="s">
        <v>388</v>
      </c>
      <c r="C1388" s="5">
        <v>45354</v>
      </c>
      <c r="D1388" s="5">
        <v>45359</v>
      </c>
      <c r="E1388" t="s">
        <v>389</v>
      </c>
      <c r="F1388" t="s">
        <v>627</v>
      </c>
      <c r="G1388" t="s">
        <v>243</v>
      </c>
      <c r="H1388" t="s">
        <v>797</v>
      </c>
      <c r="I1388" t="s">
        <v>43</v>
      </c>
      <c r="J1388" t="s">
        <v>113</v>
      </c>
      <c r="K1388" t="s">
        <v>813</v>
      </c>
      <c r="L1388" t="s">
        <v>822</v>
      </c>
      <c r="M1388" t="s">
        <v>788</v>
      </c>
      <c r="N1388">
        <v>2</v>
      </c>
      <c r="O1388" s="3">
        <v>16.91</v>
      </c>
      <c r="P1388" s="3">
        <v>21.14</v>
      </c>
      <c r="Q1388" s="6">
        <v>0</v>
      </c>
      <c r="R1388" s="3">
        <v>42.28</v>
      </c>
      <c r="S1388" t="s">
        <v>869</v>
      </c>
    </row>
    <row r="1389" spans="1:19" x14ac:dyDescent="0.35">
      <c r="A1389" t="s">
        <v>2865</v>
      </c>
      <c r="B1389" t="s">
        <v>354</v>
      </c>
      <c r="C1389" s="5">
        <v>45995</v>
      </c>
      <c r="D1389" s="5">
        <v>45996</v>
      </c>
      <c r="E1389" t="s">
        <v>321</v>
      </c>
      <c r="F1389" t="s">
        <v>681</v>
      </c>
      <c r="G1389" t="s">
        <v>243</v>
      </c>
      <c r="H1389" t="s">
        <v>797</v>
      </c>
      <c r="I1389" t="s">
        <v>14</v>
      </c>
      <c r="J1389" t="s">
        <v>24</v>
      </c>
      <c r="K1389" t="s">
        <v>786</v>
      </c>
      <c r="L1389" t="s">
        <v>799</v>
      </c>
      <c r="M1389" t="s">
        <v>842</v>
      </c>
      <c r="N1389">
        <v>12</v>
      </c>
      <c r="O1389" s="3">
        <v>37.42</v>
      </c>
      <c r="P1389" s="3">
        <v>50.52</v>
      </c>
      <c r="Q1389" s="6">
        <v>0</v>
      </c>
      <c r="R1389" s="3">
        <v>606.24</v>
      </c>
      <c r="S1389" t="s">
        <v>814</v>
      </c>
    </row>
    <row r="1390" spans="1:19" x14ac:dyDescent="0.35">
      <c r="A1390" t="s">
        <v>2866</v>
      </c>
      <c r="B1390" t="s">
        <v>582</v>
      </c>
      <c r="C1390" s="5">
        <v>45837</v>
      </c>
      <c r="D1390" s="5">
        <v>45844</v>
      </c>
      <c r="E1390" t="s">
        <v>583</v>
      </c>
      <c r="F1390" t="s">
        <v>637</v>
      </c>
      <c r="G1390" t="s">
        <v>264</v>
      </c>
      <c r="H1390" t="s">
        <v>20</v>
      </c>
      <c r="I1390" t="s">
        <v>43</v>
      </c>
      <c r="J1390" t="s">
        <v>215</v>
      </c>
      <c r="K1390" t="s">
        <v>813</v>
      </c>
      <c r="L1390" t="s">
        <v>799</v>
      </c>
      <c r="M1390" t="s">
        <v>788</v>
      </c>
      <c r="N1390">
        <v>2</v>
      </c>
      <c r="O1390" s="3">
        <v>28.96</v>
      </c>
      <c r="P1390" s="3">
        <v>40.54</v>
      </c>
      <c r="Q1390" s="6">
        <v>0</v>
      </c>
      <c r="R1390" s="3">
        <v>81.08</v>
      </c>
      <c r="S1390" t="s">
        <v>888</v>
      </c>
    </row>
    <row r="1391" spans="1:19" x14ac:dyDescent="0.35">
      <c r="A1391" t="s">
        <v>2867</v>
      </c>
      <c r="B1391" t="s">
        <v>390</v>
      </c>
      <c r="C1391" s="5">
        <v>45403</v>
      </c>
      <c r="D1391" s="5">
        <v>45413</v>
      </c>
      <c r="E1391" t="s">
        <v>391</v>
      </c>
      <c r="F1391" t="s">
        <v>681</v>
      </c>
      <c r="G1391" t="s">
        <v>235</v>
      </c>
      <c r="H1391" t="s">
        <v>20</v>
      </c>
      <c r="I1391" t="s">
        <v>20</v>
      </c>
      <c r="J1391" t="s">
        <v>134</v>
      </c>
      <c r="K1391" t="s">
        <v>798</v>
      </c>
      <c r="L1391" t="s">
        <v>799</v>
      </c>
      <c r="M1391" t="s">
        <v>800</v>
      </c>
      <c r="N1391">
        <v>10</v>
      </c>
      <c r="O1391" s="3">
        <v>38.36</v>
      </c>
      <c r="P1391" s="3">
        <v>53.7</v>
      </c>
      <c r="Q1391" s="6">
        <v>0.05</v>
      </c>
      <c r="R1391" s="3">
        <v>510.15</v>
      </c>
      <c r="S1391" t="s">
        <v>810</v>
      </c>
    </row>
    <row r="1392" spans="1:19" x14ac:dyDescent="0.35">
      <c r="A1392" t="s">
        <v>2868</v>
      </c>
      <c r="B1392" t="s">
        <v>384</v>
      </c>
      <c r="C1392" s="5">
        <v>45837</v>
      </c>
      <c r="D1392" s="5">
        <v>45847</v>
      </c>
      <c r="E1392" t="s">
        <v>385</v>
      </c>
      <c r="F1392" t="s">
        <v>696</v>
      </c>
      <c r="G1392" t="s">
        <v>264</v>
      </c>
      <c r="H1392" t="s">
        <v>797</v>
      </c>
      <c r="I1392" t="s">
        <v>8</v>
      </c>
      <c r="J1392" t="s">
        <v>10</v>
      </c>
      <c r="K1392" t="s">
        <v>798</v>
      </c>
      <c r="L1392" t="s">
        <v>799</v>
      </c>
      <c r="M1392" t="s">
        <v>800</v>
      </c>
      <c r="N1392">
        <v>1</v>
      </c>
      <c r="O1392" s="3">
        <v>22.74</v>
      </c>
      <c r="P1392" s="3">
        <v>28.42</v>
      </c>
      <c r="Q1392" s="6">
        <v>0</v>
      </c>
      <c r="R1392" s="3">
        <v>28.42</v>
      </c>
      <c r="S1392" t="s">
        <v>1017</v>
      </c>
    </row>
    <row r="1393" spans="1:19" x14ac:dyDescent="0.35">
      <c r="A1393" t="s">
        <v>2869</v>
      </c>
      <c r="B1393" t="s">
        <v>374</v>
      </c>
      <c r="C1393" s="5">
        <v>45511</v>
      </c>
      <c r="D1393" s="5">
        <v>45514</v>
      </c>
      <c r="E1393" t="s">
        <v>375</v>
      </c>
      <c r="F1393" t="s">
        <v>696</v>
      </c>
      <c r="G1393" t="s">
        <v>264</v>
      </c>
      <c r="H1393" t="s">
        <v>797</v>
      </c>
      <c r="I1393" t="s">
        <v>14</v>
      </c>
      <c r="J1393" t="s">
        <v>138</v>
      </c>
      <c r="K1393" t="s">
        <v>786</v>
      </c>
      <c r="L1393" t="s">
        <v>799</v>
      </c>
      <c r="M1393" t="s">
        <v>842</v>
      </c>
      <c r="N1393">
        <v>2</v>
      </c>
      <c r="O1393" s="3">
        <v>42.6</v>
      </c>
      <c r="P1393" s="3">
        <v>59.64</v>
      </c>
      <c r="Q1393" s="6">
        <v>0.1</v>
      </c>
      <c r="R1393" s="3">
        <v>107.352</v>
      </c>
      <c r="S1393" t="s">
        <v>919</v>
      </c>
    </row>
    <row r="1394" spans="1:19" x14ac:dyDescent="0.35">
      <c r="A1394" t="s">
        <v>2870</v>
      </c>
      <c r="B1394" t="s">
        <v>601</v>
      </c>
      <c r="C1394" s="5">
        <v>45347</v>
      </c>
      <c r="D1394" s="5">
        <v>45350</v>
      </c>
      <c r="E1394" t="s">
        <v>602</v>
      </c>
      <c r="F1394" t="s">
        <v>681</v>
      </c>
      <c r="G1394" t="s">
        <v>235</v>
      </c>
      <c r="H1394" t="s">
        <v>14</v>
      </c>
      <c r="I1394" t="s">
        <v>43</v>
      </c>
      <c r="J1394" t="s">
        <v>53</v>
      </c>
      <c r="K1394" t="s">
        <v>786</v>
      </c>
      <c r="L1394" t="s">
        <v>799</v>
      </c>
      <c r="M1394" t="s">
        <v>818</v>
      </c>
      <c r="N1394">
        <v>12</v>
      </c>
      <c r="O1394" s="3">
        <v>54.93</v>
      </c>
      <c r="P1394" s="3">
        <v>79.650000000000006</v>
      </c>
      <c r="Q1394" s="6">
        <v>0.15</v>
      </c>
      <c r="R1394" s="3">
        <v>812.43000000000006</v>
      </c>
      <c r="S1394" t="s">
        <v>803</v>
      </c>
    </row>
    <row r="1395" spans="1:19" x14ac:dyDescent="0.35">
      <c r="A1395" t="s">
        <v>2871</v>
      </c>
      <c r="B1395" t="s">
        <v>367</v>
      </c>
      <c r="C1395" s="5">
        <v>45346</v>
      </c>
      <c r="E1395" t="s">
        <v>368</v>
      </c>
      <c r="F1395" t="s">
        <v>627</v>
      </c>
      <c r="G1395" t="s">
        <v>264</v>
      </c>
      <c r="H1395" t="s">
        <v>20</v>
      </c>
      <c r="I1395" t="s">
        <v>29</v>
      </c>
      <c r="J1395" t="s">
        <v>182</v>
      </c>
      <c r="K1395" t="s">
        <v>786</v>
      </c>
      <c r="L1395" t="s">
        <v>793</v>
      </c>
      <c r="M1395" t="s">
        <v>842</v>
      </c>
      <c r="N1395">
        <v>3</v>
      </c>
      <c r="O1395" s="3">
        <v>19.77</v>
      </c>
      <c r="P1395" s="3">
        <v>27.68</v>
      </c>
      <c r="Q1395" s="6">
        <v>0.1</v>
      </c>
      <c r="R1395" s="3">
        <v>74.73599999999999</v>
      </c>
      <c r="S1395" t="s">
        <v>946</v>
      </c>
    </row>
    <row r="1396" spans="1:19" x14ac:dyDescent="0.35">
      <c r="A1396" t="s">
        <v>2872</v>
      </c>
      <c r="B1396" t="s">
        <v>397</v>
      </c>
      <c r="C1396" s="5">
        <v>45848</v>
      </c>
      <c r="D1396" s="5">
        <v>45857</v>
      </c>
      <c r="E1396" t="s">
        <v>360</v>
      </c>
      <c r="F1396" t="s">
        <v>627</v>
      </c>
      <c r="H1396" t="s">
        <v>14</v>
      </c>
      <c r="I1396" t="s">
        <v>48</v>
      </c>
      <c r="J1396" t="s">
        <v>143</v>
      </c>
      <c r="K1396" t="s">
        <v>798</v>
      </c>
      <c r="L1396" t="s">
        <v>799</v>
      </c>
      <c r="M1396" t="s">
        <v>800</v>
      </c>
      <c r="N1396">
        <v>5</v>
      </c>
      <c r="O1396" s="3">
        <v>29.93</v>
      </c>
      <c r="P1396" s="3">
        <v>38.909999999999997</v>
      </c>
      <c r="Q1396" s="6">
        <v>0</v>
      </c>
      <c r="R1396" s="3">
        <v>194.54999999999998</v>
      </c>
      <c r="S1396" t="s">
        <v>1134</v>
      </c>
    </row>
    <row r="1397" spans="1:19" x14ac:dyDescent="0.35">
      <c r="A1397" t="s">
        <v>2873</v>
      </c>
      <c r="B1397" t="s">
        <v>278</v>
      </c>
      <c r="C1397" s="5">
        <v>45431</v>
      </c>
      <c r="E1397" t="s">
        <v>279</v>
      </c>
      <c r="F1397" t="s">
        <v>696</v>
      </c>
      <c r="G1397" t="s">
        <v>235</v>
      </c>
      <c r="H1397" t="s">
        <v>14</v>
      </c>
      <c r="I1397" t="s">
        <v>38</v>
      </c>
      <c r="J1397" t="s">
        <v>82</v>
      </c>
      <c r="K1397" t="s">
        <v>786</v>
      </c>
      <c r="L1397" t="s">
        <v>787</v>
      </c>
      <c r="M1397" t="s">
        <v>788</v>
      </c>
      <c r="N1397">
        <v>5</v>
      </c>
      <c r="O1397" s="3">
        <v>12.54</v>
      </c>
      <c r="P1397" s="3">
        <v>16.93</v>
      </c>
      <c r="Q1397" s="6">
        <v>0.15</v>
      </c>
      <c r="R1397" s="3">
        <v>71.952500000000001</v>
      </c>
      <c r="S1397" t="s">
        <v>869</v>
      </c>
    </row>
    <row r="1398" spans="1:19" x14ac:dyDescent="0.35">
      <c r="A1398" t="s">
        <v>2874</v>
      </c>
      <c r="B1398" t="s">
        <v>351</v>
      </c>
      <c r="C1398" s="5">
        <v>45383</v>
      </c>
      <c r="D1398" s="5">
        <v>45391</v>
      </c>
      <c r="E1398" t="s">
        <v>352</v>
      </c>
      <c r="F1398" t="s">
        <v>627</v>
      </c>
      <c r="G1398" t="s">
        <v>264</v>
      </c>
      <c r="H1398" t="s">
        <v>797</v>
      </c>
      <c r="I1398" t="s">
        <v>43</v>
      </c>
      <c r="J1398" t="s">
        <v>44</v>
      </c>
      <c r="K1398" t="s">
        <v>798</v>
      </c>
      <c r="L1398" t="s">
        <v>799</v>
      </c>
      <c r="M1398" t="s">
        <v>842</v>
      </c>
      <c r="N1398">
        <v>2</v>
      </c>
      <c r="O1398" s="3">
        <v>14.05</v>
      </c>
      <c r="P1398" s="3">
        <v>19.670000000000002</v>
      </c>
      <c r="Q1398" s="6">
        <v>0.15</v>
      </c>
      <c r="R1398" s="3">
        <v>33.439</v>
      </c>
      <c r="S1398" t="s">
        <v>1134</v>
      </c>
    </row>
    <row r="1399" spans="1:19" x14ac:dyDescent="0.35">
      <c r="A1399" t="s">
        <v>2875</v>
      </c>
      <c r="B1399" t="s">
        <v>440</v>
      </c>
      <c r="C1399" s="5">
        <v>45460</v>
      </c>
      <c r="E1399" t="s">
        <v>441</v>
      </c>
      <c r="F1399" t="s">
        <v>254</v>
      </c>
      <c r="G1399" t="s">
        <v>264</v>
      </c>
      <c r="H1399" t="s">
        <v>797</v>
      </c>
      <c r="I1399" t="s">
        <v>48</v>
      </c>
      <c r="J1399" t="s">
        <v>46</v>
      </c>
      <c r="K1399" t="s">
        <v>813</v>
      </c>
      <c r="L1399" t="s">
        <v>787</v>
      </c>
      <c r="M1399" t="s">
        <v>842</v>
      </c>
      <c r="N1399">
        <v>1</v>
      </c>
      <c r="O1399" s="3">
        <v>29.16</v>
      </c>
      <c r="P1399" s="3">
        <v>36.450000000000003</v>
      </c>
      <c r="Q1399" s="6">
        <v>0.15</v>
      </c>
      <c r="R1399" s="3">
        <v>30.982500000000002</v>
      </c>
      <c r="S1399" t="s">
        <v>839</v>
      </c>
    </row>
    <row r="1400" spans="1:19" x14ac:dyDescent="0.35">
      <c r="A1400" t="s">
        <v>2876</v>
      </c>
      <c r="B1400" t="s">
        <v>359</v>
      </c>
      <c r="C1400" s="5">
        <v>45377</v>
      </c>
      <c r="E1400" t="s">
        <v>360</v>
      </c>
      <c r="F1400" t="s">
        <v>637</v>
      </c>
      <c r="G1400" t="s">
        <v>235</v>
      </c>
      <c r="H1400" t="s">
        <v>20</v>
      </c>
      <c r="I1400" t="s">
        <v>48</v>
      </c>
      <c r="J1400" t="s">
        <v>139</v>
      </c>
      <c r="K1400" t="s">
        <v>798</v>
      </c>
      <c r="L1400" t="s">
        <v>787</v>
      </c>
      <c r="M1400" t="s">
        <v>788</v>
      </c>
      <c r="N1400">
        <v>20</v>
      </c>
      <c r="O1400" s="3">
        <v>29.93</v>
      </c>
      <c r="P1400" s="3">
        <v>41.9</v>
      </c>
      <c r="Q1400" s="6">
        <v>0.05</v>
      </c>
      <c r="R1400" s="3">
        <v>796.1</v>
      </c>
      <c r="S1400" t="s">
        <v>919</v>
      </c>
    </row>
    <row r="1401" spans="1:19" x14ac:dyDescent="0.35">
      <c r="A1401" t="s">
        <v>2877</v>
      </c>
      <c r="B1401" t="s">
        <v>569</v>
      </c>
      <c r="C1401" s="5">
        <v>45741</v>
      </c>
      <c r="E1401" t="s">
        <v>535</v>
      </c>
      <c r="F1401" t="s">
        <v>633</v>
      </c>
      <c r="H1401" t="s">
        <v>797</v>
      </c>
      <c r="I1401" t="s">
        <v>20</v>
      </c>
      <c r="J1401" t="s">
        <v>134</v>
      </c>
      <c r="K1401" t="s">
        <v>798</v>
      </c>
      <c r="L1401" t="s">
        <v>817</v>
      </c>
      <c r="M1401" t="s">
        <v>842</v>
      </c>
      <c r="N1401">
        <v>12</v>
      </c>
      <c r="O1401" s="3">
        <v>38.36</v>
      </c>
      <c r="P1401" s="3">
        <v>53.7</v>
      </c>
      <c r="Q1401" s="6">
        <v>0.15</v>
      </c>
      <c r="R1401" s="3">
        <v>547.74000000000012</v>
      </c>
      <c r="S1401" t="s">
        <v>888</v>
      </c>
    </row>
    <row r="1402" spans="1:19" x14ac:dyDescent="0.35">
      <c r="A1402" t="s">
        <v>2878</v>
      </c>
      <c r="B1402" t="s">
        <v>459</v>
      </c>
      <c r="C1402" s="5">
        <v>45653</v>
      </c>
      <c r="D1402" s="5">
        <v>45655</v>
      </c>
      <c r="E1402" t="s">
        <v>460</v>
      </c>
      <c r="F1402" t="s">
        <v>681</v>
      </c>
      <c r="G1402" t="s">
        <v>264</v>
      </c>
      <c r="H1402" t="s">
        <v>797</v>
      </c>
      <c r="I1402" t="s">
        <v>48</v>
      </c>
      <c r="J1402" t="s">
        <v>135</v>
      </c>
      <c r="K1402" t="s">
        <v>786</v>
      </c>
      <c r="L1402" t="s">
        <v>799</v>
      </c>
      <c r="M1402" t="s">
        <v>800</v>
      </c>
      <c r="N1402">
        <v>5</v>
      </c>
      <c r="O1402" s="3">
        <v>51.72</v>
      </c>
      <c r="P1402" s="3">
        <v>67.239999999999995</v>
      </c>
      <c r="Q1402" s="6">
        <v>0</v>
      </c>
      <c r="R1402" s="3">
        <v>336.2</v>
      </c>
      <c r="S1402" t="s">
        <v>810</v>
      </c>
    </row>
    <row r="1403" spans="1:19" x14ac:dyDescent="0.35">
      <c r="A1403" t="s">
        <v>2879</v>
      </c>
      <c r="B1403" t="s">
        <v>552</v>
      </c>
      <c r="C1403" s="5">
        <v>45850</v>
      </c>
      <c r="D1403" s="5">
        <v>45855</v>
      </c>
      <c r="E1403" t="s">
        <v>553</v>
      </c>
      <c r="F1403" t="s">
        <v>681</v>
      </c>
      <c r="G1403" t="s">
        <v>235</v>
      </c>
      <c r="H1403" t="s">
        <v>14</v>
      </c>
      <c r="I1403" t="s">
        <v>8</v>
      </c>
      <c r="J1403" t="s">
        <v>192</v>
      </c>
      <c r="K1403" t="s">
        <v>798</v>
      </c>
      <c r="L1403" t="s">
        <v>799</v>
      </c>
      <c r="M1403" t="s">
        <v>842</v>
      </c>
      <c r="N1403">
        <v>5</v>
      </c>
      <c r="O1403" s="3">
        <v>19.47</v>
      </c>
      <c r="P1403" s="3">
        <v>28.23</v>
      </c>
      <c r="Q1403" s="6">
        <v>0</v>
      </c>
      <c r="R1403" s="3">
        <v>141.15</v>
      </c>
      <c r="S1403" t="s">
        <v>810</v>
      </c>
    </row>
    <row r="1404" spans="1:19" x14ac:dyDescent="0.35">
      <c r="A1404" t="s">
        <v>2880</v>
      </c>
      <c r="B1404" t="s">
        <v>276</v>
      </c>
      <c r="C1404" s="5">
        <v>45805</v>
      </c>
      <c r="D1404" s="5">
        <v>45806</v>
      </c>
      <c r="E1404" t="s">
        <v>277</v>
      </c>
      <c r="F1404" t="s">
        <v>633</v>
      </c>
      <c r="G1404" t="s">
        <v>243</v>
      </c>
      <c r="H1404" t="s">
        <v>797</v>
      </c>
      <c r="I1404" t="s">
        <v>38</v>
      </c>
      <c r="J1404" t="s">
        <v>69</v>
      </c>
      <c r="K1404" t="s">
        <v>813</v>
      </c>
      <c r="L1404" t="s">
        <v>799</v>
      </c>
      <c r="M1404" t="s">
        <v>842</v>
      </c>
      <c r="N1404">
        <v>10</v>
      </c>
      <c r="O1404" s="3">
        <v>20.9</v>
      </c>
      <c r="P1404" s="3">
        <v>28.21</v>
      </c>
      <c r="Q1404" s="6">
        <v>0</v>
      </c>
      <c r="R1404" s="3">
        <v>282.10000000000002</v>
      </c>
      <c r="S1404" t="s">
        <v>946</v>
      </c>
    </row>
    <row r="1405" spans="1:19" x14ac:dyDescent="0.35">
      <c r="A1405" t="s">
        <v>2881</v>
      </c>
      <c r="B1405" t="s">
        <v>398</v>
      </c>
      <c r="C1405" s="5">
        <v>45294</v>
      </c>
      <c r="E1405" t="s">
        <v>399</v>
      </c>
      <c r="F1405" t="s">
        <v>696</v>
      </c>
      <c r="G1405" t="s">
        <v>264</v>
      </c>
      <c r="H1405" t="s">
        <v>797</v>
      </c>
      <c r="I1405" t="s">
        <v>48</v>
      </c>
      <c r="J1405" t="s">
        <v>217</v>
      </c>
      <c r="K1405" t="s">
        <v>798</v>
      </c>
      <c r="L1405" t="s">
        <v>793</v>
      </c>
      <c r="M1405" t="s">
        <v>800</v>
      </c>
      <c r="N1405">
        <v>3</v>
      </c>
      <c r="O1405" s="3">
        <v>24.07</v>
      </c>
      <c r="P1405" s="3">
        <v>34.9</v>
      </c>
      <c r="Q1405" s="6">
        <v>0.1</v>
      </c>
      <c r="R1405" s="3">
        <v>94.22999999999999</v>
      </c>
      <c r="S1405" t="s">
        <v>888</v>
      </c>
    </row>
    <row r="1406" spans="1:19" x14ac:dyDescent="0.35">
      <c r="A1406" t="s">
        <v>2882</v>
      </c>
      <c r="B1406" t="s">
        <v>538</v>
      </c>
      <c r="C1406" s="5">
        <v>45706</v>
      </c>
      <c r="E1406" t="s">
        <v>539</v>
      </c>
      <c r="F1406" t="s">
        <v>254</v>
      </c>
      <c r="G1406" t="s">
        <v>264</v>
      </c>
      <c r="H1406" t="s">
        <v>797</v>
      </c>
      <c r="I1406" t="s">
        <v>38</v>
      </c>
      <c r="J1406" t="s">
        <v>126</v>
      </c>
      <c r="K1406" t="s">
        <v>813</v>
      </c>
      <c r="L1406" t="s">
        <v>793</v>
      </c>
      <c r="M1406" t="s">
        <v>788</v>
      </c>
      <c r="N1406">
        <v>10</v>
      </c>
      <c r="O1406" s="3">
        <v>41.95</v>
      </c>
      <c r="P1406" s="3">
        <v>58.73</v>
      </c>
      <c r="Q1406" s="6">
        <v>0</v>
      </c>
      <c r="R1406" s="3">
        <v>587.29999999999995</v>
      </c>
      <c r="S1406" t="s">
        <v>814</v>
      </c>
    </row>
    <row r="1407" spans="1:19" x14ac:dyDescent="0.35">
      <c r="A1407" t="s">
        <v>2883</v>
      </c>
      <c r="B1407" t="s">
        <v>452</v>
      </c>
      <c r="C1407" s="5">
        <v>45969</v>
      </c>
      <c r="E1407" t="s">
        <v>420</v>
      </c>
      <c r="F1407" t="s">
        <v>633</v>
      </c>
      <c r="G1407" t="s">
        <v>264</v>
      </c>
      <c r="H1407" t="s">
        <v>20</v>
      </c>
      <c r="I1407" t="s">
        <v>8</v>
      </c>
      <c r="J1407" t="s">
        <v>174</v>
      </c>
      <c r="K1407" t="s">
        <v>786</v>
      </c>
      <c r="L1407" t="s">
        <v>793</v>
      </c>
      <c r="M1407" t="s">
        <v>842</v>
      </c>
      <c r="N1407">
        <v>1</v>
      </c>
      <c r="O1407" s="3">
        <v>32.53</v>
      </c>
      <c r="P1407" s="3">
        <v>43.92</v>
      </c>
      <c r="Q1407" s="6">
        <v>0.1</v>
      </c>
      <c r="R1407" s="3">
        <v>39.527999999999999</v>
      </c>
      <c r="S1407" t="s">
        <v>1001</v>
      </c>
    </row>
    <row r="1408" spans="1:19" x14ac:dyDescent="0.35">
      <c r="A1408" t="s">
        <v>2884</v>
      </c>
      <c r="B1408" t="s">
        <v>498</v>
      </c>
      <c r="C1408" s="5">
        <v>45332</v>
      </c>
      <c r="D1408" s="5">
        <v>45333</v>
      </c>
      <c r="E1408" t="s">
        <v>499</v>
      </c>
      <c r="F1408" t="s">
        <v>254</v>
      </c>
      <c r="G1408" t="s">
        <v>235</v>
      </c>
      <c r="H1408" t="s">
        <v>797</v>
      </c>
      <c r="I1408" t="s">
        <v>38</v>
      </c>
      <c r="J1408" t="s">
        <v>109</v>
      </c>
      <c r="K1408" t="s">
        <v>798</v>
      </c>
      <c r="L1408" t="s">
        <v>799</v>
      </c>
      <c r="M1408" t="s">
        <v>818</v>
      </c>
      <c r="N1408">
        <v>3</v>
      </c>
      <c r="O1408" s="3">
        <v>29.32</v>
      </c>
      <c r="P1408" s="3">
        <v>36.65</v>
      </c>
      <c r="Q1408" s="6">
        <v>0.1</v>
      </c>
      <c r="R1408" s="3">
        <v>98.954999999999984</v>
      </c>
      <c r="S1408" t="s">
        <v>814</v>
      </c>
    </row>
    <row r="1409" spans="1:19" x14ac:dyDescent="0.35">
      <c r="A1409" t="s">
        <v>2885</v>
      </c>
      <c r="B1409" t="s">
        <v>522</v>
      </c>
      <c r="C1409" s="5">
        <v>45931</v>
      </c>
      <c r="D1409" s="5">
        <v>45940</v>
      </c>
      <c r="E1409" t="s">
        <v>523</v>
      </c>
      <c r="F1409" t="s">
        <v>674</v>
      </c>
      <c r="G1409" t="s">
        <v>264</v>
      </c>
      <c r="H1409" t="s">
        <v>797</v>
      </c>
      <c r="I1409" t="s">
        <v>20</v>
      </c>
      <c r="J1409" t="s">
        <v>119</v>
      </c>
      <c r="K1409" t="s">
        <v>813</v>
      </c>
      <c r="L1409" t="s">
        <v>799</v>
      </c>
      <c r="M1409" t="s">
        <v>842</v>
      </c>
      <c r="N1409">
        <v>10</v>
      </c>
      <c r="O1409" s="3">
        <v>40.94</v>
      </c>
      <c r="P1409" s="3">
        <v>53.22</v>
      </c>
      <c r="Q1409" s="6">
        <v>0.05</v>
      </c>
      <c r="R1409" s="3">
        <v>505.59000000000003</v>
      </c>
      <c r="S1409" t="s">
        <v>1017</v>
      </c>
    </row>
    <row r="1410" spans="1:19" x14ac:dyDescent="0.35">
      <c r="A1410" t="s">
        <v>2886</v>
      </c>
      <c r="B1410" t="s">
        <v>524</v>
      </c>
      <c r="C1410" s="5">
        <v>45419</v>
      </c>
      <c r="E1410" t="s">
        <v>484</v>
      </c>
      <c r="F1410" t="s">
        <v>681</v>
      </c>
      <c r="H1410" t="s">
        <v>797</v>
      </c>
      <c r="I1410" t="s">
        <v>14</v>
      </c>
      <c r="J1410" t="s">
        <v>56</v>
      </c>
      <c r="K1410" t="s">
        <v>798</v>
      </c>
      <c r="L1410" t="s">
        <v>793</v>
      </c>
      <c r="M1410" t="s">
        <v>788</v>
      </c>
      <c r="N1410">
        <v>3</v>
      </c>
      <c r="O1410" s="3">
        <v>25.46</v>
      </c>
      <c r="P1410" s="3">
        <v>31.83</v>
      </c>
      <c r="Q1410" s="6">
        <v>0.1</v>
      </c>
      <c r="R1410" s="3">
        <v>85.941000000000003</v>
      </c>
      <c r="S1410" t="s">
        <v>819</v>
      </c>
    </row>
    <row r="1411" spans="1:19" x14ac:dyDescent="0.35">
      <c r="A1411" t="s">
        <v>2887</v>
      </c>
      <c r="B1411" t="s">
        <v>518</v>
      </c>
      <c r="C1411" s="5">
        <v>45802</v>
      </c>
      <c r="D1411" s="5">
        <v>45806</v>
      </c>
      <c r="E1411" t="s">
        <v>519</v>
      </c>
      <c r="F1411" t="s">
        <v>674</v>
      </c>
      <c r="G1411" t="s">
        <v>264</v>
      </c>
      <c r="H1411" t="s">
        <v>797</v>
      </c>
      <c r="I1411" t="s">
        <v>48</v>
      </c>
      <c r="J1411" t="s">
        <v>143</v>
      </c>
      <c r="K1411" t="s">
        <v>786</v>
      </c>
      <c r="L1411" t="s">
        <v>799</v>
      </c>
      <c r="M1411" t="s">
        <v>842</v>
      </c>
      <c r="N1411">
        <v>5</v>
      </c>
      <c r="O1411" s="3">
        <v>29.93</v>
      </c>
      <c r="P1411" s="3">
        <v>38.909999999999997</v>
      </c>
      <c r="Q1411" s="6">
        <v>0.05</v>
      </c>
      <c r="R1411" s="3">
        <v>184.82249999999999</v>
      </c>
      <c r="S1411" t="s">
        <v>1017</v>
      </c>
    </row>
    <row r="1412" spans="1:19" x14ac:dyDescent="0.35">
      <c r="A1412" t="s">
        <v>2888</v>
      </c>
      <c r="B1412" t="s">
        <v>347</v>
      </c>
      <c r="C1412" s="5">
        <v>45450</v>
      </c>
      <c r="D1412" s="5">
        <v>45453</v>
      </c>
      <c r="E1412" t="s">
        <v>348</v>
      </c>
      <c r="F1412" t="s">
        <v>681</v>
      </c>
      <c r="G1412" t="s">
        <v>243</v>
      </c>
      <c r="H1412" t="s">
        <v>797</v>
      </c>
      <c r="I1412" t="s">
        <v>38</v>
      </c>
      <c r="J1412" t="s">
        <v>206</v>
      </c>
      <c r="K1412" t="s">
        <v>798</v>
      </c>
      <c r="L1412" t="s">
        <v>799</v>
      </c>
      <c r="M1412" t="s">
        <v>800</v>
      </c>
      <c r="N1412">
        <v>20</v>
      </c>
      <c r="O1412" s="3">
        <v>23.55</v>
      </c>
      <c r="P1412" s="3">
        <v>31.79</v>
      </c>
      <c r="Q1412" s="6">
        <v>0.05</v>
      </c>
      <c r="R1412" s="3">
        <v>604.01</v>
      </c>
      <c r="S1412" t="s">
        <v>859</v>
      </c>
    </row>
    <row r="1413" spans="1:19" x14ac:dyDescent="0.35">
      <c r="A1413" t="s">
        <v>2889</v>
      </c>
      <c r="B1413" t="s">
        <v>475</v>
      </c>
      <c r="C1413" s="5">
        <v>45313</v>
      </c>
      <c r="D1413" s="5">
        <v>45318</v>
      </c>
      <c r="E1413" t="s">
        <v>476</v>
      </c>
      <c r="F1413" t="s">
        <v>637</v>
      </c>
      <c r="G1413" t="s">
        <v>243</v>
      </c>
      <c r="H1413" t="s">
        <v>20</v>
      </c>
      <c r="I1413" t="s">
        <v>48</v>
      </c>
      <c r="J1413" t="s">
        <v>217</v>
      </c>
      <c r="K1413" t="s">
        <v>798</v>
      </c>
      <c r="L1413" t="s">
        <v>799</v>
      </c>
      <c r="M1413" t="s">
        <v>818</v>
      </c>
      <c r="N1413">
        <v>5</v>
      </c>
      <c r="O1413" s="3">
        <v>24.07</v>
      </c>
      <c r="P1413" s="3">
        <v>34.9</v>
      </c>
      <c r="Q1413" s="6">
        <v>0</v>
      </c>
      <c r="R1413" s="3">
        <v>174.5</v>
      </c>
      <c r="S1413" t="s">
        <v>919</v>
      </c>
    </row>
    <row r="1414" spans="1:19" x14ac:dyDescent="0.35">
      <c r="A1414" t="s">
        <v>2890</v>
      </c>
      <c r="B1414" t="s">
        <v>495</v>
      </c>
      <c r="C1414" s="5">
        <v>45549</v>
      </c>
      <c r="D1414" s="5">
        <v>45555</v>
      </c>
      <c r="E1414" t="s">
        <v>496</v>
      </c>
      <c r="F1414" t="s">
        <v>637</v>
      </c>
      <c r="G1414" t="s">
        <v>264</v>
      </c>
      <c r="H1414" t="s">
        <v>797</v>
      </c>
      <c r="I1414" t="s">
        <v>8</v>
      </c>
      <c r="J1414" t="s">
        <v>192</v>
      </c>
      <c r="K1414" t="s">
        <v>798</v>
      </c>
      <c r="L1414" t="s">
        <v>822</v>
      </c>
      <c r="M1414" t="s">
        <v>818</v>
      </c>
      <c r="N1414">
        <v>20</v>
      </c>
      <c r="O1414" s="3">
        <v>19.47</v>
      </c>
      <c r="P1414" s="3">
        <v>28.23</v>
      </c>
      <c r="Q1414" s="6">
        <v>0</v>
      </c>
      <c r="R1414" s="3">
        <v>564.6</v>
      </c>
      <c r="S1414" t="s">
        <v>814</v>
      </c>
    </row>
    <row r="1415" spans="1:19" x14ac:dyDescent="0.35">
      <c r="A1415" t="s">
        <v>2891</v>
      </c>
      <c r="B1415" t="s">
        <v>369</v>
      </c>
      <c r="C1415" s="5">
        <v>45589</v>
      </c>
      <c r="E1415" t="s">
        <v>282</v>
      </c>
      <c r="F1415" t="s">
        <v>696</v>
      </c>
      <c r="G1415" t="s">
        <v>243</v>
      </c>
      <c r="H1415" t="s">
        <v>20</v>
      </c>
      <c r="I1415" t="s">
        <v>43</v>
      </c>
      <c r="J1415" t="s">
        <v>222</v>
      </c>
      <c r="K1415" t="s">
        <v>798</v>
      </c>
      <c r="L1415" t="s">
        <v>793</v>
      </c>
      <c r="M1415" t="s">
        <v>788</v>
      </c>
      <c r="N1415">
        <v>2</v>
      </c>
      <c r="O1415" s="3">
        <v>37.1</v>
      </c>
      <c r="P1415" s="3">
        <v>48.23</v>
      </c>
      <c r="Q1415" s="6">
        <v>0</v>
      </c>
      <c r="R1415" s="3">
        <v>96.46</v>
      </c>
      <c r="S1415" t="s">
        <v>963</v>
      </c>
    </row>
    <row r="1416" spans="1:19" x14ac:dyDescent="0.35">
      <c r="A1416" t="s">
        <v>2892</v>
      </c>
      <c r="B1416" t="s">
        <v>576</v>
      </c>
      <c r="C1416" s="5">
        <v>46038</v>
      </c>
      <c r="D1416" s="5">
        <v>46047</v>
      </c>
      <c r="E1416" t="s">
        <v>577</v>
      </c>
      <c r="F1416" t="s">
        <v>254</v>
      </c>
      <c r="G1416" t="s">
        <v>243</v>
      </c>
      <c r="H1416" t="s">
        <v>14</v>
      </c>
      <c r="I1416" t="s">
        <v>79</v>
      </c>
      <c r="J1416" t="s">
        <v>124</v>
      </c>
      <c r="K1416" t="s">
        <v>798</v>
      </c>
      <c r="L1416" t="s">
        <v>799</v>
      </c>
      <c r="M1416" t="s">
        <v>800</v>
      </c>
      <c r="N1416">
        <v>10</v>
      </c>
      <c r="O1416" s="3">
        <v>29.44</v>
      </c>
      <c r="P1416" s="3">
        <v>41.22</v>
      </c>
      <c r="Q1416" s="6">
        <v>0.1</v>
      </c>
      <c r="R1416" s="3">
        <v>370.98</v>
      </c>
      <c r="S1416" t="s">
        <v>803</v>
      </c>
    </row>
    <row r="1417" spans="1:19" x14ac:dyDescent="0.35">
      <c r="A1417" t="s">
        <v>2893</v>
      </c>
      <c r="B1417" t="s">
        <v>613</v>
      </c>
      <c r="C1417" s="5">
        <v>45809</v>
      </c>
      <c r="D1417" s="5">
        <v>45812</v>
      </c>
      <c r="E1417" t="s">
        <v>304</v>
      </c>
      <c r="F1417" t="s">
        <v>674</v>
      </c>
      <c r="G1417" t="s">
        <v>243</v>
      </c>
      <c r="H1417" t="s">
        <v>20</v>
      </c>
      <c r="I1417" t="s">
        <v>48</v>
      </c>
      <c r="J1417" t="s">
        <v>46</v>
      </c>
      <c r="K1417" t="s">
        <v>798</v>
      </c>
      <c r="L1417" t="s">
        <v>799</v>
      </c>
      <c r="M1417" t="s">
        <v>788</v>
      </c>
      <c r="N1417">
        <v>5</v>
      </c>
      <c r="O1417" s="3">
        <v>29.16</v>
      </c>
      <c r="P1417" s="3">
        <v>36.450000000000003</v>
      </c>
      <c r="Q1417" s="6">
        <v>0</v>
      </c>
      <c r="R1417" s="3">
        <v>182.25</v>
      </c>
      <c r="S1417" t="s">
        <v>1134</v>
      </c>
    </row>
    <row r="1418" spans="1:19" x14ac:dyDescent="0.35">
      <c r="A1418" t="s">
        <v>2894</v>
      </c>
      <c r="B1418" t="s">
        <v>587</v>
      </c>
      <c r="C1418" s="5">
        <v>45768</v>
      </c>
      <c r="E1418" t="s">
        <v>431</v>
      </c>
      <c r="F1418" t="s">
        <v>254</v>
      </c>
      <c r="G1418" t="s">
        <v>235</v>
      </c>
      <c r="H1418" t="s">
        <v>14</v>
      </c>
      <c r="I1418" t="s">
        <v>79</v>
      </c>
      <c r="J1418" t="s">
        <v>124</v>
      </c>
      <c r="K1418" t="s">
        <v>798</v>
      </c>
      <c r="L1418" t="s">
        <v>793</v>
      </c>
      <c r="M1418" t="s">
        <v>842</v>
      </c>
      <c r="N1418">
        <v>5</v>
      </c>
      <c r="O1418" s="3">
        <v>29.44</v>
      </c>
      <c r="P1418" s="3">
        <v>41.22</v>
      </c>
      <c r="Q1418" s="6">
        <v>0</v>
      </c>
      <c r="R1418" s="3">
        <v>206.1</v>
      </c>
      <c r="S1418" t="s">
        <v>794</v>
      </c>
    </row>
    <row r="1419" spans="1:19" x14ac:dyDescent="0.35">
      <c r="A1419" t="s">
        <v>2895</v>
      </c>
      <c r="B1419" t="s">
        <v>379</v>
      </c>
      <c r="C1419" s="5">
        <v>45501</v>
      </c>
      <c r="D1419" s="5">
        <v>45508</v>
      </c>
      <c r="E1419" t="s">
        <v>380</v>
      </c>
      <c r="F1419" t="s">
        <v>637</v>
      </c>
      <c r="G1419" t="s">
        <v>264</v>
      </c>
      <c r="H1419" t="s">
        <v>20</v>
      </c>
      <c r="I1419" t="s">
        <v>8</v>
      </c>
      <c r="J1419" t="s">
        <v>204</v>
      </c>
      <c r="K1419" t="s">
        <v>813</v>
      </c>
      <c r="L1419" t="s">
        <v>799</v>
      </c>
      <c r="M1419" t="s">
        <v>800</v>
      </c>
      <c r="N1419">
        <v>1</v>
      </c>
      <c r="O1419" s="3">
        <v>28.27</v>
      </c>
      <c r="P1419" s="3">
        <v>40.99</v>
      </c>
      <c r="Q1419" s="6">
        <v>0.15</v>
      </c>
      <c r="R1419" s="3">
        <v>34.841500000000003</v>
      </c>
      <c r="S1419" t="s">
        <v>919</v>
      </c>
    </row>
    <row r="1420" spans="1:19" x14ac:dyDescent="0.35">
      <c r="A1420" t="s">
        <v>2896</v>
      </c>
      <c r="B1420" t="s">
        <v>347</v>
      </c>
      <c r="C1420" s="5">
        <v>46037</v>
      </c>
      <c r="D1420" s="5">
        <v>46046</v>
      </c>
      <c r="E1420" t="s">
        <v>348</v>
      </c>
      <c r="F1420" t="s">
        <v>637</v>
      </c>
      <c r="G1420" t="s">
        <v>243</v>
      </c>
      <c r="H1420" t="s">
        <v>797</v>
      </c>
      <c r="I1420" t="s">
        <v>8</v>
      </c>
      <c r="J1420" t="s">
        <v>65</v>
      </c>
      <c r="K1420" t="s">
        <v>813</v>
      </c>
      <c r="L1420" t="s">
        <v>799</v>
      </c>
      <c r="M1420" t="s">
        <v>818</v>
      </c>
      <c r="N1420">
        <v>10</v>
      </c>
      <c r="O1420" s="3">
        <v>30.16</v>
      </c>
      <c r="P1420" s="3">
        <v>40.72</v>
      </c>
      <c r="Q1420" s="6">
        <v>0.15</v>
      </c>
      <c r="R1420" s="3">
        <v>346.12</v>
      </c>
      <c r="S1420" t="s">
        <v>919</v>
      </c>
    </row>
    <row r="1421" spans="1:19" x14ac:dyDescent="0.35">
      <c r="A1421" t="s">
        <v>2897</v>
      </c>
      <c r="B1421" t="s">
        <v>374</v>
      </c>
      <c r="C1421" s="5">
        <v>45341</v>
      </c>
      <c r="E1421" t="s">
        <v>375</v>
      </c>
      <c r="F1421" t="s">
        <v>674</v>
      </c>
      <c r="G1421" t="s">
        <v>264</v>
      </c>
      <c r="H1421" t="s">
        <v>14</v>
      </c>
      <c r="I1421" t="s">
        <v>79</v>
      </c>
      <c r="J1421" t="s">
        <v>184</v>
      </c>
      <c r="K1421" t="s">
        <v>798</v>
      </c>
      <c r="L1421" t="s">
        <v>793</v>
      </c>
      <c r="M1421" t="s">
        <v>788</v>
      </c>
      <c r="N1421">
        <v>10</v>
      </c>
      <c r="O1421" s="3">
        <v>28.87</v>
      </c>
      <c r="P1421" s="3">
        <v>40.42</v>
      </c>
      <c r="Q1421" s="6">
        <v>0</v>
      </c>
      <c r="R1421" s="3">
        <v>404.20000000000005</v>
      </c>
      <c r="S1421" t="s">
        <v>935</v>
      </c>
    </row>
    <row r="1422" spans="1:19" x14ac:dyDescent="0.35">
      <c r="A1422" t="s">
        <v>2898</v>
      </c>
      <c r="B1422" t="s">
        <v>388</v>
      </c>
      <c r="C1422" s="5">
        <v>45951</v>
      </c>
      <c r="D1422" s="5">
        <v>45959</v>
      </c>
      <c r="E1422" t="s">
        <v>389</v>
      </c>
      <c r="F1422" t="s">
        <v>254</v>
      </c>
      <c r="G1422" t="s">
        <v>243</v>
      </c>
      <c r="H1422" t="s">
        <v>20</v>
      </c>
      <c r="I1422" t="s">
        <v>14</v>
      </c>
      <c r="J1422" t="s">
        <v>138</v>
      </c>
      <c r="K1422" t="s">
        <v>786</v>
      </c>
      <c r="L1422" t="s">
        <v>799</v>
      </c>
      <c r="M1422" t="s">
        <v>842</v>
      </c>
      <c r="N1422">
        <v>10</v>
      </c>
      <c r="O1422" s="3">
        <v>42.6</v>
      </c>
      <c r="P1422" s="3">
        <v>59.64</v>
      </c>
      <c r="Q1422" s="6">
        <v>0.1</v>
      </c>
      <c r="R1422" s="3">
        <v>536.76</v>
      </c>
      <c r="S1422" t="s">
        <v>892</v>
      </c>
    </row>
    <row r="1423" spans="1:19" x14ac:dyDescent="0.35">
      <c r="A1423" t="s">
        <v>2899</v>
      </c>
      <c r="B1423" t="s">
        <v>320</v>
      </c>
      <c r="C1423" s="5">
        <v>45627</v>
      </c>
      <c r="D1423" s="5">
        <v>45631</v>
      </c>
      <c r="E1423" t="s">
        <v>321</v>
      </c>
      <c r="F1423" t="s">
        <v>696</v>
      </c>
      <c r="G1423" t="s">
        <v>235</v>
      </c>
      <c r="H1423" t="s">
        <v>48</v>
      </c>
      <c r="I1423" t="s">
        <v>38</v>
      </c>
      <c r="J1423" t="s">
        <v>117</v>
      </c>
      <c r="K1423" t="s">
        <v>786</v>
      </c>
      <c r="L1423" t="s">
        <v>799</v>
      </c>
      <c r="M1423" t="s">
        <v>842</v>
      </c>
      <c r="N1423">
        <v>10</v>
      </c>
      <c r="O1423" s="3">
        <v>43.25</v>
      </c>
      <c r="P1423" s="3">
        <v>60.55</v>
      </c>
      <c r="Q1423" s="6">
        <v>0</v>
      </c>
      <c r="R1423" s="3">
        <v>605.5</v>
      </c>
      <c r="S1423" t="s">
        <v>810</v>
      </c>
    </row>
    <row r="1424" spans="1:19" x14ac:dyDescent="0.35">
      <c r="A1424" t="s">
        <v>2900</v>
      </c>
      <c r="B1424" t="s">
        <v>548</v>
      </c>
      <c r="C1424" s="5">
        <v>45319</v>
      </c>
      <c r="D1424" s="5">
        <v>45326</v>
      </c>
      <c r="E1424" t="s">
        <v>549</v>
      </c>
      <c r="F1424" t="s">
        <v>254</v>
      </c>
      <c r="G1424" t="s">
        <v>264</v>
      </c>
      <c r="H1424" t="s">
        <v>797</v>
      </c>
      <c r="I1424" t="s">
        <v>79</v>
      </c>
      <c r="J1424" t="s">
        <v>124</v>
      </c>
      <c r="K1424" t="s">
        <v>798</v>
      </c>
      <c r="L1424" t="s">
        <v>799</v>
      </c>
      <c r="M1424" t="s">
        <v>842</v>
      </c>
      <c r="N1424">
        <v>5</v>
      </c>
      <c r="O1424" s="3">
        <v>29.44</v>
      </c>
      <c r="P1424" s="3">
        <v>41.22</v>
      </c>
      <c r="Q1424" s="6">
        <v>0</v>
      </c>
      <c r="R1424" s="3">
        <v>206.1</v>
      </c>
      <c r="S1424" t="s">
        <v>1001</v>
      </c>
    </row>
    <row r="1425" spans="1:19" x14ac:dyDescent="0.35">
      <c r="A1425" t="s">
        <v>2901</v>
      </c>
      <c r="B1425" t="s">
        <v>565</v>
      </c>
      <c r="C1425" s="5">
        <v>45633</v>
      </c>
      <c r="D1425" s="5">
        <v>45634</v>
      </c>
      <c r="E1425" t="s">
        <v>566</v>
      </c>
      <c r="F1425" t="s">
        <v>681</v>
      </c>
      <c r="H1425" t="s">
        <v>14</v>
      </c>
      <c r="I1425" t="s">
        <v>14</v>
      </c>
      <c r="J1425" t="s">
        <v>214</v>
      </c>
      <c r="K1425" t="s">
        <v>798</v>
      </c>
      <c r="L1425" t="s">
        <v>799</v>
      </c>
      <c r="M1425" t="s">
        <v>842</v>
      </c>
      <c r="N1425">
        <v>3</v>
      </c>
      <c r="O1425" s="3">
        <v>22.07</v>
      </c>
      <c r="P1425" s="3">
        <v>27.59</v>
      </c>
      <c r="Q1425" s="6">
        <v>0.15</v>
      </c>
      <c r="R1425" s="3">
        <v>70.354500000000002</v>
      </c>
      <c r="S1425" t="s">
        <v>876</v>
      </c>
    </row>
    <row r="1426" spans="1:19" x14ac:dyDescent="0.35">
      <c r="A1426" t="s">
        <v>2902</v>
      </c>
      <c r="B1426" t="s">
        <v>465</v>
      </c>
      <c r="C1426" s="5">
        <v>45927</v>
      </c>
      <c r="D1426" s="5">
        <v>45929</v>
      </c>
      <c r="E1426" t="s">
        <v>348</v>
      </c>
      <c r="F1426" t="s">
        <v>633</v>
      </c>
      <c r="G1426" t="s">
        <v>264</v>
      </c>
      <c r="H1426" t="s">
        <v>14</v>
      </c>
      <c r="I1426" t="s">
        <v>38</v>
      </c>
      <c r="J1426" t="s">
        <v>206</v>
      </c>
      <c r="K1426" t="s">
        <v>798</v>
      </c>
      <c r="L1426" t="s">
        <v>822</v>
      </c>
      <c r="M1426" t="s">
        <v>842</v>
      </c>
      <c r="N1426">
        <v>2</v>
      </c>
      <c r="O1426" s="3">
        <v>23.55</v>
      </c>
      <c r="P1426" s="3">
        <v>31.79</v>
      </c>
      <c r="Q1426" s="6">
        <v>0</v>
      </c>
      <c r="R1426" s="3">
        <v>63.58</v>
      </c>
      <c r="S1426" t="s">
        <v>946</v>
      </c>
    </row>
    <row r="1427" spans="1:19" x14ac:dyDescent="0.35">
      <c r="A1427" t="s">
        <v>2903</v>
      </c>
      <c r="B1427" t="s">
        <v>565</v>
      </c>
      <c r="C1427" s="5">
        <v>45418</v>
      </c>
      <c r="E1427" t="s">
        <v>566</v>
      </c>
      <c r="F1427" t="s">
        <v>637</v>
      </c>
      <c r="H1427" t="s">
        <v>14</v>
      </c>
      <c r="I1427" t="s">
        <v>14</v>
      </c>
      <c r="J1427" t="s">
        <v>209</v>
      </c>
      <c r="K1427" t="s">
        <v>813</v>
      </c>
      <c r="L1427" t="s">
        <v>793</v>
      </c>
      <c r="M1427" t="s">
        <v>788</v>
      </c>
      <c r="N1427">
        <v>5</v>
      </c>
      <c r="O1427" s="3">
        <v>24.18</v>
      </c>
      <c r="P1427" s="3">
        <v>33.85</v>
      </c>
      <c r="Q1427" s="6">
        <v>0.05</v>
      </c>
      <c r="R1427" s="3">
        <v>160.78749999999999</v>
      </c>
      <c r="S1427" t="s">
        <v>892</v>
      </c>
    </row>
    <row r="1428" spans="1:19" x14ac:dyDescent="0.35">
      <c r="A1428" t="s">
        <v>2904</v>
      </c>
      <c r="B1428" t="s">
        <v>260</v>
      </c>
      <c r="C1428" s="5">
        <v>45780</v>
      </c>
      <c r="E1428" t="s">
        <v>261</v>
      </c>
      <c r="F1428" t="s">
        <v>627</v>
      </c>
      <c r="G1428" t="s">
        <v>264</v>
      </c>
      <c r="H1428" t="s">
        <v>797</v>
      </c>
      <c r="I1428" t="s">
        <v>20</v>
      </c>
      <c r="J1428" t="s">
        <v>97</v>
      </c>
      <c r="K1428" t="s">
        <v>786</v>
      </c>
      <c r="L1428" t="s">
        <v>793</v>
      </c>
      <c r="M1428" t="s">
        <v>788</v>
      </c>
      <c r="N1428">
        <v>3</v>
      </c>
      <c r="O1428" s="3">
        <v>20.79</v>
      </c>
      <c r="P1428" s="3">
        <v>28.07</v>
      </c>
      <c r="Q1428" s="6">
        <v>0</v>
      </c>
      <c r="R1428" s="3">
        <v>84.210000000000008</v>
      </c>
      <c r="S1428" t="s">
        <v>946</v>
      </c>
    </row>
    <row r="1429" spans="1:19" x14ac:dyDescent="0.35">
      <c r="A1429" t="s">
        <v>2905</v>
      </c>
      <c r="B1429" t="s">
        <v>351</v>
      </c>
      <c r="C1429" s="5">
        <v>45908</v>
      </c>
      <c r="E1429" t="s">
        <v>352</v>
      </c>
      <c r="F1429" t="s">
        <v>254</v>
      </c>
      <c r="G1429" t="s">
        <v>264</v>
      </c>
      <c r="H1429" t="s">
        <v>797</v>
      </c>
      <c r="I1429" t="s">
        <v>8</v>
      </c>
      <c r="J1429" t="s">
        <v>192</v>
      </c>
      <c r="K1429" t="s">
        <v>798</v>
      </c>
      <c r="L1429" t="s">
        <v>793</v>
      </c>
      <c r="M1429" t="s">
        <v>842</v>
      </c>
      <c r="N1429">
        <v>2</v>
      </c>
      <c r="O1429" s="3">
        <v>19.47</v>
      </c>
      <c r="P1429" s="3">
        <v>28.23</v>
      </c>
      <c r="Q1429" s="6">
        <v>0</v>
      </c>
      <c r="R1429" s="3">
        <v>56.46</v>
      </c>
      <c r="S1429" t="s">
        <v>1017</v>
      </c>
    </row>
    <row r="1430" spans="1:19" x14ac:dyDescent="0.35">
      <c r="A1430" t="s">
        <v>2906</v>
      </c>
      <c r="B1430" t="s">
        <v>342</v>
      </c>
      <c r="C1430" s="5">
        <v>45329</v>
      </c>
      <c r="E1430" t="s">
        <v>245</v>
      </c>
      <c r="F1430" t="s">
        <v>627</v>
      </c>
      <c r="G1430" t="s">
        <v>235</v>
      </c>
      <c r="H1430" t="s">
        <v>14</v>
      </c>
      <c r="I1430" t="s">
        <v>43</v>
      </c>
      <c r="J1430" t="s">
        <v>75</v>
      </c>
      <c r="K1430" t="s">
        <v>786</v>
      </c>
      <c r="L1430" t="s">
        <v>787</v>
      </c>
      <c r="M1430" t="s">
        <v>800</v>
      </c>
      <c r="N1430">
        <v>1</v>
      </c>
      <c r="O1430" s="3">
        <v>24.35</v>
      </c>
      <c r="P1430" s="3">
        <v>34.090000000000003</v>
      </c>
      <c r="Q1430" s="6">
        <v>0.15</v>
      </c>
      <c r="R1430" s="3">
        <v>28.976500000000001</v>
      </c>
      <c r="S1430" t="s">
        <v>839</v>
      </c>
    </row>
    <row r="1431" spans="1:19" x14ac:dyDescent="0.35">
      <c r="A1431" t="s">
        <v>2907</v>
      </c>
      <c r="B1431" t="s">
        <v>507</v>
      </c>
      <c r="C1431" s="5">
        <v>45637</v>
      </c>
      <c r="D1431" s="5">
        <v>45644</v>
      </c>
      <c r="E1431" t="s">
        <v>508</v>
      </c>
      <c r="F1431" t="s">
        <v>696</v>
      </c>
      <c r="G1431" t="s">
        <v>243</v>
      </c>
      <c r="H1431" t="s">
        <v>797</v>
      </c>
      <c r="I1431" t="s">
        <v>20</v>
      </c>
      <c r="J1431" t="s">
        <v>39</v>
      </c>
      <c r="K1431" t="s">
        <v>786</v>
      </c>
      <c r="L1431" t="s">
        <v>799</v>
      </c>
      <c r="M1431" t="s">
        <v>842</v>
      </c>
      <c r="N1431">
        <v>20</v>
      </c>
      <c r="O1431" s="3">
        <v>9.5</v>
      </c>
      <c r="P1431" s="3">
        <v>12.83</v>
      </c>
      <c r="Q1431" s="6">
        <v>0</v>
      </c>
      <c r="R1431" s="3">
        <v>256.60000000000002</v>
      </c>
      <c r="S1431" t="s">
        <v>888</v>
      </c>
    </row>
    <row r="1432" spans="1:19" x14ac:dyDescent="0.35">
      <c r="A1432" t="s">
        <v>2908</v>
      </c>
      <c r="B1432" t="s">
        <v>372</v>
      </c>
      <c r="C1432" s="5">
        <v>45310</v>
      </c>
      <c r="E1432" t="s">
        <v>373</v>
      </c>
      <c r="F1432" t="s">
        <v>637</v>
      </c>
      <c r="G1432" t="s">
        <v>235</v>
      </c>
      <c r="H1432" t="s">
        <v>48</v>
      </c>
      <c r="I1432" t="s">
        <v>8</v>
      </c>
      <c r="J1432" t="s">
        <v>73</v>
      </c>
      <c r="K1432" t="s">
        <v>798</v>
      </c>
      <c r="L1432" t="s">
        <v>793</v>
      </c>
      <c r="M1432" t="s">
        <v>818</v>
      </c>
      <c r="N1432">
        <v>2</v>
      </c>
      <c r="O1432" s="3">
        <v>67.95</v>
      </c>
      <c r="P1432" s="3">
        <v>88.34</v>
      </c>
      <c r="Q1432" s="6">
        <v>0.05</v>
      </c>
      <c r="R1432" s="3">
        <v>167.846</v>
      </c>
      <c r="S1432" t="s">
        <v>946</v>
      </c>
    </row>
    <row r="1433" spans="1:19" x14ac:dyDescent="0.35">
      <c r="A1433" t="s">
        <v>2909</v>
      </c>
      <c r="B1433" t="s">
        <v>462</v>
      </c>
      <c r="C1433" s="5">
        <v>45382</v>
      </c>
      <c r="D1433" s="5">
        <v>45386</v>
      </c>
      <c r="E1433" t="s">
        <v>396</v>
      </c>
      <c r="F1433" t="s">
        <v>674</v>
      </c>
      <c r="G1433" t="s">
        <v>264</v>
      </c>
      <c r="H1433" t="s">
        <v>14</v>
      </c>
      <c r="I1433" t="s">
        <v>29</v>
      </c>
      <c r="J1433" t="s">
        <v>182</v>
      </c>
      <c r="K1433" t="s">
        <v>813</v>
      </c>
      <c r="L1433" t="s">
        <v>822</v>
      </c>
      <c r="M1433" t="s">
        <v>788</v>
      </c>
      <c r="N1433">
        <v>2</v>
      </c>
      <c r="O1433" s="3">
        <v>19.77</v>
      </c>
      <c r="P1433" s="3">
        <v>27.68</v>
      </c>
      <c r="Q1433" s="6">
        <v>0</v>
      </c>
      <c r="R1433" s="3">
        <v>55.36</v>
      </c>
      <c r="S1433" t="s">
        <v>810</v>
      </c>
    </row>
    <row r="1434" spans="1:19" x14ac:dyDescent="0.35">
      <c r="A1434" t="s">
        <v>2910</v>
      </c>
      <c r="B1434" t="s">
        <v>449</v>
      </c>
      <c r="C1434" s="5">
        <v>45552</v>
      </c>
      <c r="E1434" t="s">
        <v>450</v>
      </c>
      <c r="F1434" t="s">
        <v>254</v>
      </c>
      <c r="G1434" t="s">
        <v>235</v>
      </c>
      <c r="H1434" t="s">
        <v>20</v>
      </c>
      <c r="I1434" t="s">
        <v>8</v>
      </c>
      <c r="J1434" t="s">
        <v>181</v>
      </c>
      <c r="K1434" t="s">
        <v>798</v>
      </c>
      <c r="L1434" t="s">
        <v>793</v>
      </c>
      <c r="M1434" t="s">
        <v>842</v>
      </c>
      <c r="N1434">
        <v>5</v>
      </c>
      <c r="O1434" s="3">
        <v>20.49</v>
      </c>
      <c r="P1434" s="3">
        <v>29.71</v>
      </c>
      <c r="Q1434" s="6">
        <v>0.05</v>
      </c>
      <c r="R1434" s="3">
        <v>141.1225</v>
      </c>
      <c r="S1434" t="s">
        <v>869</v>
      </c>
    </row>
    <row r="1435" spans="1:19" x14ac:dyDescent="0.35">
      <c r="A1435" t="s">
        <v>2911</v>
      </c>
      <c r="B1435" t="s">
        <v>611</v>
      </c>
      <c r="C1435" s="5">
        <v>45788</v>
      </c>
      <c r="E1435" t="s">
        <v>287</v>
      </c>
      <c r="F1435" t="s">
        <v>627</v>
      </c>
      <c r="G1435" t="s">
        <v>235</v>
      </c>
      <c r="H1435" t="s">
        <v>14</v>
      </c>
      <c r="I1435" t="s">
        <v>29</v>
      </c>
      <c r="J1435" t="s">
        <v>115</v>
      </c>
      <c r="K1435" t="s">
        <v>813</v>
      </c>
      <c r="L1435" t="s">
        <v>793</v>
      </c>
      <c r="M1435" t="s">
        <v>800</v>
      </c>
      <c r="N1435">
        <v>1</v>
      </c>
      <c r="O1435" s="3">
        <v>34.340000000000003</v>
      </c>
      <c r="P1435" s="3">
        <v>44.64</v>
      </c>
      <c r="Q1435" s="6">
        <v>0</v>
      </c>
      <c r="R1435" s="3">
        <v>44.64</v>
      </c>
      <c r="S1435" t="s">
        <v>829</v>
      </c>
    </row>
    <row r="1436" spans="1:19" x14ac:dyDescent="0.35">
      <c r="A1436" t="s">
        <v>2912</v>
      </c>
      <c r="B1436" t="s">
        <v>425</v>
      </c>
      <c r="C1436" s="5">
        <v>45410</v>
      </c>
      <c r="D1436" s="5">
        <v>45414</v>
      </c>
      <c r="E1436" t="s">
        <v>404</v>
      </c>
      <c r="F1436" t="s">
        <v>627</v>
      </c>
      <c r="G1436" t="s">
        <v>264</v>
      </c>
      <c r="H1436" t="s">
        <v>797</v>
      </c>
      <c r="I1436" t="s">
        <v>29</v>
      </c>
      <c r="J1436" t="s">
        <v>183</v>
      </c>
      <c r="K1436" t="s">
        <v>798</v>
      </c>
      <c r="L1436" t="s">
        <v>799</v>
      </c>
      <c r="M1436" t="s">
        <v>788</v>
      </c>
      <c r="N1436">
        <v>10</v>
      </c>
      <c r="O1436" s="3">
        <v>10.97</v>
      </c>
      <c r="P1436" s="3">
        <v>15.91</v>
      </c>
      <c r="Q1436" s="6">
        <v>0</v>
      </c>
      <c r="R1436" s="3">
        <v>159.1</v>
      </c>
      <c r="S1436" t="s">
        <v>859</v>
      </c>
    </row>
    <row r="1437" spans="1:19" x14ac:dyDescent="0.35">
      <c r="A1437" t="s">
        <v>2913</v>
      </c>
      <c r="B1437" t="s">
        <v>601</v>
      </c>
      <c r="C1437" s="5">
        <v>45780</v>
      </c>
      <c r="E1437" t="s">
        <v>602</v>
      </c>
      <c r="F1437" t="s">
        <v>627</v>
      </c>
      <c r="G1437" t="s">
        <v>235</v>
      </c>
      <c r="H1437" t="s">
        <v>797</v>
      </c>
      <c r="I1437" t="s">
        <v>14</v>
      </c>
      <c r="J1437" t="s">
        <v>16</v>
      </c>
      <c r="K1437" t="s">
        <v>813</v>
      </c>
      <c r="L1437" t="s">
        <v>793</v>
      </c>
      <c r="M1437" t="s">
        <v>800</v>
      </c>
      <c r="N1437">
        <v>5</v>
      </c>
      <c r="O1437" s="3">
        <v>56.69</v>
      </c>
      <c r="P1437" s="3">
        <v>79.37</v>
      </c>
      <c r="Q1437" s="6">
        <v>0.1</v>
      </c>
      <c r="R1437" s="3">
        <v>357.16500000000002</v>
      </c>
      <c r="S1437" t="s">
        <v>919</v>
      </c>
    </row>
    <row r="1438" spans="1:19" x14ac:dyDescent="0.35">
      <c r="A1438" t="s">
        <v>2914</v>
      </c>
      <c r="B1438" t="s">
        <v>575</v>
      </c>
      <c r="C1438" s="5">
        <v>45346</v>
      </c>
      <c r="D1438" s="5">
        <v>45356</v>
      </c>
      <c r="E1438" t="s">
        <v>439</v>
      </c>
      <c r="F1438" t="s">
        <v>633</v>
      </c>
      <c r="G1438" t="s">
        <v>264</v>
      </c>
      <c r="H1438" t="s">
        <v>14</v>
      </c>
      <c r="I1438" t="s">
        <v>14</v>
      </c>
      <c r="J1438" t="s">
        <v>93</v>
      </c>
      <c r="K1438" t="s">
        <v>798</v>
      </c>
      <c r="L1438" t="s">
        <v>799</v>
      </c>
      <c r="M1438" t="s">
        <v>842</v>
      </c>
      <c r="N1438">
        <v>3</v>
      </c>
      <c r="O1438" s="3">
        <v>26.96</v>
      </c>
      <c r="P1438" s="3">
        <v>37.74</v>
      </c>
      <c r="Q1438" s="6">
        <v>0.1</v>
      </c>
      <c r="R1438" s="3">
        <v>101.898</v>
      </c>
      <c r="S1438" t="s">
        <v>814</v>
      </c>
    </row>
    <row r="1439" spans="1:19" x14ac:dyDescent="0.35">
      <c r="A1439" t="s">
        <v>2915</v>
      </c>
      <c r="B1439" t="s">
        <v>419</v>
      </c>
      <c r="C1439" s="5">
        <v>45886</v>
      </c>
      <c r="D1439" s="5">
        <v>45889</v>
      </c>
      <c r="E1439" t="s">
        <v>420</v>
      </c>
      <c r="F1439" t="s">
        <v>633</v>
      </c>
      <c r="G1439" t="s">
        <v>243</v>
      </c>
      <c r="H1439" t="s">
        <v>14</v>
      </c>
      <c r="I1439" t="s">
        <v>48</v>
      </c>
      <c r="J1439" t="s">
        <v>46</v>
      </c>
      <c r="K1439" t="s">
        <v>786</v>
      </c>
      <c r="L1439" t="s">
        <v>799</v>
      </c>
      <c r="M1439" t="s">
        <v>818</v>
      </c>
      <c r="N1439">
        <v>12</v>
      </c>
      <c r="O1439" s="3">
        <v>29.16</v>
      </c>
      <c r="P1439" s="3">
        <v>36.450000000000003</v>
      </c>
      <c r="Q1439" s="6">
        <v>0</v>
      </c>
      <c r="R1439" s="3">
        <v>437.40000000000003</v>
      </c>
      <c r="S1439" t="s">
        <v>803</v>
      </c>
    </row>
    <row r="1440" spans="1:19" x14ac:dyDescent="0.35">
      <c r="A1440" t="s">
        <v>2916</v>
      </c>
      <c r="B1440" t="s">
        <v>589</v>
      </c>
      <c r="C1440" s="5">
        <v>45704</v>
      </c>
      <c r="D1440" s="5">
        <v>45713</v>
      </c>
      <c r="E1440" t="s">
        <v>484</v>
      </c>
      <c r="F1440" t="s">
        <v>627</v>
      </c>
      <c r="G1440" t="s">
        <v>264</v>
      </c>
      <c r="H1440" t="s">
        <v>14</v>
      </c>
      <c r="I1440" t="s">
        <v>29</v>
      </c>
      <c r="J1440" t="s">
        <v>191</v>
      </c>
      <c r="K1440" t="s">
        <v>798</v>
      </c>
      <c r="L1440" t="s">
        <v>799</v>
      </c>
      <c r="M1440" t="s">
        <v>818</v>
      </c>
      <c r="N1440">
        <v>3</v>
      </c>
      <c r="O1440" s="3">
        <v>11.26</v>
      </c>
      <c r="P1440" s="3">
        <v>15.2</v>
      </c>
      <c r="Q1440" s="6">
        <v>0.15</v>
      </c>
      <c r="R1440" s="3">
        <v>38.76</v>
      </c>
      <c r="S1440" t="s">
        <v>859</v>
      </c>
    </row>
    <row r="1441" spans="1:19" x14ac:dyDescent="0.35">
      <c r="A1441" t="s">
        <v>2917</v>
      </c>
      <c r="B1441" t="s">
        <v>609</v>
      </c>
      <c r="C1441" s="5">
        <v>45949</v>
      </c>
      <c r="D1441" s="5">
        <v>45954</v>
      </c>
      <c r="E1441" t="s">
        <v>610</v>
      </c>
      <c r="F1441" t="s">
        <v>627</v>
      </c>
      <c r="H1441" t="s">
        <v>20</v>
      </c>
      <c r="I1441" t="s">
        <v>20</v>
      </c>
      <c r="J1441" t="s">
        <v>51</v>
      </c>
      <c r="K1441" t="s">
        <v>798</v>
      </c>
      <c r="L1441" t="s">
        <v>799</v>
      </c>
      <c r="M1441" t="s">
        <v>818</v>
      </c>
      <c r="N1441">
        <v>12</v>
      </c>
      <c r="O1441" s="3">
        <v>11.28</v>
      </c>
      <c r="P1441" s="3">
        <v>15.23</v>
      </c>
      <c r="Q1441" s="6">
        <v>0</v>
      </c>
      <c r="R1441" s="3">
        <v>182.76</v>
      </c>
      <c r="S1441" t="s">
        <v>892</v>
      </c>
    </row>
    <row r="1442" spans="1:19" x14ac:dyDescent="0.35">
      <c r="A1442" t="s">
        <v>2918</v>
      </c>
      <c r="B1442" t="s">
        <v>452</v>
      </c>
      <c r="C1442" s="5">
        <v>45440</v>
      </c>
      <c r="E1442" t="s">
        <v>420</v>
      </c>
      <c r="F1442" t="s">
        <v>627</v>
      </c>
      <c r="G1442" t="s">
        <v>264</v>
      </c>
      <c r="H1442" t="s">
        <v>797</v>
      </c>
      <c r="I1442" t="s">
        <v>48</v>
      </c>
      <c r="J1442" t="s">
        <v>217</v>
      </c>
      <c r="K1442" t="s">
        <v>786</v>
      </c>
      <c r="L1442" t="s">
        <v>793</v>
      </c>
      <c r="M1442" t="s">
        <v>800</v>
      </c>
      <c r="N1442">
        <v>1</v>
      </c>
      <c r="O1442" s="3">
        <v>24.07</v>
      </c>
      <c r="P1442" s="3">
        <v>34.9</v>
      </c>
      <c r="Q1442" s="6">
        <v>0.1</v>
      </c>
      <c r="R1442" s="3">
        <v>31.409999999999997</v>
      </c>
      <c r="S1442" t="s">
        <v>919</v>
      </c>
    </row>
    <row r="1443" spans="1:19" x14ac:dyDescent="0.35">
      <c r="A1443" t="s">
        <v>2919</v>
      </c>
      <c r="B1443" t="s">
        <v>613</v>
      </c>
      <c r="C1443" s="5">
        <v>45593</v>
      </c>
      <c r="D1443" s="5">
        <v>45595</v>
      </c>
      <c r="E1443" t="s">
        <v>304</v>
      </c>
      <c r="F1443" t="s">
        <v>627</v>
      </c>
      <c r="G1443" t="s">
        <v>243</v>
      </c>
      <c r="H1443" t="s">
        <v>20</v>
      </c>
      <c r="I1443" t="s">
        <v>43</v>
      </c>
      <c r="J1443" t="s">
        <v>75</v>
      </c>
      <c r="K1443" t="s">
        <v>798</v>
      </c>
      <c r="L1443" t="s">
        <v>799</v>
      </c>
      <c r="M1443" t="s">
        <v>788</v>
      </c>
      <c r="N1443">
        <v>5</v>
      </c>
      <c r="O1443" s="3">
        <v>24.35</v>
      </c>
      <c r="P1443" s="3">
        <v>34.090000000000003</v>
      </c>
      <c r="Q1443" s="6">
        <v>0</v>
      </c>
      <c r="R1443" s="3">
        <v>170.45000000000002</v>
      </c>
      <c r="S1443" t="s">
        <v>963</v>
      </c>
    </row>
    <row r="1444" spans="1:19" x14ac:dyDescent="0.35">
      <c r="A1444" t="s">
        <v>2920</v>
      </c>
      <c r="B1444" t="s">
        <v>421</v>
      </c>
      <c r="C1444" s="5">
        <v>45481</v>
      </c>
      <c r="E1444" t="s">
        <v>422</v>
      </c>
      <c r="F1444" t="s">
        <v>637</v>
      </c>
      <c r="G1444" t="s">
        <v>235</v>
      </c>
      <c r="H1444" t="s">
        <v>797</v>
      </c>
      <c r="I1444" t="s">
        <v>48</v>
      </c>
      <c r="J1444" t="s">
        <v>139</v>
      </c>
      <c r="K1444" t="s">
        <v>786</v>
      </c>
      <c r="L1444" t="s">
        <v>793</v>
      </c>
      <c r="M1444" t="s">
        <v>842</v>
      </c>
      <c r="N1444">
        <v>20</v>
      </c>
      <c r="O1444" s="3">
        <v>29.93</v>
      </c>
      <c r="P1444" s="3">
        <v>41.9</v>
      </c>
      <c r="Q1444" s="6">
        <v>0.05</v>
      </c>
      <c r="R1444" s="3">
        <v>796.1</v>
      </c>
      <c r="S1444" t="s">
        <v>946</v>
      </c>
    </row>
    <row r="1445" spans="1:19" x14ac:dyDescent="0.35">
      <c r="A1445" t="s">
        <v>2921</v>
      </c>
      <c r="B1445" t="s">
        <v>534</v>
      </c>
      <c r="C1445" s="5">
        <v>46008</v>
      </c>
      <c r="D1445" s="5">
        <v>46016</v>
      </c>
      <c r="E1445" t="s">
        <v>535</v>
      </c>
      <c r="F1445" t="s">
        <v>696</v>
      </c>
      <c r="H1445" t="s">
        <v>797</v>
      </c>
      <c r="I1445" t="s">
        <v>8</v>
      </c>
      <c r="J1445" t="s">
        <v>192</v>
      </c>
      <c r="K1445" t="s">
        <v>798</v>
      </c>
      <c r="L1445" t="s">
        <v>799</v>
      </c>
      <c r="M1445" t="s">
        <v>818</v>
      </c>
      <c r="N1445">
        <v>5</v>
      </c>
      <c r="O1445" s="3">
        <v>19.47</v>
      </c>
      <c r="P1445" s="3">
        <v>28.23</v>
      </c>
      <c r="Q1445" s="6">
        <v>0</v>
      </c>
      <c r="R1445" s="3">
        <v>141.15</v>
      </c>
      <c r="S1445" t="s">
        <v>869</v>
      </c>
    </row>
    <row r="1446" spans="1:19" x14ac:dyDescent="0.35">
      <c r="A1446" t="s">
        <v>2922</v>
      </c>
      <c r="B1446" t="s">
        <v>428</v>
      </c>
      <c r="C1446" s="5">
        <v>45470</v>
      </c>
      <c r="D1446" s="5">
        <v>45480</v>
      </c>
      <c r="E1446" t="s">
        <v>429</v>
      </c>
      <c r="F1446" t="s">
        <v>627</v>
      </c>
      <c r="G1446" t="s">
        <v>264</v>
      </c>
      <c r="H1446" t="s">
        <v>48</v>
      </c>
      <c r="I1446" t="s">
        <v>48</v>
      </c>
      <c r="J1446" t="s">
        <v>219</v>
      </c>
      <c r="K1446" t="s">
        <v>798</v>
      </c>
      <c r="L1446" t="s">
        <v>799</v>
      </c>
      <c r="M1446" t="s">
        <v>788</v>
      </c>
      <c r="N1446">
        <v>1</v>
      </c>
      <c r="O1446" s="3">
        <v>12.9</v>
      </c>
      <c r="P1446" s="3">
        <v>18.7</v>
      </c>
      <c r="Q1446" s="6">
        <v>0</v>
      </c>
      <c r="R1446" s="3">
        <v>18.7</v>
      </c>
      <c r="S1446" t="s">
        <v>825</v>
      </c>
    </row>
    <row r="1447" spans="1:19" x14ac:dyDescent="0.35">
      <c r="A1447" t="s">
        <v>2923</v>
      </c>
      <c r="B1447" t="s">
        <v>398</v>
      </c>
      <c r="C1447" s="5">
        <v>45662</v>
      </c>
      <c r="D1447" s="5">
        <v>45669</v>
      </c>
      <c r="E1447" t="s">
        <v>399</v>
      </c>
      <c r="F1447" t="s">
        <v>627</v>
      </c>
      <c r="G1447" t="s">
        <v>264</v>
      </c>
      <c r="H1447" t="s">
        <v>797</v>
      </c>
      <c r="I1447" t="s">
        <v>38</v>
      </c>
      <c r="J1447" t="s">
        <v>172</v>
      </c>
      <c r="K1447" t="s">
        <v>786</v>
      </c>
      <c r="L1447" t="s">
        <v>799</v>
      </c>
      <c r="M1447" t="s">
        <v>800</v>
      </c>
      <c r="N1447">
        <v>2</v>
      </c>
      <c r="O1447" s="3">
        <v>18.329999999999998</v>
      </c>
      <c r="P1447" s="3">
        <v>22.91</v>
      </c>
      <c r="Q1447" s="6">
        <v>0</v>
      </c>
      <c r="R1447" s="3">
        <v>45.82</v>
      </c>
      <c r="S1447" t="s">
        <v>814</v>
      </c>
    </row>
    <row r="1448" spans="1:19" x14ac:dyDescent="0.35">
      <c r="A1448" t="s">
        <v>2924</v>
      </c>
      <c r="B1448" t="s">
        <v>347</v>
      </c>
      <c r="C1448" s="5">
        <v>45971</v>
      </c>
      <c r="E1448" t="s">
        <v>348</v>
      </c>
      <c r="F1448" t="s">
        <v>681</v>
      </c>
      <c r="G1448" t="s">
        <v>243</v>
      </c>
      <c r="H1448" t="s">
        <v>14</v>
      </c>
      <c r="I1448" t="s">
        <v>20</v>
      </c>
      <c r="J1448" t="s">
        <v>134</v>
      </c>
      <c r="K1448" t="s">
        <v>798</v>
      </c>
      <c r="L1448" t="s">
        <v>787</v>
      </c>
      <c r="M1448" t="s">
        <v>788</v>
      </c>
      <c r="N1448">
        <v>12</v>
      </c>
      <c r="O1448" s="3">
        <v>38.36</v>
      </c>
      <c r="P1448" s="3">
        <v>53.7</v>
      </c>
      <c r="Q1448" s="6">
        <v>0.05</v>
      </c>
      <c r="R1448" s="3">
        <v>612.18000000000006</v>
      </c>
      <c r="S1448" t="s">
        <v>803</v>
      </c>
    </row>
    <row r="1449" spans="1:19" x14ac:dyDescent="0.35">
      <c r="A1449" t="s">
        <v>2925</v>
      </c>
      <c r="B1449" t="s">
        <v>579</v>
      </c>
      <c r="C1449" s="5">
        <v>45659</v>
      </c>
      <c r="D1449" s="5">
        <v>45665</v>
      </c>
      <c r="E1449" t="s">
        <v>514</v>
      </c>
      <c r="F1449" t="s">
        <v>674</v>
      </c>
      <c r="G1449" t="s">
        <v>243</v>
      </c>
      <c r="H1449" t="s">
        <v>797</v>
      </c>
      <c r="I1449" t="s">
        <v>8</v>
      </c>
      <c r="J1449" t="s">
        <v>73</v>
      </c>
      <c r="K1449" t="s">
        <v>798</v>
      </c>
      <c r="L1449" t="s">
        <v>799</v>
      </c>
      <c r="M1449" t="s">
        <v>818</v>
      </c>
      <c r="N1449">
        <v>2</v>
      </c>
      <c r="O1449" s="3">
        <v>67.95</v>
      </c>
      <c r="P1449" s="3">
        <v>88.34</v>
      </c>
      <c r="Q1449" s="6">
        <v>0.1</v>
      </c>
      <c r="R1449" s="3">
        <v>159.012</v>
      </c>
      <c r="S1449" t="s">
        <v>935</v>
      </c>
    </row>
    <row r="1450" spans="1:19" x14ac:dyDescent="0.35">
      <c r="A1450" t="s">
        <v>2926</v>
      </c>
      <c r="B1450" t="s">
        <v>303</v>
      </c>
      <c r="C1450" s="5">
        <v>45708</v>
      </c>
      <c r="D1450" s="5">
        <v>45711</v>
      </c>
      <c r="E1450" t="s">
        <v>304</v>
      </c>
      <c r="F1450" t="s">
        <v>637</v>
      </c>
      <c r="G1450" t="s">
        <v>243</v>
      </c>
      <c r="H1450" t="s">
        <v>797</v>
      </c>
      <c r="I1450" t="s">
        <v>20</v>
      </c>
      <c r="J1450" t="s">
        <v>159</v>
      </c>
      <c r="K1450" t="s">
        <v>798</v>
      </c>
      <c r="L1450" t="s">
        <v>799</v>
      </c>
      <c r="M1450" t="s">
        <v>842</v>
      </c>
      <c r="N1450">
        <v>12</v>
      </c>
      <c r="O1450" s="3">
        <v>8.2200000000000006</v>
      </c>
      <c r="P1450" s="3">
        <v>11.1</v>
      </c>
      <c r="Q1450" s="6">
        <v>0.15</v>
      </c>
      <c r="R1450" s="3">
        <v>113.22</v>
      </c>
      <c r="S1450" t="s">
        <v>825</v>
      </c>
    </row>
    <row r="1451" spans="1:19" x14ac:dyDescent="0.35">
      <c r="A1451" t="s">
        <v>2927</v>
      </c>
      <c r="B1451" t="s">
        <v>430</v>
      </c>
      <c r="C1451" s="5">
        <v>45486</v>
      </c>
      <c r="E1451" t="s">
        <v>431</v>
      </c>
      <c r="F1451" t="s">
        <v>627</v>
      </c>
      <c r="G1451" t="s">
        <v>264</v>
      </c>
      <c r="H1451" t="s">
        <v>797</v>
      </c>
      <c r="I1451" t="s">
        <v>20</v>
      </c>
      <c r="J1451" t="s">
        <v>196</v>
      </c>
      <c r="K1451" t="s">
        <v>786</v>
      </c>
      <c r="L1451" t="s">
        <v>787</v>
      </c>
      <c r="M1451" t="s">
        <v>788</v>
      </c>
      <c r="N1451">
        <v>10</v>
      </c>
      <c r="O1451" s="3">
        <v>15.78</v>
      </c>
      <c r="P1451" s="3">
        <v>19.72</v>
      </c>
      <c r="Q1451" s="6">
        <v>0</v>
      </c>
      <c r="R1451" s="3">
        <v>197.2</v>
      </c>
      <c r="S1451" t="s">
        <v>935</v>
      </c>
    </row>
    <row r="1452" spans="1:19" x14ac:dyDescent="0.35">
      <c r="A1452" t="s">
        <v>2928</v>
      </c>
      <c r="B1452" t="s">
        <v>397</v>
      </c>
      <c r="C1452" s="5">
        <v>45846</v>
      </c>
      <c r="D1452" s="5">
        <v>45854</v>
      </c>
      <c r="E1452" t="s">
        <v>360</v>
      </c>
      <c r="F1452" t="s">
        <v>627</v>
      </c>
      <c r="H1452" t="s">
        <v>20</v>
      </c>
      <c r="I1452" t="s">
        <v>20</v>
      </c>
      <c r="J1452" t="s">
        <v>104</v>
      </c>
      <c r="K1452" t="s">
        <v>798</v>
      </c>
      <c r="L1452" t="s">
        <v>799</v>
      </c>
      <c r="M1452" t="s">
        <v>842</v>
      </c>
      <c r="N1452">
        <v>12</v>
      </c>
      <c r="O1452" s="3">
        <v>43.88</v>
      </c>
      <c r="P1452" s="3">
        <v>54.85</v>
      </c>
      <c r="Q1452" s="6">
        <v>0</v>
      </c>
      <c r="R1452" s="3">
        <v>658.2</v>
      </c>
      <c r="S1452" t="s">
        <v>810</v>
      </c>
    </row>
    <row r="1453" spans="1:19" x14ac:dyDescent="0.35">
      <c r="A1453" t="s">
        <v>2929</v>
      </c>
      <c r="B1453" t="s">
        <v>238</v>
      </c>
      <c r="C1453" s="5">
        <v>45521</v>
      </c>
      <c r="E1453" t="s">
        <v>239</v>
      </c>
      <c r="F1453" t="s">
        <v>681</v>
      </c>
      <c r="G1453" t="s">
        <v>243</v>
      </c>
      <c r="H1453" t="s">
        <v>20</v>
      </c>
      <c r="I1453" t="s">
        <v>79</v>
      </c>
      <c r="J1453" t="s">
        <v>124</v>
      </c>
      <c r="K1453" t="s">
        <v>798</v>
      </c>
      <c r="L1453" t="s">
        <v>793</v>
      </c>
      <c r="M1453" t="s">
        <v>818</v>
      </c>
      <c r="N1453">
        <v>12</v>
      </c>
      <c r="O1453" s="3">
        <v>29.44</v>
      </c>
      <c r="P1453" s="3">
        <v>41.22</v>
      </c>
      <c r="Q1453" s="6">
        <v>0</v>
      </c>
      <c r="R1453" s="3">
        <v>494.64</v>
      </c>
      <c r="S1453" t="s">
        <v>829</v>
      </c>
    </row>
    <row r="1454" spans="1:19" x14ac:dyDescent="0.35">
      <c r="A1454" t="s">
        <v>2930</v>
      </c>
      <c r="B1454" t="s">
        <v>511</v>
      </c>
      <c r="C1454" s="5">
        <v>45411</v>
      </c>
      <c r="D1454" s="5">
        <v>45413</v>
      </c>
      <c r="E1454" t="s">
        <v>512</v>
      </c>
      <c r="F1454" t="s">
        <v>674</v>
      </c>
      <c r="G1454" t="s">
        <v>264</v>
      </c>
      <c r="H1454" t="s">
        <v>797</v>
      </c>
      <c r="I1454" t="s">
        <v>8</v>
      </c>
      <c r="J1454" t="s">
        <v>23</v>
      </c>
      <c r="K1454" t="s">
        <v>798</v>
      </c>
      <c r="L1454" t="s">
        <v>799</v>
      </c>
      <c r="M1454" t="s">
        <v>800</v>
      </c>
      <c r="N1454">
        <v>3</v>
      </c>
      <c r="O1454" s="3">
        <v>58.47</v>
      </c>
      <c r="P1454" s="3">
        <v>84.78</v>
      </c>
      <c r="Q1454" s="6">
        <v>0</v>
      </c>
      <c r="R1454" s="3">
        <v>254.34</v>
      </c>
      <c r="S1454" t="s">
        <v>829</v>
      </c>
    </row>
    <row r="1455" spans="1:19" x14ac:dyDescent="0.35">
      <c r="A1455" t="s">
        <v>2931</v>
      </c>
      <c r="B1455" t="s">
        <v>286</v>
      </c>
      <c r="C1455" s="5">
        <v>45676</v>
      </c>
      <c r="D1455" s="5">
        <v>45677</v>
      </c>
      <c r="E1455" t="s">
        <v>287</v>
      </c>
      <c r="F1455" t="s">
        <v>627</v>
      </c>
      <c r="G1455" t="s">
        <v>264</v>
      </c>
      <c r="H1455" t="s">
        <v>14</v>
      </c>
      <c r="I1455" t="s">
        <v>20</v>
      </c>
      <c r="J1455" t="s">
        <v>119</v>
      </c>
      <c r="K1455" t="s">
        <v>813</v>
      </c>
      <c r="L1455" t="s">
        <v>799</v>
      </c>
      <c r="M1455" t="s">
        <v>842</v>
      </c>
      <c r="N1455">
        <v>10</v>
      </c>
      <c r="O1455" s="3">
        <v>40.94</v>
      </c>
      <c r="P1455" s="3">
        <v>53.22</v>
      </c>
      <c r="Q1455" s="6">
        <v>0.15</v>
      </c>
      <c r="R1455" s="3">
        <v>452.37000000000006</v>
      </c>
      <c r="S1455" t="s">
        <v>1134</v>
      </c>
    </row>
    <row r="1456" spans="1:19" x14ac:dyDescent="0.35">
      <c r="A1456" t="s">
        <v>2932</v>
      </c>
      <c r="B1456" t="s">
        <v>614</v>
      </c>
      <c r="C1456" s="5">
        <v>45756</v>
      </c>
      <c r="D1456" s="5">
        <v>45759</v>
      </c>
      <c r="E1456" t="s">
        <v>615</v>
      </c>
      <c r="F1456" t="s">
        <v>674</v>
      </c>
      <c r="G1456" t="s">
        <v>235</v>
      </c>
      <c r="H1456" t="s">
        <v>20</v>
      </c>
      <c r="I1456" t="s">
        <v>8</v>
      </c>
      <c r="J1456" t="s">
        <v>192</v>
      </c>
      <c r="K1456" t="s">
        <v>798</v>
      </c>
      <c r="L1456" t="s">
        <v>799</v>
      </c>
      <c r="M1456" t="s">
        <v>818</v>
      </c>
      <c r="N1456">
        <v>3</v>
      </c>
      <c r="O1456" s="3">
        <v>19.47</v>
      </c>
      <c r="P1456" s="3">
        <v>28.23</v>
      </c>
      <c r="Q1456" s="6">
        <v>0.15</v>
      </c>
      <c r="R1456" s="3">
        <v>71.986499999999992</v>
      </c>
      <c r="S1456" t="s">
        <v>876</v>
      </c>
    </row>
    <row r="1457" spans="1:19" x14ac:dyDescent="0.35">
      <c r="A1457" t="s">
        <v>2933</v>
      </c>
      <c r="B1457" t="s">
        <v>386</v>
      </c>
      <c r="C1457" s="5">
        <v>45343</v>
      </c>
      <c r="D1457" s="5">
        <v>45350</v>
      </c>
      <c r="E1457" t="s">
        <v>387</v>
      </c>
      <c r="F1457" t="s">
        <v>681</v>
      </c>
      <c r="G1457" t="s">
        <v>243</v>
      </c>
      <c r="H1457" t="s">
        <v>797</v>
      </c>
      <c r="I1457" t="s">
        <v>29</v>
      </c>
      <c r="J1457" t="s">
        <v>106</v>
      </c>
      <c r="K1457" t="s">
        <v>813</v>
      </c>
      <c r="L1457" t="s">
        <v>799</v>
      </c>
      <c r="M1457" t="s">
        <v>818</v>
      </c>
      <c r="N1457">
        <v>1</v>
      </c>
      <c r="O1457" s="3">
        <v>29.64</v>
      </c>
      <c r="P1457" s="3">
        <v>41.5</v>
      </c>
      <c r="Q1457" s="6">
        <v>0.1</v>
      </c>
      <c r="R1457" s="3">
        <v>37.35</v>
      </c>
      <c r="S1457" t="s">
        <v>859</v>
      </c>
    </row>
    <row r="1458" spans="1:19" x14ac:dyDescent="0.35">
      <c r="A1458" t="s">
        <v>2934</v>
      </c>
      <c r="B1458" t="s">
        <v>592</v>
      </c>
      <c r="C1458" s="5">
        <v>45458</v>
      </c>
      <c r="D1458" s="5">
        <v>45468</v>
      </c>
      <c r="E1458" t="s">
        <v>478</v>
      </c>
      <c r="F1458" t="s">
        <v>696</v>
      </c>
      <c r="G1458" t="s">
        <v>243</v>
      </c>
      <c r="H1458" t="s">
        <v>20</v>
      </c>
      <c r="I1458" t="s">
        <v>38</v>
      </c>
      <c r="J1458" t="s">
        <v>126</v>
      </c>
      <c r="K1458" t="s">
        <v>798</v>
      </c>
      <c r="L1458" t="s">
        <v>799</v>
      </c>
      <c r="M1458" t="s">
        <v>818</v>
      </c>
      <c r="N1458">
        <v>10</v>
      </c>
      <c r="O1458" s="3">
        <v>41.95</v>
      </c>
      <c r="P1458" s="3">
        <v>58.73</v>
      </c>
      <c r="Q1458" s="6">
        <v>0.15</v>
      </c>
      <c r="R1458" s="3">
        <v>499.20499999999998</v>
      </c>
      <c r="S1458" t="s">
        <v>888</v>
      </c>
    </row>
    <row r="1459" spans="1:19" x14ac:dyDescent="0.35">
      <c r="A1459" t="s">
        <v>2935</v>
      </c>
      <c r="B1459" t="s">
        <v>252</v>
      </c>
      <c r="C1459" s="5">
        <v>45432</v>
      </c>
      <c r="D1459" s="5">
        <v>45435</v>
      </c>
      <c r="E1459" t="s">
        <v>253</v>
      </c>
      <c r="F1459" t="s">
        <v>627</v>
      </c>
      <c r="G1459" t="s">
        <v>243</v>
      </c>
      <c r="H1459" t="s">
        <v>20</v>
      </c>
      <c r="I1459" t="s">
        <v>43</v>
      </c>
      <c r="J1459" t="s">
        <v>75</v>
      </c>
      <c r="K1459" t="s">
        <v>798</v>
      </c>
      <c r="L1459" t="s">
        <v>799</v>
      </c>
      <c r="M1459" t="s">
        <v>818</v>
      </c>
      <c r="N1459">
        <v>10</v>
      </c>
      <c r="O1459" s="3">
        <v>24.35</v>
      </c>
      <c r="P1459" s="3">
        <v>34.090000000000003</v>
      </c>
      <c r="Q1459" s="6">
        <v>0.05</v>
      </c>
      <c r="R1459" s="3">
        <v>323.85500000000002</v>
      </c>
      <c r="S1459" t="s">
        <v>829</v>
      </c>
    </row>
    <row r="1460" spans="1:19" x14ac:dyDescent="0.35">
      <c r="A1460" t="s">
        <v>2936</v>
      </c>
      <c r="B1460" t="s">
        <v>299</v>
      </c>
      <c r="C1460" s="5">
        <v>45870</v>
      </c>
      <c r="D1460" s="5">
        <v>45874</v>
      </c>
      <c r="E1460" t="s">
        <v>300</v>
      </c>
      <c r="F1460" t="s">
        <v>637</v>
      </c>
      <c r="G1460" t="s">
        <v>264</v>
      </c>
      <c r="H1460" t="s">
        <v>20</v>
      </c>
      <c r="I1460" t="s">
        <v>43</v>
      </c>
      <c r="J1460" t="s">
        <v>113</v>
      </c>
      <c r="K1460" t="s">
        <v>813</v>
      </c>
      <c r="L1460" t="s">
        <v>822</v>
      </c>
      <c r="M1460" t="s">
        <v>800</v>
      </c>
      <c r="N1460">
        <v>2</v>
      </c>
      <c r="O1460" s="3">
        <v>16.91</v>
      </c>
      <c r="P1460" s="3">
        <v>21.14</v>
      </c>
      <c r="Q1460" s="6">
        <v>0</v>
      </c>
      <c r="R1460" s="3">
        <v>42.28</v>
      </c>
      <c r="S1460" t="s">
        <v>963</v>
      </c>
    </row>
    <row r="1461" spans="1:19" x14ac:dyDescent="0.35">
      <c r="A1461" t="s">
        <v>2937</v>
      </c>
      <c r="B1461" t="s">
        <v>394</v>
      </c>
      <c r="C1461" s="5">
        <v>45499</v>
      </c>
      <c r="E1461" t="s">
        <v>356</v>
      </c>
      <c r="F1461" t="s">
        <v>254</v>
      </c>
      <c r="G1461" t="s">
        <v>264</v>
      </c>
      <c r="H1461" t="s">
        <v>48</v>
      </c>
      <c r="I1461" t="s">
        <v>20</v>
      </c>
      <c r="J1461" t="s">
        <v>163</v>
      </c>
      <c r="K1461" t="s">
        <v>786</v>
      </c>
      <c r="L1461" t="s">
        <v>793</v>
      </c>
      <c r="M1461" t="s">
        <v>788</v>
      </c>
      <c r="N1461">
        <v>5</v>
      </c>
      <c r="O1461" s="3">
        <v>55.3</v>
      </c>
      <c r="P1461" s="3">
        <v>74.66</v>
      </c>
      <c r="Q1461" s="6">
        <v>0</v>
      </c>
      <c r="R1461" s="3">
        <v>373.29999999999995</v>
      </c>
      <c r="S1461" t="s">
        <v>814</v>
      </c>
    </row>
    <row r="1462" spans="1:19" x14ac:dyDescent="0.35">
      <c r="A1462" t="s">
        <v>2938</v>
      </c>
      <c r="B1462" t="s">
        <v>497</v>
      </c>
      <c r="C1462" s="5">
        <v>45702</v>
      </c>
      <c r="E1462" t="s">
        <v>296</v>
      </c>
      <c r="F1462" t="s">
        <v>627</v>
      </c>
      <c r="G1462" t="s">
        <v>235</v>
      </c>
      <c r="H1462" t="s">
        <v>48</v>
      </c>
      <c r="I1462" t="s">
        <v>79</v>
      </c>
      <c r="J1462" t="s">
        <v>88</v>
      </c>
      <c r="K1462" t="s">
        <v>798</v>
      </c>
      <c r="L1462" t="s">
        <v>793</v>
      </c>
      <c r="M1462" t="s">
        <v>788</v>
      </c>
      <c r="N1462">
        <v>3</v>
      </c>
      <c r="O1462" s="3">
        <v>11.82</v>
      </c>
      <c r="P1462" s="3">
        <v>17.14</v>
      </c>
      <c r="Q1462" s="6">
        <v>0.15</v>
      </c>
      <c r="R1462" s="3">
        <v>43.707000000000001</v>
      </c>
      <c r="S1462" t="s">
        <v>919</v>
      </c>
    </row>
    <row r="1463" spans="1:19" x14ac:dyDescent="0.35">
      <c r="A1463" t="s">
        <v>2939</v>
      </c>
      <c r="B1463" t="s">
        <v>358</v>
      </c>
      <c r="C1463" s="5">
        <v>45372</v>
      </c>
      <c r="E1463" t="s">
        <v>287</v>
      </c>
      <c r="F1463" t="s">
        <v>254</v>
      </c>
      <c r="G1463" t="s">
        <v>243</v>
      </c>
      <c r="H1463" t="s">
        <v>797</v>
      </c>
      <c r="I1463" t="s">
        <v>48</v>
      </c>
      <c r="J1463" t="s">
        <v>148</v>
      </c>
      <c r="K1463" t="s">
        <v>798</v>
      </c>
      <c r="L1463" t="s">
        <v>793</v>
      </c>
      <c r="M1463" t="s">
        <v>800</v>
      </c>
      <c r="N1463">
        <v>2</v>
      </c>
      <c r="O1463" s="3">
        <v>58.01</v>
      </c>
      <c r="P1463" s="3">
        <v>72.510000000000005</v>
      </c>
      <c r="Q1463" s="6">
        <v>0</v>
      </c>
      <c r="R1463" s="3">
        <v>145.02000000000001</v>
      </c>
      <c r="S1463" t="s">
        <v>845</v>
      </c>
    </row>
    <row r="1464" spans="1:19" x14ac:dyDescent="0.35">
      <c r="A1464" t="s">
        <v>2940</v>
      </c>
      <c r="B1464" t="s">
        <v>541</v>
      </c>
      <c r="C1464" s="5">
        <v>45799</v>
      </c>
      <c r="D1464" s="5">
        <v>45809</v>
      </c>
      <c r="E1464" t="s">
        <v>542</v>
      </c>
      <c r="F1464" t="s">
        <v>633</v>
      </c>
      <c r="G1464" t="s">
        <v>235</v>
      </c>
      <c r="H1464" t="s">
        <v>797</v>
      </c>
      <c r="I1464" t="s">
        <v>20</v>
      </c>
      <c r="J1464" t="s">
        <v>18</v>
      </c>
      <c r="K1464" t="s">
        <v>813</v>
      </c>
      <c r="L1464" t="s">
        <v>799</v>
      </c>
      <c r="M1464" t="s">
        <v>800</v>
      </c>
      <c r="N1464">
        <v>2</v>
      </c>
      <c r="O1464" s="3">
        <v>21.57</v>
      </c>
      <c r="P1464" s="3">
        <v>26.96</v>
      </c>
      <c r="Q1464" s="6">
        <v>0</v>
      </c>
      <c r="R1464" s="3">
        <v>53.92</v>
      </c>
      <c r="S1464" t="s">
        <v>1017</v>
      </c>
    </row>
    <row r="1465" spans="1:19" x14ac:dyDescent="0.35">
      <c r="A1465" t="s">
        <v>2941</v>
      </c>
      <c r="B1465" t="s">
        <v>545</v>
      </c>
      <c r="C1465" s="5">
        <v>45342</v>
      </c>
      <c r="E1465" t="s">
        <v>546</v>
      </c>
      <c r="F1465" t="s">
        <v>633</v>
      </c>
      <c r="G1465" t="s">
        <v>235</v>
      </c>
      <c r="H1465" t="s">
        <v>797</v>
      </c>
      <c r="I1465" t="s">
        <v>20</v>
      </c>
      <c r="J1465" t="s">
        <v>134</v>
      </c>
      <c r="K1465" t="s">
        <v>786</v>
      </c>
      <c r="L1465" t="s">
        <v>793</v>
      </c>
      <c r="M1465" t="s">
        <v>842</v>
      </c>
      <c r="N1465">
        <v>2</v>
      </c>
      <c r="O1465" s="3">
        <v>38.36</v>
      </c>
      <c r="P1465" s="3">
        <v>53.7</v>
      </c>
      <c r="Q1465" s="6">
        <v>0</v>
      </c>
      <c r="R1465" s="3">
        <v>107.4</v>
      </c>
      <c r="S1465" t="s">
        <v>876</v>
      </c>
    </row>
    <row r="1466" spans="1:19" x14ac:dyDescent="0.35">
      <c r="A1466" t="s">
        <v>2942</v>
      </c>
      <c r="B1466" t="s">
        <v>283</v>
      </c>
      <c r="C1466" s="5">
        <v>45574</v>
      </c>
      <c r="D1466" s="5">
        <v>45576</v>
      </c>
      <c r="E1466" t="s">
        <v>284</v>
      </c>
      <c r="F1466" t="s">
        <v>674</v>
      </c>
      <c r="G1466" t="s">
        <v>264</v>
      </c>
      <c r="H1466" t="s">
        <v>14</v>
      </c>
      <c r="I1466" t="s">
        <v>43</v>
      </c>
      <c r="J1466" t="s">
        <v>171</v>
      </c>
      <c r="K1466" t="s">
        <v>798</v>
      </c>
      <c r="L1466" t="s">
        <v>799</v>
      </c>
      <c r="M1466" t="s">
        <v>818</v>
      </c>
      <c r="N1466">
        <v>5</v>
      </c>
      <c r="O1466" s="3">
        <v>29.39</v>
      </c>
      <c r="P1466" s="3">
        <v>39.68</v>
      </c>
      <c r="Q1466" s="6">
        <v>0.05</v>
      </c>
      <c r="R1466" s="3">
        <v>188.48000000000002</v>
      </c>
      <c r="S1466" t="s">
        <v>790</v>
      </c>
    </row>
    <row r="1467" spans="1:19" x14ac:dyDescent="0.35">
      <c r="A1467" t="s">
        <v>2943</v>
      </c>
      <c r="B1467" t="s">
        <v>603</v>
      </c>
      <c r="C1467" s="5">
        <v>45437</v>
      </c>
      <c r="D1467" s="5">
        <v>45439</v>
      </c>
      <c r="E1467" t="s">
        <v>508</v>
      </c>
      <c r="F1467" t="s">
        <v>637</v>
      </c>
      <c r="G1467" t="s">
        <v>264</v>
      </c>
      <c r="H1467" t="s">
        <v>14</v>
      </c>
      <c r="I1467" t="s">
        <v>38</v>
      </c>
      <c r="J1467" t="s">
        <v>82</v>
      </c>
      <c r="K1467" t="s">
        <v>798</v>
      </c>
      <c r="L1467" t="s">
        <v>822</v>
      </c>
      <c r="M1467" t="s">
        <v>842</v>
      </c>
      <c r="N1467">
        <v>5</v>
      </c>
      <c r="O1467" s="3">
        <v>12.54</v>
      </c>
      <c r="P1467" s="3">
        <v>16.93</v>
      </c>
      <c r="Q1467" s="6">
        <v>0</v>
      </c>
      <c r="R1467" s="3">
        <v>84.65</v>
      </c>
      <c r="S1467" t="s">
        <v>810</v>
      </c>
    </row>
    <row r="1468" spans="1:19" x14ac:dyDescent="0.35">
      <c r="A1468" t="s">
        <v>2944</v>
      </c>
      <c r="B1468" t="s">
        <v>527</v>
      </c>
      <c r="C1468" s="5">
        <v>45795</v>
      </c>
      <c r="E1468" t="s">
        <v>282</v>
      </c>
      <c r="F1468" t="s">
        <v>637</v>
      </c>
      <c r="G1468" t="s">
        <v>235</v>
      </c>
      <c r="H1468" t="s">
        <v>797</v>
      </c>
      <c r="I1468" t="s">
        <v>20</v>
      </c>
      <c r="J1468" t="s">
        <v>163</v>
      </c>
      <c r="K1468" t="s">
        <v>798</v>
      </c>
      <c r="L1468" t="s">
        <v>793</v>
      </c>
      <c r="M1468" t="s">
        <v>818</v>
      </c>
      <c r="N1468">
        <v>5</v>
      </c>
      <c r="O1468" s="3">
        <v>55.3</v>
      </c>
      <c r="P1468" s="3">
        <v>74.66</v>
      </c>
      <c r="Q1468" s="6">
        <v>0</v>
      </c>
      <c r="R1468" s="3">
        <v>373.29999999999995</v>
      </c>
      <c r="S1468" t="s">
        <v>803</v>
      </c>
    </row>
    <row r="1469" spans="1:19" x14ac:dyDescent="0.35">
      <c r="A1469" t="s">
        <v>2945</v>
      </c>
      <c r="B1469" t="s">
        <v>601</v>
      </c>
      <c r="C1469" s="5">
        <v>45851</v>
      </c>
      <c r="D1469" s="5">
        <v>45860</v>
      </c>
      <c r="E1469" t="s">
        <v>602</v>
      </c>
      <c r="F1469" t="s">
        <v>637</v>
      </c>
      <c r="G1469" t="s">
        <v>235</v>
      </c>
      <c r="H1469" t="s">
        <v>14</v>
      </c>
      <c r="I1469" t="s">
        <v>14</v>
      </c>
      <c r="J1469" t="s">
        <v>150</v>
      </c>
      <c r="K1469" t="s">
        <v>798</v>
      </c>
      <c r="L1469" t="s">
        <v>799</v>
      </c>
      <c r="M1469" t="s">
        <v>788</v>
      </c>
      <c r="N1469">
        <v>3</v>
      </c>
      <c r="O1469" s="3">
        <v>5.81</v>
      </c>
      <c r="P1469" s="3">
        <v>7.55</v>
      </c>
      <c r="Q1469" s="6">
        <v>0.05</v>
      </c>
      <c r="R1469" s="3">
        <v>21.517499999999998</v>
      </c>
      <c r="S1469" t="s">
        <v>794</v>
      </c>
    </row>
    <row r="1470" spans="1:19" x14ac:dyDescent="0.35">
      <c r="A1470" t="s">
        <v>2946</v>
      </c>
      <c r="B1470" t="s">
        <v>516</v>
      </c>
      <c r="C1470" s="5">
        <v>45540</v>
      </c>
      <c r="E1470" t="s">
        <v>517</v>
      </c>
      <c r="F1470" t="s">
        <v>674</v>
      </c>
      <c r="G1470" t="s">
        <v>243</v>
      </c>
      <c r="H1470" t="s">
        <v>14</v>
      </c>
      <c r="I1470" t="s">
        <v>14</v>
      </c>
      <c r="J1470" t="s">
        <v>169</v>
      </c>
      <c r="K1470" t="s">
        <v>786</v>
      </c>
      <c r="L1470" t="s">
        <v>793</v>
      </c>
      <c r="M1470" t="s">
        <v>800</v>
      </c>
      <c r="N1470">
        <v>1</v>
      </c>
      <c r="O1470" s="3">
        <v>40.590000000000003</v>
      </c>
      <c r="P1470" s="3">
        <v>58.86</v>
      </c>
      <c r="Q1470" s="6">
        <v>0</v>
      </c>
      <c r="R1470" s="3">
        <v>58.86</v>
      </c>
      <c r="S1470" t="s">
        <v>803</v>
      </c>
    </row>
    <row r="1471" spans="1:19" x14ac:dyDescent="0.35">
      <c r="A1471" t="s">
        <v>2947</v>
      </c>
      <c r="B1471" t="s">
        <v>507</v>
      </c>
      <c r="C1471" s="5">
        <v>45752</v>
      </c>
      <c r="D1471" s="5">
        <v>45760</v>
      </c>
      <c r="E1471" t="s">
        <v>508</v>
      </c>
      <c r="F1471" t="s">
        <v>637</v>
      </c>
      <c r="G1471" t="s">
        <v>243</v>
      </c>
      <c r="H1471" t="s">
        <v>20</v>
      </c>
      <c r="I1471" t="s">
        <v>8</v>
      </c>
      <c r="J1471" t="s">
        <v>192</v>
      </c>
      <c r="K1471" t="s">
        <v>798</v>
      </c>
      <c r="L1471" t="s">
        <v>799</v>
      </c>
      <c r="M1471" t="s">
        <v>818</v>
      </c>
      <c r="N1471">
        <v>10</v>
      </c>
      <c r="O1471" s="3">
        <v>19.47</v>
      </c>
      <c r="P1471" s="3">
        <v>28.23</v>
      </c>
      <c r="Q1471" s="6">
        <v>0.15</v>
      </c>
      <c r="R1471" s="3">
        <v>239.95500000000001</v>
      </c>
      <c r="S1471" t="s">
        <v>919</v>
      </c>
    </row>
    <row r="1472" spans="1:19" x14ac:dyDescent="0.35">
      <c r="A1472" t="s">
        <v>2948</v>
      </c>
      <c r="B1472" t="s">
        <v>469</v>
      </c>
      <c r="C1472" s="5">
        <v>45781</v>
      </c>
      <c r="E1472" t="s">
        <v>470</v>
      </c>
      <c r="F1472" t="s">
        <v>637</v>
      </c>
      <c r="G1472" t="s">
        <v>235</v>
      </c>
      <c r="H1472" t="s">
        <v>48</v>
      </c>
      <c r="I1472" t="s">
        <v>20</v>
      </c>
      <c r="J1472" t="s">
        <v>196</v>
      </c>
      <c r="K1472" t="s">
        <v>798</v>
      </c>
      <c r="L1472" t="s">
        <v>793</v>
      </c>
      <c r="M1472" t="s">
        <v>788</v>
      </c>
      <c r="N1472">
        <v>3</v>
      </c>
      <c r="O1472" s="3">
        <v>15.78</v>
      </c>
      <c r="P1472" s="3">
        <v>19.72</v>
      </c>
      <c r="Q1472" s="6">
        <v>0</v>
      </c>
      <c r="R1472" s="3">
        <v>59.16</v>
      </c>
      <c r="S1472" t="s">
        <v>814</v>
      </c>
    </row>
    <row r="1473" spans="1:19" x14ac:dyDescent="0.35">
      <c r="A1473" t="s">
        <v>2949</v>
      </c>
      <c r="B1473" t="s">
        <v>528</v>
      </c>
      <c r="C1473" s="5">
        <v>45294</v>
      </c>
      <c r="E1473" t="s">
        <v>433</v>
      </c>
      <c r="F1473" t="s">
        <v>674</v>
      </c>
      <c r="G1473" t="s">
        <v>264</v>
      </c>
      <c r="H1473" t="s">
        <v>797</v>
      </c>
      <c r="I1473" t="s">
        <v>48</v>
      </c>
      <c r="J1473" t="s">
        <v>139</v>
      </c>
      <c r="K1473" t="s">
        <v>786</v>
      </c>
      <c r="L1473" t="s">
        <v>793</v>
      </c>
      <c r="M1473" t="s">
        <v>800</v>
      </c>
      <c r="N1473">
        <v>5</v>
      </c>
      <c r="O1473" s="3">
        <v>29.93</v>
      </c>
      <c r="P1473" s="3">
        <v>41.9</v>
      </c>
      <c r="Q1473" s="6">
        <v>0</v>
      </c>
      <c r="R1473" s="3">
        <v>209.5</v>
      </c>
      <c r="S1473" t="s">
        <v>825</v>
      </c>
    </row>
    <row r="1474" spans="1:19" x14ac:dyDescent="0.35">
      <c r="A1474" t="s">
        <v>2950</v>
      </c>
      <c r="B1474" t="s">
        <v>465</v>
      </c>
      <c r="C1474" s="5">
        <v>45455</v>
      </c>
      <c r="D1474" s="5">
        <v>45460</v>
      </c>
      <c r="E1474" t="s">
        <v>348</v>
      </c>
      <c r="F1474" t="s">
        <v>681</v>
      </c>
      <c r="G1474" t="s">
        <v>264</v>
      </c>
      <c r="H1474" t="s">
        <v>20</v>
      </c>
      <c r="I1474" t="s">
        <v>43</v>
      </c>
      <c r="J1474" t="s">
        <v>141</v>
      </c>
      <c r="K1474" t="s">
        <v>798</v>
      </c>
      <c r="L1474" t="s">
        <v>799</v>
      </c>
      <c r="M1474" t="s">
        <v>818</v>
      </c>
      <c r="N1474">
        <v>12</v>
      </c>
      <c r="O1474" s="3">
        <v>17.2</v>
      </c>
      <c r="P1474" s="3">
        <v>22.36</v>
      </c>
      <c r="Q1474" s="6">
        <v>0</v>
      </c>
      <c r="R1474" s="3">
        <v>268.32</v>
      </c>
      <c r="S1474" t="s">
        <v>825</v>
      </c>
    </row>
    <row r="1475" spans="1:19" x14ac:dyDescent="0.35">
      <c r="A1475" t="s">
        <v>2951</v>
      </c>
      <c r="B1475" t="s">
        <v>353</v>
      </c>
      <c r="C1475" s="5">
        <v>45706</v>
      </c>
      <c r="D1475" s="5">
        <v>45712</v>
      </c>
      <c r="E1475" t="s">
        <v>258</v>
      </c>
      <c r="F1475" t="s">
        <v>681</v>
      </c>
      <c r="G1475" t="s">
        <v>264</v>
      </c>
      <c r="H1475" t="s">
        <v>797</v>
      </c>
      <c r="I1475" t="s">
        <v>43</v>
      </c>
      <c r="J1475" t="s">
        <v>200</v>
      </c>
      <c r="K1475" t="s">
        <v>798</v>
      </c>
      <c r="L1475" t="s">
        <v>822</v>
      </c>
      <c r="M1475" t="s">
        <v>842</v>
      </c>
      <c r="N1475">
        <v>2</v>
      </c>
      <c r="O1475" s="3">
        <v>69.23</v>
      </c>
      <c r="P1475" s="3">
        <v>86.54</v>
      </c>
      <c r="Q1475" s="6">
        <v>0.1</v>
      </c>
      <c r="R1475" s="3">
        <v>155.77200000000002</v>
      </c>
      <c r="S1475" t="s">
        <v>888</v>
      </c>
    </row>
    <row r="1476" spans="1:19" x14ac:dyDescent="0.35">
      <c r="A1476" t="s">
        <v>2952</v>
      </c>
      <c r="B1476" t="s">
        <v>493</v>
      </c>
      <c r="C1476" s="5">
        <v>45873</v>
      </c>
      <c r="D1476" s="5">
        <v>45883</v>
      </c>
      <c r="E1476" t="s">
        <v>311</v>
      </c>
      <c r="F1476" t="s">
        <v>637</v>
      </c>
      <c r="G1476" t="s">
        <v>243</v>
      </c>
      <c r="H1476" t="s">
        <v>14</v>
      </c>
      <c r="I1476" t="s">
        <v>20</v>
      </c>
      <c r="J1476" t="s">
        <v>188</v>
      </c>
      <c r="K1476" t="s">
        <v>813</v>
      </c>
      <c r="L1476" t="s">
        <v>799</v>
      </c>
      <c r="M1476" t="s">
        <v>800</v>
      </c>
      <c r="N1476">
        <v>3</v>
      </c>
      <c r="O1476" s="3">
        <v>24.6</v>
      </c>
      <c r="P1476" s="3">
        <v>35.67</v>
      </c>
      <c r="Q1476" s="6">
        <v>0</v>
      </c>
      <c r="R1476" s="3">
        <v>107.01</v>
      </c>
      <c r="S1476" t="s">
        <v>876</v>
      </c>
    </row>
    <row r="1477" spans="1:19" x14ac:dyDescent="0.35">
      <c r="A1477" t="s">
        <v>2953</v>
      </c>
      <c r="B1477" t="s">
        <v>418</v>
      </c>
      <c r="C1477" s="5">
        <v>45915</v>
      </c>
      <c r="E1477" t="s">
        <v>253</v>
      </c>
      <c r="F1477" t="s">
        <v>637</v>
      </c>
      <c r="G1477" t="s">
        <v>264</v>
      </c>
      <c r="H1477" t="s">
        <v>14</v>
      </c>
      <c r="I1477" t="s">
        <v>14</v>
      </c>
      <c r="J1477" t="s">
        <v>214</v>
      </c>
      <c r="K1477" t="s">
        <v>813</v>
      </c>
      <c r="L1477" t="s">
        <v>787</v>
      </c>
      <c r="M1477" t="s">
        <v>842</v>
      </c>
      <c r="N1477">
        <v>20</v>
      </c>
      <c r="O1477" s="3">
        <v>22.07</v>
      </c>
      <c r="P1477" s="3">
        <v>27.59</v>
      </c>
      <c r="Q1477" s="6">
        <v>0</v>
      </c>
      <c r="R1477" s="3">
        <v>551.79999999999995</v>
      </c>
      <c r="S1477" t="s">
        <v>829</v>
      </c>
    </row>
    <row r="1478" spans="1:19" x14ac:dyDescent="0.35">
      <c r="A1478" t="s">
        <v>2954</v>
      </c>
      <c r="B1478" t="s">
        <v>574</v>
      </c>
      <c r="C1478" s="5">
        <v>45911</v>
      </c>
      <c r="D1478" s="5">
        <v>45914</v>
      </c>
      <c r="E1478" t="s">
        <v>458</v>
      </c>
      <c r="F1478" t="s">
        <v>637</v>
      </c>
      <c r="H1478" t="s">
        <v>14</v>
      </c>
      <c r="I1478" t="s">
        <v>79</v>
      </c>
      <c r="J1478" t="s">
        <v>184</v>
      </c>
      <c r="K1478" t="s">
        <v>786</v>
      </c>
      <c r="L1478" t="s">
        <v>799</v>
      </c>
      <c r="M1478" t="s">
        <v>800</v>
      </c>
      <c r="N1478">
        <v>1</v>
      </c>
      <c r="O1478" s="3">
        <v>28.87</v>
      </c>
      <c r="P1478" s="3">
        <v>40.42</v>
      </c>
      <c r="Q1478" s="6">
        <v>0.1</v>
      </c>
      <c r="R1478" s="3">
        <v>36.378</v>
      </c>
      <c r="S1478" t="s">
        <v>859</v>
      </c>
    </row>
    <row r="1479" spans="1:19" x14ac:dyDescent="0.35">
      <c r="A1479" t="s">
        <v>2955</v>
      </c>
      <c r="B1479" t="s">
        <v>440</v>
      </c>
      <c r="C1479" s="5">
        <v>45597</v>
      </c>
      <c r="D1479" s="5">
        <v>45605</v>
      </c>
      <c r="E1479" t="s">
        <v>441</v>
      </c>
      <c r="F1479" t="s">
        <v>637</v>
      </c>
      <c r="G1479" t="s">
        <v>264</v>
      </c>
      <c r="H1479" t="s">
        <v>20</v>
      </c>
      <c r="I1479" t="s">
        <v>14</v>
      </c>
      <c r="J1479" t="s">
        <v>30</v>
      </c>
      <c r="K1479" t="s">
        <v>798</v>
      </c>
      <c r="L1479" t="s">
        <v>799</v>
      </c>
      <c r="M1479" t="s">
        <v>842</v>
      </c>
      <c r="N1479">
        <v>2</v>
      </c>
      <c r="O1479" s="3">
        <v>19.010000000000002</v>
      </c>
      <c r="P1479" s="3">
        <v>27.56</v>
      </c>
      <c r="Q1479" s="6">
        <v>0</v>
      </c>
      <c r="R1479" s="3">
        <v>55.12</v>
      </c>
      <c r="S1479" t="s">
        <v>814</v>
      </c>
    </row>
    <row r="1480" spans="1:19" x14ac:dyDescent="0.35">
      <c r="A1480" t="s">
        <v>2956</v>
      </c>
      <c r="B1480" t="s">
        <v>513</v>
      </c>
      <c r="C1480" s="5">
        <v>45933</v>
      </c>
      <c r="E1480" t="s">
        <v>514</v>
      </c>
      <c r="F1480" t="s">
        <v>696</v>
      </c>
      <c r="G1480" t="s">
        <v>264</v>
      </c>
      <c r="H1480" t="s">
        <v>48</v>
      </c>
      <c r="I1480" t="s">
        <v>29</v>
      </c>
      <c r="J1480" t="s">
        <v>121</v>
      </c>
      <c r="K1480" t="s">
        <v>786</v>
      </c>
      <c r="L1480" t="s">
        <v>787</v>
      </c>
      <c r="M1480" t="s">
        <v>818</v>
      </c>
      <c r="N1480">
        <v>2</v>
      </c>
      <c r="O1480" s="3">
        <v>15.46</v>
      </c>
      <c r="P1480" s="3">
        <v>22.42</v>
      </c>
      <c r="Q1480" s="6">
        <v>0</v>
      </c>
      <c r="R1480" s="3">
        <v>44.84</v>
      </c>
      <c r="S1480" t="s">
        <v>814</v>
      </c>
    </row>
    <row r="1481" spans="1:19" x14ac:dyDescent="0.35">
      <c r="A1481" t="s">
        <v>2957</v>
      </c>
      <c r="B1481" t="s">
        <v>529</v>
      </c>
      <c r="C1481" s="5">
        <v>45475</v>
      </c>
      <c r="D1481" s="5">
        <v>45483</v>
      </c>
      <c r="E1481" t="s">
        <v>253</v>
      </c>
      <c r="F1481" t="s">
        <v>696</v>
      </c>
      <c r="G1481" t="s">
        <v>235</v>
      </c>
      <c r="H1481" t="s">
        <v>797</v>
      </c>
      <c r="I1481" t="s">
        <v>29</v>
      </c>
      <c r="J1481" t="s">
        <v>115</v>
      </c>
      <c r="K1481" t="s">
        <v>798</v>
      </c>
      <c r="L1481" t="s">
        <v>799</v>
      </c>
      <c r="M1481" t="s">
        <v>788</v>
      </c>
      <c r="N1481">
        <v>1</v>
      </c>
      <c r="O1481" s="3">
        <v>34.340000000000003</v>
      </c>
      <c r="P1481" s="3">
        <v>44.64</v>
      </c>
      <c r="Q1481" s="6">
        <v>0</v>
      </c>
      <c r="R1481" s="3">
        <v>44.64</v>
      </c>
      <c r="S1481" t="s">
        <v>946</v>
      </c>
    </row>
    <row r="1482" spans="1:19" x14ac:dyDescent="0.35">
      <c r="A1482" t="s">
        <v>2958</v>
      </c>
      <c r="B1482" t="s">
        <v>616</v>
      </c>
      <c r="C1482" s="5">
        <v>45573</v>
      </c>
      <c r="D1482" s="5">
        <v>45582</v>
      </c>
      <c r="E1482" t="s">
        <v>231</v>
      </c>
      <c r="F1482" t="s">
        <v>254</v>
      </c>
      <c r="G1482" t="s">
        <v>264</v>
      </c>
      <c r="H1482" t="s">
        <v>48</v>
      </c>
      <c r="I1482" t="s">
        <v>14</v>
      </c>
      <c r="J1482" t="s">
        <v>150</v>
      </c>
      <c r="K1482" t="s">
        <v>813</v>
      </c>
      <c r="L1482" t="s">
        <v>799</v>
      </c>
      <c r="M1482" t="s">
        <v>818</v>
      </c>
      <c r="N1482">
        <v>2</v>
      </c>
      <c r="O1482" s="3">
        <v>5.81</v>
      </c>
      <c r="P1482" s="3">
        <v>7.55</v>
      </c>
      <c r="Q1482" s="6">
        <v>0.05</v>
      </c>
      <c r="R1482" s="3">
        <v>14.344999999999999</v>
      </c>
      <c r="S1482" t="s">
        <v>946</v>
      </c>
    </row>
    <row r="1483" spans="1:19" x14ac:dyDescent="0.35">
      <c r="A1483" t="s">
        <v>2959</v>
      </c>
      <c r="B1483" t="s">
        <v>528</v>
      </c>
      <c r="C1483" s="5">
        <v>45796</v>
      </c>
      <c r="D1483" s="5">
        <v>45799</v>
      </c>
      <c r="E1483" t="s">
        <v>433</v>
      </c>
      <c r="F1483" t="s">
        <v>674</v>
      </c>
      <c r="G1483" t="s">
        <v>264</v>
      </c>
      <c r="H1483" t="s">
        <v>20</v>
      </c>
      <c r="I1483" t="s">
        <v>8</v>
      </c>
      <c r="J1483" t="s">
        <v>21</v>
      </c>
      <c r="K1483" t="s">
        <v>798</v>
      </c>
      <c r="L1483" t="s">
        <v>799</v>
      </c>
      <c r="M1483" t="s">
        <v>818</v>
      </c>
      <c r="N1483">
        <v>3</v>
      </c>
      <c r="O1483" s="3">
        <v>21.57</v>
      </c>
      <c r="P1483" s="3">
        <v>26.96</v>
      </c>
      <c r="Q1483" s="6">
        <v>0.15</v>
      </c>
      <c r="R1483" s="3">
        <v>68.74799999999999</v>
      </c>
      <c r="S1483" t="s">
        <v>888</v>
      </c>
    </row>
    <row r="1484" spans="1:19" x14ac:dyDescent="0.35">
      <c r="A1484" t="s">
        <v>2960</v>
      </c>
      <c r="B1484" t="s">
        <v>543</v>
      </c>
      <c r="C1484" s="5">
        <v>45619</v>
      </c>
      <c r="D1484" s="5">
        <v>45620</v>
      </c>
      <c r="E1484" t="s">
        <v>544</v>
      </c>
      <c r="F1484" t="s">
        <v>674</v>
      </c>
      <c r="G1484" t="s">
        <v>243</v>
      </c>
      <c r="H1484" t="s">
        <v>14</v>
      </c>
      <c r="I1484" t="s">
        <v>8</v>
      </c>
      <c r="J1484" t="s">
        <v>192</v>
      </c>
      <c r="K1484" t="s">
        <v>798</v>
      </c>
      <c r="L1484" t="s">
        <v>799</v>
      </c>
      <c r="M1484" t="s">
        <v>800</v>
      </c>
      <c r="N1484">
        <v>10</v>
      </c>
      <c r="O1484" s="3">
        <v>19.47</v>
      </c>
      <c r="P1484" s="3">
        <v>28.23</v>
      </c>
      <c r="Q1484" s="6">
        <v>0.15</v>
      </c>
      <c r="R1484" s="3">
        <v>239.95500000000001</v>
      </c>
      <c r="S1484" t="s">
        <v>892</v>
      </c>
    </row>
    <row r="1485" spans="1:19" x14ac:dyDescent="0.35">
      <c r="A1485" t="s">
        <v>2961</v>
      </c>
      <c r="B1485" t="s">
        <v>369</v>
      </c>
      <c r="C1485" s="5">
        <v>45700</v>
      </c>
      <c r="E1485" t="s">
        <v>282</v>
      </c>
      <c r="F1485" t="s">
        <v>681</v>
      </c>
      <c r="G1485" t="s">
        <v>243</v>
      </c>
      <c r="H1485" t="s">
        <v>14</v>
      </c>
      <c r="I1485" t="s">
        <v>20</v>
      </c>
      <c r="J1485" t="s">
        <v>159</v>
      </c>
      <c r="K1485" t="s">
        <v>798</v>
      </c>
      <c r="L1485" t="s">
        <v>787</v>
      </c>
      <c r="M1485" t="s">
        <v>800</v>
      </c>
      <c r="N1485">
        <v>12</v>
      </c>
      <c r="O1485" s="3">
        <v>8.2200000000000006</v>
      </c>
      <c r="P1485" s="3">
        <v>11.1</v>
      </c>
      <c r="Q1485" s="6">
        <v>0</v>
      </c>
      <c r="R1485" s="3">
        <v>133.19999999999999</v>
      </c>
      <c r="S1485" t="s">
        <v>825</v>
      </c>
    </row>
    <row r="1486" spans="1:19" x14ac:dyDescent="0.35">
      <c r="A1486" t="s">
        <v>2962</v>
      </c>
      <c r="B1486" t="s">
        <v>459</v>
      </c>
      <c r="C1486" s="5">
        <v>45661</v>
      </c>
      <c r="D1486" s="5">
        <v>45664</v>
      </c>
      <c r="E1486" t="s">
        <v>460</v>
      </c>
      <c r="F1486" t="s">
        <v>681</v>
      </c>
      <c r="G1486" t="s">
        <v>264</v>
      </c>
      <c r="H1486" t="s">
        <v>14</v>
      </c>
      <c r="I1486" t="s">
        <v>43</v>
      </c>
      <c r="J1486" t="s">
        <v>75</v>
      </c>
      <c r="K1486" t="s">
        <v>798</v>
      </c>
      <c r="L1486" t="s">
        <v>799</v>
      </c>
      <c r="M1486" t="s">
        <v>842</v>
      </c>
      <c r="N1486">
        <v>2</v>
      </c>
      <c r="O1486" s="3">
        <v>24.35</v>
      </c>
      <c r="P1486" s="3">
        <v>34.090000000000003</v>
      </c>
      <c r="Q1486" s="6">
        <v>0.15</v>
      </c>
      <c r="R1486" s="3">
        <v>57.953000000000003</v>
      </c>
      <c r="S1486" t="s">
        <v>919</v>
      </c>
    </row>
    <row r="1487" spans="1:19" x14ac:dyDescent="0.35">
      <c r="A1487" t="s">
        <v>2963</v>
      </c>
      <c r="B1487" t="s">
        <v>366</v>
      </c>
      <c r="C1487" s="5">
        <v>45578</v>
      </c>
      <c r="E1487" t="s">
        <v>245</v>
      </c>
      <c r="F1487" t="s">
        <v>637</v>
      </c>
      <c r="G1487" t="s">
        <v>243</v>
      </c>
      <c r="H1487" t="s">
        <v>20</v>
      </c>
      <c r="I1487" t="s">
        <v>43</v>
      </c>
      <c r="J1487" t="s">
        <v>58</v>
      </c>
      <c r="K1487" t="s">
        <v>786</v>
      </c>
      <c r="L1487" t="s">
        <v>793</v>
      </c>
      <c r="M1487" t="s">
        <v>788</v>
      </c>
      <c r="N1487">
        <v>1</v>
      </c>
      <c r="O1487" s="3">
        <v>11.21</v>
      </c>
      <c r="P1487" s="3">
        <v>15.13</v>
      </c>
      <c r="Q1487" s="6">
        <v>0.1</v>
      </c>
      <c r="R1487" s="3">
        <v>13.617000000000001</v>
      </c>
      <c r="S1487" t="s">
        <v>935</v>
      </c>
    </row>
    <row r="1488" spans="1:19" x14ac:dyDescent="0.35">
      <c r="A1488" t="s">
        <v>2964</v>
      </c>
      <c r="B1488" t="s">
        <v>465</v>
      </c>
      <c r="C1488" s="5">
        <v>45763</v>
      </c>
      <c r="D1488" s="5">
        <v>45766</v>
      </c>
      <c r="E1488" t="s">
        <v>348</v>
      </c>
      <c r="F1488" t="s">
        <v>674</v>
      </c>
      <c r="G1488" t="s">
        <v>264</v>
      </c>
      <c r="H1488" t="s">
        <v>797</v>
      </c>
      <c r="I1488" t="s">
        <v>20</v>
      </c>
      <c r="J1488" t="s">
        <v>18</v>
      </c>
      <c r="K1488" t="s">
        <v>786</v>
      </c>
      <c r="L1488" t="s">
        <v>799</v>
      </c>
      <c r="M1488" t="s">
        <v>788</v>
      </c>
      <c r="N1488">
        <v>2</v>
      </c>
      <c r="O1488" s="3">
        <v>21.57</v>
      </c>
      <c r="P1488" s="3">
        <v>26.96</v>
      </c>
      <c r="Q1488" s="6">
        <v>0.15</v>
      </c>
      <c r="R1488" s="3">
        <v>45.832000000000001</v>
      </c>
      <c r="S1488" t="s">
        <v>794</v>
      </c>
    </row>
    <row r="1489" spans="1:19" x14ac:dyDescent="0.35">
      <c r="A1489" t="s">
        <v>2965</v>
      </c>
      <c r="B1489" t="s">
        <v>603</v>
      </c>
      <c r="C1489" s="5">
        <v>45991</v>
      </c>
      <c r="D1489" s="5">
        <v>46001</v>
      </c>
      <c r="E1489" t="s">
        <v>508</v>
      </c>
      <c r="F1489" t="s">
        <v>627</v>
      </c>
      <c r="G1489" t="s">
        <v>264</v>
      </c>
      <c r="H1489" t="s">
        <v>20</v>
      </c>
      <c r="I1489" t="s">
        <v>14</v>
      </c>
      <c r="J1489" t="s">
        <v>138</v>
      </c>
      <c r="K1489" t="s">
        <v>786</v>
      </c>
      <c r="L1489" t="s">
        <v>799</v>
      </c>
      <c r="M1489" t="s">
        <v>788</v>
      </c>
      <c r="N1489">
        <v>20</v>
      </c>
      <c r="O1489" s="3">
        <v>42.6</v>
      </c>
      <c r="P1489" s="3">
        <v>59.64</v>
      </c>
      <c r="Q1489" s="6">
        <v>0</v>
      </c>
      <c r="R1489" s="3">
        <v>1192.8</v>
      </c>
      <c r="S1489" t="s">
        <v>790</v>
      </c>
    </row>
    <row r="1490" spans="1:19" x14ac:dyDescent="0.35">
      <c r="A1490" t="s">
        <v>2966</v>
      </c>
      <c r="B1490" t="s">
        <v>469</v>
      </c>
      <c r="C1490" s="5">
        <v>45397</v>
      </c>
      <c r="D1490" s="5">
        <v>45405</v>
      </c>
      <c r="E1490" t="s">
        <v>470</v>
      </c>
      <c r="F1490" t="s">
        <v>674</v>
      </c>
      <c r="G1490" t="s">
        <v>235</v>
      </c>
      <c r="H1490" t="s">
        <v>797</v>
      </c>
      <c r="I1490" t="s">
        <v>8</v>
      </c>
      <c r="J1490" t="s">
        <v>212</v>
      </c>
      <c r="K1490" t="s">
        <v>798</v>
      </c>
      <c r="L1490" t="s">
        <v>822</v>
      </c>
      <c r="M1490" t="s">
        <v>788</v>
      </c>
      <c r="N1490">
        <v>1</v>
      </c>
      <c r="O1490" s="3">
        <v>95.09</v>
      </c>
      <c r="P1490" s="3">
        <v>133.13</v>
      </c>
      <c r="Q1490" s="6">
        <v>0.1</v>
      </c>
      <c r="R1490" s="3">
        <v>119.81699999999999</v>
      </c>
      <c r="S1490" t="s">
        <v>1134</v>
      </c>
    </row>
    <row r="1491" spans="1:19" x14ac:dyDescent="0.35">
      <c r="A1491" t="s">
        <v>2967</v>
      </c>
      <c r="B1491" t="s">
        <v>463</v>
      </c>
      <c r="C1491" s="5">
        <v>45474</v>
      </c>
      <c r="D1491" s="5">
        <v>45480</v>
      </c>
      <c r="E1491" t="s">
        <v>464</v>
      </c>
      <c r="F1491" t="s">
        <v>674</v>
      </c>
      <c r="G1491" t="s">
        <v>264</v>
      </c>
      <c r="H1491" t="s">
        <v>48</v>
      </c>
      <c r="I1491" t="s">
        <v>48</v>
      </c>
      <c r="J1491" t="s">
        <v>139</v>
      </c>
      <c r="K1491" t="s">
        <v>813</v>
      </c>
      <c r="L1491" t="s">
        <v>822</v>
      </c>
      <c r="M1491" t="s">
        <v>788</v>
      </c>
      <c r="N1491">
        <v>10</v>
      </c>
      <c r="O1491" s="3">
        <v>29.93</v>
      </c>
      <c r="P1491" s="3">
        <v>41.9</v>
      </c>
      <c r="Q1491" s="6">
        <v>0.15</v>
      </c>
      <c r="R1491" s="3">
        <v>356.15</v>
      </c>
      <c r="S1491" t="s">
        <v>794</v>
      </c>
    </row>
    <row r="1492" spans="1:19" x14ac:dyDescent="0.35">
      <c r="A1492" t="s">
        <v>2968</v>
      </c>
      <c r="B1492" t="s">
        <v>582</v>
      </c>
      <c r="C1492" s="5">
        <v>45834</v>
      </c>
      <c r="D1492" s="5">
        <v>45841</v>
      </c>
      <c r="E1492" t="s">
        <v>583</v>
      </c>
      <c r="F1492" t="s">
        <v>633</v>
      </c>
      <c r="G1492" t="s">
        <v>264</v>
      </c>
      <c r="H1492" t="s">
        <v>797</v>
      </c>
      <c r="I1492" t="s">
        <v>20</v>
      </c>
      <c r="J1492" t="s">
        <v>197</v>
      </c>
      <c r="K1492" t="s">
        <v>786</v>
      </c>
      <c r="L1492" t="s">
        <v>822</v>
      </c>
      <c r="M1492" t="s">
        <v>842</v>
      </c>
      <c r="N1492">
        <v>20</v>
      </c>
      <c r="O1492" s="3">
        <v>22.45</v>
      </c>
      <c r="P1492" s="3">
        <v>29.18</v>
      </c>
      <c r="Q1492" s="6">
        <v>0.1</v>
      </c>
      <c r="R1492" s="3">
        <v>525.24</v>
      </c>
      <c r="S1492" t="s">
        <v>1001</v>
      </c>
    </row>
    <row r="1493" spans="1:19" x14ac:dyDescent="0.35">
      <c r="A1493" t="s">
        <v>2969</v>
      </c>
      <c r="B1493" t="s">
        <v>260</v>
      </c>
      <c r="C1493" s="5">
        <v>45670</v>
      </c>
      <c r="E1493" t="s">
        <v>261</v>
      </c>
      <c r="F1493" t="s">
        <v>681</v>
      </c>
      <c r="G1493" t="s">
        <v>264</v>
      </c>
      <c r="H1493" t="s">
        <v>14</v>
      </c>
      <c r="I1493" t="s">
        <v>8</v>
      </c>
      <c r="J1493" t="s">
        <v>212</v>
      </c>
      <c r="K1493" t="s">
        <v>798</v>
      </c>
      <c r="L1493" t="s">
        <v>793</v>
      </c>
      <c r="M1493" t="s">
        <v>800</v>
      </c>
      <c r="N1493">
        <v>5</v>
      </c>
      <c r="O1493" s="3">
        <v>95.09</v>
      </c>
      <c r="P1493" s="3">
        <v>133.13</v>
      </c>
      <c r="Q1493" s="6">
        <v>0</v>
      </c>
      <c r="R1493" s="3">
        <v>665.65</v>
      </c>
      <c r="S1493" t="s">
        <v>946</v>
      </c>
    </row>
    <row r="1494" spans="1:19" x14ac:dyDescent="0.35">
      <c r="A1494" t="s">
        <v>2970</v>
      </c>
      <c r="B1494" t="s">
        <v>613</v>
      </c>
      <c r="C1494" s="5">
        <v>45620</v>
      </c>
      <c r="E1494" t="s">
        <v>304</v>
      </c>
      <c r="F1494" t="s">
        <v>681</v>
      </c>
      <c r="G1494" t="s">
        <v>243</v>
      </c>
      <c r="H1494" t="s">
        <v>797</v>
      </c>
      <c r="I1494" t="s">
        <v>20</v>
      </c>
      <c r="J1494" t="s">
        <v>196</v>
      </c>
      <c r="K1494" t="s">
        <v>798</v>
      </c>
      <c r="L1494" t="s">
        <v>787</v>
      </c>
      <c r="M1494" t="s">
        <v>800</v>
      </c>
      <c r="N1494">
        <v>2</v>
      </c>
      <c r="O1494" s="3">
        <v>15.78</v>
      </c>
      <c r="P1494" s="3">
        <v>19.72</v>
      </c>
      <c r="Q1494" s="6">
        <v>0.15</v>
      </c>
      <c r="R1494" s="3">
        <v>33.524000000000001</v>
      </c>
      <c r="S1494" t="s">
        <v>946</v>
      </c>
    </row>
    <row r="1495" spans="1:19" x14ac:dyDescent="0.35">
      <c r="A1495" t="s">
        <v>2971</v>
      </c>
      <c r="B1495" t="s">
        <v>543</v>
      </c>
      <c r="C1495" s="5">
        <v>45414</v>
      </c>
      <c r="D1495" s="5">
        <v>45418</v>
      </c>
      <c r="E1495" t="s">
        <v>544</v>
      </c>
      <c r="F1495" t="s">
        <v>254</v>
      </c>
      <c r="G1495" t="s">
        <v>243</v>
      </c>
      <c r="H1495" t="s">
        <v>48</v>
      </c>
      <c r="I1495" t="s">
        <v>8</v>
      </c>
      <c r="J1495" t="s">
        <v>6</v>
      </c>
      <c r="K1495" t="s">
        <v>813</v>
      </c>
      <c r="L1495" t="s">
        <v>799</v>
      </c>
      <c r="M1495" t="s">
        <v>818</v>
      </c>
      <c r="N1495">
        <v>1</v>
      </c>
      <c r="O1495" s="3">
        <v>32.24</v>
      </c>
      <c r="P1495" s="3">
        <v>41.91</v>
      </c>
      <c r="Q1495" s="6">
        <v>0</v>
      </c>
      <c r="R1495" s="3">
        <v>41.91</v>
      </c>
      <c r="S1495" t="s">
        <v>829</v>
      </c>
    </row>
    <row r="1496" spans="1:19" x14ac:dyDescent="0.35">
      <c r="A1496" t="s">
        <v>2972</v>
      </c>
      <c r="B1496" t="s">
        <v>545</v>
      </c>
      <c r="C1496" s="5">
        <v>45826</v>
      </c>
      <c r="D1496" s="5">
        <v>45828</v>
      </c>
      <c r="E1496" t="s">
        <v>546</v>
      </c>
      <c r="F1496" t="s">
        <v>674</v>
      </c>
      <c r="G1496" t="s">
        <v>235</v>
      </c>
      <c r="H1496" t="s">
        <v>797</v>
      </c>
      <c r="I1496" t="s">
        <v>48</v>
      </c>
      <c r="J1496" t="s">
        <v>54</v>
      </c>
      <c r="K1496" t="s">
        <v>813</v>
      </c>
      <c r="L1496" t="s">
        <v>799</v>
      </c>
      <c r="M1496" t="s">
        <v>788</v>
      </c>
      <c r="N1496">
        <v>3</v>
      </c>
      <c r="O1496" s="3">
        <v>21.67</v>
      </c>
      <c r="P1496" s="3">
        <v>28.17</v>
      </c>
      <c r="Q1496" s="6">
        <v>0.05</v>
      </c>
      <c r="R1496" s="3">
        <v>80.284500000000008</v>
      </c>
      <c r="S1496" t="s">
        <v>859</v>
      </c>
    </row>
    <row r="1497" spans="1:19" x14ac:dyDescent="0.35">
      <c r="A1497" t="s">
        <v>2973</v>
      </c>
      <c r="B1497" t="s">
        <v>493</v>
      </c>
      <c r="C1497" s="5">
        <v>45625</v>
      </c>
      <c r="E1497" t="s">
        <v>311</v>
      </c>
      <c r="F1497" t="s">
        <v>254</v>
      </c>
      <c r="G1497" t="s">
        <v>243</v>
      </c>
      <c r="H1497" t="s">
        <v>797</v>
      </c>
      <c r="I1497" t="s">
        <v>20</v>
      </c>
      <c r="J1497" t="s">
        <v>102</v>
      </c>
      <c r="K1497" t="s">
        <v>798</v>
      </c>
      <c r="L1497" t="s">
        <v>787</v>
      </c>
      <c r="M1497" t="s">
        <v>788</v>
      </c>
      <c r="N1497">
        <v>2</v>
      </c>
      <c r="O1497" s="3">
        <v>19.04</v>
      </c>
      <c r="P1497" s="3">
        <v>25.7</v>
      </c>
      <c r="Q1497" s="6">
        <v>0</v>
      </c>
      <c r="R1497" s="3">
        <v>51.4</v>
      </c>
      <c r="S1497" t="s">
        <v>946</v>
      </c>
    </row>
    <row r="1498" spans="1:19" x14ac:dyDescent="0.35">
      <c r="A1498" t="s">
        <v>2974</v>
      </c>
      <c r="B1498" t="s">
        <v>500</v>
      </c>
      <c r="C1498" s="5">
        <v>45511</v>
      </c>
      <c r="E1498" t="s">
        <v>447</v>
      </c>
      <c r="F1498" t="s">
        <v>681</v>
      </c>
      <c r="G1498" t="s">
        <v>235</v>
      </c>
      <c r="H1498" t="s">
        <v>20</v>
      </c>
      <c r="I1498" t="s">
        <v>43</v>
      </c>
      <c r="J1498" t="s">
        <v>141</v>
      </c>
      <c r="K1498" t="s">
        <v>798</v>
      </c>
      <c r="L1498" t="s">
        <v>793</v>
      </c>
      <c r="M1498" t="s">
        <v>818</v>
      </c>
      <c r="N1498">
        <v>10</v>
      </c>
      <c r="O1498" s="3">
        <v>17.2</v>
      </c>
      <c r="P1498" s="3">
        <v>22.36</v>
      </c>
      <c r="Q1498" s="6">
        <v>0.05</v>
      </c>
      <c r="R1498" s="3">
        <v>212.42</v>
      </c>
      <c r="S1498" t="s">
        <v>1134</v>
      </c>
    </row>
    <row r="1499" spans="1:19" x14ac:dyDescent="0.35">
      <c r="A1499" t="s">
        <v>2975</v>
      </c>
      <c r="B1499" t="s">
        <v>559</v>
      </c>
      <c r="C1499" s="5">
        <v>45338</v>
      </c>
      <c r="D1499" s="5">
        <v>45339</v>
      </c>
      <c r="E1499" t="s">
        <v>311</v>
      </c>
      <c r="F1499" t="s">
        <v>633</v>
      </c>
      <c r="G1499" t="s">
        <v>235</v>
      </c>
      <c r="H1499" t="s">
        <v>48</v>
      </c>
      <c r="I1499" t="s">
        <v>29</v>
      </c>
      <c r="J1499" t="s">
        <v>191</v>
      </c>
      <c r="K1499" t="s">
        <v>813</v>
      </c>
      <c r="L1499" t="s">
        <v>799</v>
      </c>
      <c r="M1499" t="s">
        <v>842</v>
      </c>
      <c r="N1499">
        <v>12</v>
      </c>
      <c r="O1499" s="3">
        <v>11.26</v>
      </c>
      <c r="P1499" s="3">
        <v>15.2</v>
      </c>
      <c r="Q1499" s="6">
        <v>0</v>
      </c>
      <c r="R1499" s="3">
        <v>182.39999999999998</v>
      </c>
      <c r="S1499" t="s">
        <v>834</v>
      </c>
    </row>
    <row r="1500" spans="1:19" x14ac:dyDescent="0.35">
      <c r="A1500" t="s">
        <v>2976</v>
      </c>
      <c r="B1500" t="s">
        <v>493</v>
      </c>
      <c r="C1500" s="5">
        <v>45654</v>
      </c>
      <c r="E1500" t="s">
        <v>311</v>
      </c>
      <c r="F1500" t="s">
        <v>696</v>
      </c>
      <c r="G1500" t="s">
        <v>243</v>
      </c>
      <c r="H1500" t="s">
        <v>14</v>
      </c>
      <c r="I1500" t="s">
        <v>29</v>
      </c>
      <c r="J1500" t="s">
        <v>106</v>
      </c>
      <c r="K1500" t="s">
        <v>786</v>
      </c>
      <c r="L1500" t="s">
        <v>787</v>
      </c>
      <c r="M1500" t="s">
        <v>818</v>
      </c>
      <c r="N1500">
        <v>2</v>
      </c>
      <c r="O1500" s="3">
        <v>29.64</v>
      </c>
      <c r="P1500" s="3">
        <v>41.5</v>
      </c>
      <c r="Q1500" s="6">
        <v>0.1</v>
      </c>
      <c r="R1500" s="3">
        <v>74.7</v>
      </c>
      <c r="S1500" t="s">
        <v>829</v>
      </c>
    </row>
    <row r="1501" spans="1:19" x14ac:dyDescent="0.35">
      <c r="A1501" t="s">
        <v>2977</v>
      </c>
      <c r="B1501" t="s">
        <v>607</v>
      </c>
      <c r="C1501" s="5">
        <v>45911</v>
      </c>
      <c r="E1501" t="s">
        <v>608</v>
      </c>
      <c r="F1501" t="s">
        <v>696</v>
      </c>
      <c r="G1501" t="s">
        <v>264</v>
      </c>
      <c r="H1501" t="s">
        <v>797</v>
      </c>
      <c r="I1501" t="s">
        <v>38</v>
      </c>
      <c r="J1501" t="s">
        <v>71</v>
      </c>
      <c r="K1501" t="s">
        <v>798</v>
      </c>
      <c r="L1501" t="s">
        <v>793</v>
      </c>
      <c r="M1501" t="s">
        <v>800</v>
      </c>
      <c r="N1501">
        <v>1</v>
      </c>
      <c r="O1501" s="3">
        <v>17.62</v>
      </c>
      <c r="P1501" s="3">
        <v>24.67</v>
      </c>
      <c r="Q1501" s="6">
        <v>0.05</v>
      </c>
      <c r="R1501" s="3">
        <v>23.436500000000002</v>
      </c>
      <c r="S1501" t="s">
        <v>810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501"/>
  <sheetViews>
    <sheetView workbookViewId="0">
      <pane ySplit="1" topLeftCell="A2" activePane="bottomLeft" state="frozen"/>
      <selection pane="bottomLeft" activeCell="H39" sqref="H39"/>
    </sheetView>
  </sheetViews>
  <sheetFormatPr defaultRowHeight="14.5" x14ac:dyDescent="0.35"/>
  <cols>
    <col min="1" max="3" width="12" customWidth="1"/>
    <col min="4" max="4" width="26" customWidth="1"/>
    <col min="5" max="5" width="13" customWidth="1"/>
    <col min="6" max="6" width="10" customWidth="1"/>
    <col min="7" max="7" width="17" customWidth="1"/>
    <col min="8" max="8" width="18" customWidth="1"/>
    <col min="9" max="9" width="11" customWidth="1"/>
    <col min="10" max="10" width="10" customWidth="1"/>
    <col min="11" max="11" width="11" customWidth="1"/>
    <col min="12" max="13" width="12" customWidth="1"/>
    <col min="14" max="14" width="13" customWidth="1"/>
    <col min="15" max="16" width="10" customWidth="1"/>
    <col min="17" max="17" width="11" customWidth="1"/>
    <col min="18" max="18" width="14" customWidth="1"/>
    <col min="19" max="19" width="12" customWidth="1"/>
    <col min="20" max="20" width="18" customWidth="1"/>
    <col min="21" max="21" width="14" customWidth="1"/>
    <col min="22" max="22" width="10" customWidth="1"/>
  </cols>
  <sheetData>
    <row r="1" spans="1:22" x14ac:dyDescent="0.35">
      <c r="A1" s="1" t="s">
        <v>772</v>
      </c>
      <c r="B1" s="1" t="s">
        <v>773</v>
      </c>
      <c r="C1" s="1" t="s">
        <v>223</v>
      </c>
      <c r="D1" s="1" t="s">
        <v>224</v>
      </c>
      <c r="E1" s="1" t="s">
        <v>620</v>
      </c>
      <c r="F1" s="1" t="s">
        <v>228</v>
      </c>
      <c r="G1" s="1" t="s">
        <v>774</v>
      </c>
      <c r="H1" s="1" t="s">
        <v>775</v>
      </c>
      <c r="I1" s="1" t="s">
        <v>0</v>
      </c>
      <c r="J1" s="1" t="s">
        <v>776</v>
      </c>
      <c r="K1" s="1" t="s">
        <v>5</v>
      </c>
      <c r="L1" s="1" t="s">
        <v>777</v>
      </c>
      <c r="M1" s="1" t="s">
        <v>778</v>
      </c>
      <c r="N1" s="1" t="s">
        <v>779</v>
      </c>
      <c r="O1" s="1" t="s">
        <v>780</v>
      </c>
      <c r="P1" s="1" t="s">
        <v>3</v>
      </c>
      <c r="Q1" s="1" t="s">
        <v>4</v>
      </c>
      <c r="R1" s="1" t="s">
        <v>781</v>
      </c>
      <c r="S1" s="1" t="s">
        <v>782</v>
      </c>
      <c r="T1" s="1" t="s">
        <v>783</v>
      </c>
      <c r="U1" s="1" t="s">
        <v>2978</v>
      </c>
      <c r="V1" s="1" t="s">
        <v>2979</v>
      </c>
    </row>
    <row r="2" spans="1:22" x14ac:dyDescent="0.35">
      <c r="A2" t="s">
        <v>784</v>
      </c>
      <c r="B2" t="s">
        <v>785</v>
      </c>
      <c r="C2" t="s">
        <v>612</v>
      </c>
      <c r="D2" t="s">
        <v>447</v>
      </c>
      <c r="E2" t="s">
        <v>627</v>
      </c>
      <c r="F2" t="s">
        <v>235</v>
      </c>
      <c r="G2" t="s">
        <v>48</v>
      </c>
      <c r="H2" t="s">
        <v>20</v>
      </c>
      <c r="I2" t="s">
        <v>102</v>
      </c>
      <c r="J2" t="s">
        <v>786</v>
      </c>
      <c r="K2" t="s">
        <v>787</v>
      </c>
      <c r="L2" t="s">
        <v>788</v>
      </c>
      <c r="M2" s="5">
        <v>45848</v>
      </c>
      <c r="O2">
        <v>2</v>
      </c>
      <c r="P2">
        <v>19.04</v>
      </c>
      <c r="Q2">
        <v>25.7</v>
      </c>
      <c r="R2">
        <v>0</v>
      </c>
      <c r="S2">
        <v>51.4</v>
      </c>
      <c r="T2" t="s">
        <v>790</v>
      </c>
      <c r="U2">
        <v>38.08</v>
      </c>
      <c r="V2">
        <v>13.32</v>
      </c>
    </row>
    <row r="3" spans="1:22" x14ac:dyDescent="0.35">
      <c r="A3" t="s">
        <v>791</v>
      </c>
      <c r="B3" t="s">
        <v>792</v>
      </c>
      <c r="C3" t="s">
        <v>611</v>
      </c>
      <c r="D3" t="s">
        <v>287</v>
      </c>
      <c r="E3" t="s">
        <v>674</v>
      </c>
      <c r="F3" t="s">
        <v>235</v>
      </c>
      <c r="G3" t="s">
        <v>14</v>
      </c>
      <c r="H3" t="s">
        <v>29</v>
      </c>
      <c r="I3" t="s">
        <v>27</v>
      </c>
      <c r="J3" t="s">
        <v>786</v>
      </c>
      <c r="K3" t="s">
        <v>793</v>
      </c>
      <c r="L3" t="s">
        <v>788</v>
      </c>
      <c r="M3" s="5">
        <v>46060</v>
      </c>
      <c r="O3">
        <v>5</v>
      </c>
      <c r="P3">
        <v>33.06</v>
      </c>
      <c r="Q3">
        <v>47.94</v>
      </c>
      <c r="R3">
        <v>0</v>
      </c>
      <c r="S3">
        <v>239.7</v>
      </c>
      <c r="T3" t="s">
        <v>794</v>
      </c>
      <c r="U3">
        <v>165.3</v>
      </c>
      <c r="V3">
        <v>74.400000000000006</v>
      </c>
    </row>
    <row r="4" spans="1:22" x14ac:dyDescent="0.35">
      <c r="A4" t="s">
        <v>795</v>
      </c>
      <c r="B4" t="s">
        <v>796</v>
      </c>
      <c r="C4" t="s">
        <v>601</v>
      </c>
      <c r="D4" t="s">
        <v>602</v>
      </c>
      <c r="E4" t="s">
        <v>681</v>
      </c>
      <c r="F4" t="s">
        <v>235</v>
      </c>
      <c r="G4" t="s">
        <v>797</v>
      </c>
      <c r="H4" t="s">
        <v>48</v>
      </c>
      <c r="I4" t="s">
        <v>135</v>
      </c>
      <c r="J4" t="s">
        <v>798</v>
      </c>
      <c r="K4" t="s">
        <v>799</v>
      </c>
      <c r="L4" t="s">
        <v>800</v>
      </c>
      <c r="M4" s="5">
        <v>45905</v>
      </c>
      <c r="N4" s="5">
        <v>45901</v>
      </c>
      <c r="O4">
        <v>5</v>
      </c>
      <c r="P4">
        <v>51.72</v>
      </c>
      <c r="Q4">
        <v>67.239999999999995</v>
      </c>
      <c r="R4">
        <v>0.1</v>
      </c>
      <c r="S4">
        <v>302.58</v>
      </c>
      <c r="T4" t="s">
        <v>803</v>
      </c>
      <c r="U4">
        <v>258.60000000000002</v>
      </c>
      <c r="V4">
        <v>43.98</v>
      </c>
    </row>
    <row r="5" spans="1:22" x14ac:dyDescent="0.35">
      <c r="A5" t="s">
        <v>804</v>
      </c>
      <c r="B5" t="s">
        <v>805</v>
      </c>
      <c r="C5" t="s">
        <v>507</v>
      </c>
      <c r="D5" t="s">
        <v>508</v>
      </c>
      <c r="E5" t="s">
        <v>627</v>
      </c>
      <c r="F5" t="s">
        <v>243</v>
      </c>
      <c r="G5" t="s">
        <v>797</v>
      </c>
      <c r="H5" t="s">
        <v>79</v>
      </c>
      <c r="I5" t="s">
        <v>77</v>
      </c>
      <c r="J5" t="s">
        <v>798</v>
      </c>
      <c r="K5" t="s">
        <v>787</v>
      </c>
      <c r="L5" t="s">
        <v>788</v>
      </c>
      <c r="M5" s="5">
        <v>45875</v>
      </c>
      <c r="O5">
        <v>2</v>
      </c>
      <c r="P5">
        <v>13.71</v>
      </c>
      <c r="Q5">
        <v>17.82</v>
      </c>
      <c r="R5">
        <v>0.1</v>
      </c>
      <c r="S5">
        <v>32.08</v>
      </c>
      <c r="T5" t="s">
        <v>794</v>
      </c>
      <c r="U5">
        <v>27.42</v>
      </c>
      <c r="V5">
        <v>4.66</v>
      </c>
    </row>
    <row r="6" spans="1:22" x14ac:dyDescent="0.35">
      <c r="A6" t="s">
        <v>807</v>
      </c>
      <c r="B6" t="s">
        <v>808</v>
      </c>
      <c r="C6" t="s">
        <v>501</v>
      </c>
      <c r="D6" t="s">
        <v>363</v>
      </c>
      <c r="E6" t="s">
        <v>254</v>
      </c>
      <c r="F6" t="s">
        <v>264</v>
      </c>
      <c r="G6" t="s">
        <v>797</v>
      </c>
      <c r="H6" t="s">
        <v>43</v>
      </c>
      <c r="I6" t="s">
        <v>215</v>
      </c>
      <c r="J6" t="s">
        <v>798</v>
      </c>
      <c r="K6" t="s">
        <v>799</v>
      </c>
      <c r="L6" t="s">
        <v>800</v>
      </c>
      <c r="M6" s="5">
        <v>45319</v>
      </c>
      <c r="N6" s="5">
        <v>45318</v>
      </c>
      <c r="O6">
        <v>5</v>
      </c>
      <c r="P6">
        <v>28.96</v>
      </c>
      <c r="Q6">
        <v>40.54</v>
      </c>
      <c r="R6">
        <v>0.15</v>
      </c>
      <c r="S6">
        <v>172.29</v>
      </c>
      <c r="T6" t="s">
        <v>810</v>
      </c>
      <c r="U6">
        <v>144.80000000000001</v>
      </c>
      <c r="V6">
        <v>27.49</v>
      </c>
    </row>
    <row r="7" spans="1:22" x14ac:dyDescent="0.35">
      <c r="A7" t="s">
        <v>811</v>
      </c>
      <c r="B7" t="s">
        <v>812</v>
      </c>
      <c r="C7" t="s">
        <v>351</v>
      </c>
      <c r="D7" t="s">
        <v>352</v>
      </c>
      <c r="E7" t="s">
        <v>627</v>
      </c>
      <c r="F7" t="s">
        <v>264</v>
      </c>
      <c r="G7" t="s">
        <v>20</v>
      </c>
      <c r="H7" t="s">
        <v>14</v>
      </c>
      <c r="I7" t="s">
        <v>30</v>
      </c>
      <c r="J7" t="s">
        <v>813</v>
      </c>
      <c r="K7" t="s">
        <v>787</v>
      </c>
      <c r="L7" t="s">
        <v>800</v>
      </c>
      <c r="M7" s="5">
        <v>45355</v>
      </c>
      <c r="O7">
        <v>2</v>
      </c>
      <c r="P7">
        <v>19.010000000000002</v>
      </c>
      <c r="Q7">
        <v>27.56</v>
      </c>
      <c r="R7">
        <v>0</v>
      </c>
      <c r="S7">
        <v>55.12</v>
      </c>
      <c r="T7" t="s">
        <v>814</v>
      </c>
      <c r="U7">
        <v>38.020000000000003</v>
      </c>
      <c r="V7">
        <v>17.100000000000001</v>
      </c>
    </row>
    <row r="8" spans="1:22" x14ac:dyDescent="0.35">
      <c r="A8" t="s">
        <v>815</v>
      </c>
      <c r="B8" t="s">
        <v>816</v>
      </c>
      <c r="C8" t="s">
        <v>548</v>
      </c>
      <c r="D8" t="s">
        <v>549</v>
      </c>
      <c r="E8" t="s">
        <v>254</v>
      </c>
      <c r="F8" t="s">
        <v>264</v>
      </c>
      <c r="G8" t="s">
        <v>797</v>
      </c>
      <c r="H8" t="s">
        <v>8</v>
      </c>
      <c r="I8" t="s">
        <v>23</v>
      </c>
      <c r="J8" t="s">
        <v>798</v>
      </c>
      <c r="K8" t="s">
        <v>817</v>
      </c>
      <c r="L8" t="s">
        <v>818</v>
      </c>
      <c r="M8" s="5">
        <v>46020</v>
      </c>
      <c r="O8">
        <v>3</v>
      </c>
      <c r="P8">
        <v>58.47</v>
      </c>
      <c r="Q8">
        <v>84.78</v>
      </c>
      <c r="R8">
        <v>0.15</v>
      </c>
      <c r="S8">
        <v>216.19</v>
      </c>
      <c r="T8" t="s">
        <v>819</v>
      </c>
      <c r="U8">
        <v>175.41</v>
      </c>
      <c r="V8">
        <v>40.78</v>
      </c>
    </row>
    <row r="9" spans="1:22" x14ac:dyDescent="0.35">
      <c r="A9" t="s">
        <v>820</v>
      </c>
      <c r="B9" t="s">
        <v>821</v>
      </c>
      <c r="C9" t="s">
        <v>364</v>
      </c>
      <c r="D9" t="s">
        <v>365</v>
      </c>
      <c r="E9" t="s">
        <v>681</v>
      </c>
      <c r="F9" t="s">
        <v>243</v>
      </c>
      <c r="G9" t="s">
        <v>48</v>
      </c>
      <c r="H9" t="s">
        <v>29</v>
      </c>
      <c r="I9" t="s">
        <v>183</v>
      </c>
      <c r="J9" t="s">
        <v>798</v>
      </c>
      <c r="K9" t="s">
        <v>822</v>
      </c>
      <c r="L9" t="s">
        <v>800</v>
      </c>
      <c r="M9" s="5">
        <v>45963</v>
      </c>
      <c r="N9" s="5">
        <v>45966</v>
      </c>
      <c r="O9">
        <v>10</v>
      </c>
      <c r="P9">
        <v>10.97</v>
      </c>
      <c r="Q9">
        <v>15.91</v>
      </c>
      <c r="R9">
        <v>0</v>
      </c>
      <c r="S9">
        <v>159.1</v>
      </c>
      <c r="T9" t="s">
        <v>825</v>
      </c>
      <c r="U9">
        <v>109.7</v>
      </c>
      <c r="V9">
        <v>49.4</v>
      </c>
    </row>
    <row r="10" spans="1:22" x14ac:dyDescent="0.35">
      <c r="A10" t="s">
        <v>826</v>
      </c>
      <c r="B10" t="s">
        <v>827</v>
      </c>
      <c r="C10" t="s">
        <v>426</v>
      </c>
      <c r="D10" t="s">
        <v>427</v>
      </c>
      <c r="E10" t="s">
        <v>681</v>
      </c>
      <c r="F10" t="s">
        <v>264</v>
      </c>
      <c r="G10" t="s">
        <v>14</v>
      </c>
      <c r="H10" t="s">
        <v>14</v>
      </c>
      <c r="I10" t="s">
        <v>93</v>
      </c>
      <c r="J10" t="s">
        <v>813</v>
      </c>
      <c r="K10" t="s">
        <v>799</v>
      </c>
      <c r="L10" t="s">
        <v>818</v>
      </c>
      <c r="M10" s="5">
        <v>45474</v>
      </c>
      <c r="N10" s="5">
        <v>45474</v>
      </c>
      <c r="O10">
        <v>10</v>
      </c>
      <c r="P10">
        <v>26.96</v>
      </c>
      <c r="Q10">
        <v>37.74</v>
      </c>
      <c r="R10">
        <v>0.1</v>
      </c>
      <c r="S10">
        <v>339.66</v>
      </c>
      <c r="T10" t="s">
        <v>829</v>
      </c>
      <c r="U10">
        <v>269.60000000000002</v>
      </c>
      <c r="V10">
        <v>70.06</v>
      </c>
    </row>
    <row r="11" spans="1:22" x14ac:dyDescent="0.35">
      <c r="A11" t="s">
        <v>830</v>
      </c>
      <c r="B11" t="s">
        <v>831</v>
      </c>
      <c r="C11" t="s">
        <v>556</v>
      </c>
      <c r="D11" t="s">
        <v>472</v>
      </c>
      <c r="E11" t="s">
        <v>674</v>
      </c>
      <c r="F11" t="s">
        <v>235</v>
      </c>
      <c r="G11" t="s">
        <v>14</v>
      </c>
      <c r="H11" t="s">
        <v>8</v>
      </c>
      <c r="I11" t="s">
        <v>101</v>
      </c>
      <c r="J11" t="s">
        <v>813</v>
      </c>
      <c r="K11" t="s">
        <v>799</v>
      </c>
      <c r="L11" t="s">
        <v>800</v>
      </c>
      <c r="M11" s="5">
        <v>45911</v>
      </c>
      <c r="N11" s="5">
        <v>45912</v>
      </c>
      <c r="O11">
        <v>10</v>
      </c>
      <c r="P11">
        <v>16.510000000000002</v>
      </c>
      <c r="Q11">
        <v>23.94</v>
      </c>
      <c r="R11">
        <v>0.15</v>
      </c>
      <c r="S11">
        <v>203.49</v>
      </c>
      <c r="T11" t="s">
        <v>834</v>
      </c>
      <c r="U11">
        <v>165.1</v>
      </c>
      <c r="V11">
        <v>38.39</v>
      </c>
    </row>
    <row r="12" spans="1:22" x14ac:dyDescent="0.35">
      <c r="A12" t="s">
        <v>835</v>
      </c>
      <c r="B12" t="s">
        <v>836</v>
      </c>
      <c r="C12" t="s">
        <v>359</v>
      </c>
      <c r="D12" t="s">
        <v>360</v>
      </c>
      <c r="E12" t="s">
        <v>681</v>
      </c>
      <c r="F12" t="s">
        <v>235</v>
      </c>
      <c r="G12" t="s">
        <v>20</v>
      </c>
      <c r="H12" t="s">
        <v>8</v>
      </c>
      <c r="I12" t="s">
        <v>95</v>
      </c>
      <c r="J12" t="s">
        <v>813</v>
      </c>
      <c r="K12" t="s">
        <v>799</v>
      </c>
      <c r="L12" t="s">
        <v>800</v>
      </c>
      <c r="M12" s="5">
        <v>45650</v>
      </c>
      <c r="N12" s="5">
        <v>45652</v>
      </c>
      <c r="O12">
        <v>3</v>
      </c>
      <c r="P12">
        <v>23.02</v>
      </c>
      <c r="Q12">
        <v>28.77</v>
      </c>
      <c r="R12">
        <v>0.05</v>
      </c>
      <c r="S12">
        <v>81.99</v>
      </c>
      <c r="T12" t="s">
        <v>839</v>
      </c>
      <c r="U12">
        <v>69.06</v>
      </c>
      <c r="V12">
        <v>12.93</v>
      </c>
    </row>
    <row r="13" spans="1:22" x14ac:dyDescent="0.35">
      <c r="A13" t="s">
        <v>840</v>
      </c>
      <c r="B13" t="s">
        <v>841</v>
      </c>
      <c r="C13" t="s">
        <v>585</v>
      </c>
      <c r="D13" t="s">
        <v>586</v>
      </c>
      <c r="E13" t="s">
        <v>254</v>
      </c>
      <c r="F13" t="s">
        <v>235</v>
      </c>
      <c r="G13" t="s">
        <v>797</v>
      </c>
      <c r="H13" t="s">
        <v>48</v>
      </c>
      <c r="I13" t="s">
        <v>61</v>
      </c>
      <c r="J13" t="s">
        <v>786</v>
      </c>
      <c r="K13" t="s">
        <v>799</v>
      </c>
      <c r="L13" t="s">
        <v>842</v>
      </c>
      <c r="M13" s="5">
        <v>45520</v>
      </c>
      <c r="N13" s="5">
        <v>45513</v>
      </c>
      <c r="O13">
        <v>5</v>
      </c>
      <c r="P13">
        <v>26.08</v>
      </c>
      <c r="Q13">
        <v>35.21</v>
      </c>
      <c r="R13">
        <v>0.05</v>
      </c>
      <c r="S13">
        <v>167.25</v>
      </c>
      <c r="T13" t="s">
        <v>845</v>
      </c>
      <c r="U13">
        <v>130.4</v>
      </c>
      <c r="V13">
        <v>36.85</v>
      </c>
    </row>
    <row r="14" spans="1:22" x14ac:dyDescent="0.35">
      <c r="A14" t="s">
        <v>846</v>
      </c>
      <c r="B14" t="s">
        <v>847</v>
      </c>
      <c r="C14" t="s">
        <v>507</v>
      </c>
      <c r="D14" t="s">
        <v>508</v>
      </c>
      <c r="E14" t="s">
        <v>696</v>
      </c>
      <c r="F14" t="s">
        <v>243</v>
      </c>
      <c r="G14" t="s">
        <v>797</v>
      </c>
      <c r="H14" t="s">
        <v>20</v>
      </c>
      <c r="I14" t="s">
        <v>97</v>
      </c>
      <c r="J14" t="s">
        <v>798</v>
      </c>
      <c r="K14" t="s">
        <v>799</v>
      </c>
      <c r="L14" t="s">
        <v>788</v>
      </c>
      <c r="M14" s="5">
        <v>45469</v>
      </c>
      <c r="N14" s="5">
        <v>45464</v>
      </c>
      <c r="O14">
        <v>1</v>
      </c>
      <c r="P14">
        <v>20.79</v>
      </c>
      <c r="Q14">
        <v>28.07</v>
      </c>
      <c r="R14">
        <v>0</v>
      </c>
      <c r="S14">
        <v>28.07</v>
      </c>
      <c r="T14" t="s">
        <v>845</v>
      </c>
      <c r="U14">
        <v>20.79</v>
      </c>
      <c r="V14">
        <v>7.28</v>
      </c>
    </row>
    <row r="15" spans="1:22" x14ac:dyDescent="0.35">
      <c r="A15" t="s">
        <v>849</v>
      </c>
      <c r="B15" t="s">
        <v>850</v>
      </c>
      <c r="C15" t="s">
        <v>257</v>
      </c>
      <c r="D15" t="s">
        <v>258</v>
      </c>
      <c r="E15" t="s">
        <v>633</v>
      </c>
      <c r="F15" t="s">
        <v>235</v>
      </c>
      <c r="G15" t="s">
        <v>797</v>
      </c>
      <c r="H15" t="s">
        <v>38</v>
      </c>
      <c r="I15" t="s">
        <v>82</v>
      </c>
      <c r="J15" t="s">
        <v>813</v>
      </c>
      <c r="K15" t="s">
        <v>793</v>
      </c>
      <c r="L15" t="s">
        <v>818</v>
      </c>
      <c r="M15" s="5">
        <v>45329</v>
      </c>
      <c r="O15">
        <v>1</v>
      </c>
      <c r="P15">
        <v>12.54</v>
      </c>
      <c r="Q15">
        <v>16.93</v>
      </c>
      <c r="R15">
        <v>0</v>
      </c>
      <c r="S15">
        <v>16.93</v>
      </c>
      <c r="T15" t="s">
        <v>834</v>
      </c>
      <c r="U15">
        <v>12.54</v>
      </c>
      <c r="V15">
        <v>4.3899999999999997</v>
      </c>
    </row>
    <row r="16" spans="1:22" x14ac:dyDescent="0.35">
      <c r="A16" t="s">
        <v>852</v>
      </c>
      <c r="B16" t="s">
        <v>853</v>
      </c>
      <c r="C16" t="s">
        <v>440</v>
      </c>
      <c r="D16" t="s">
        <v>441</v>
      </c>
      <c r="E16" t="s">
        <v>627</v>
      </c>
      <c r="F16" t="s">
        <v>264</v>
      </c>
      <c r="G16" t="s">
        <v>48</v>
      </c>
      <c r="H16" t="s">
        <v>14</v>
      </c>
      <c r="I16" t="s">
        <v>30</v>
      </c>
      <c r="J16" t="s">
        <v>786</v>
      </c>
      <c r="K16" t="s">
        <v>799</v>
      </c>
      <c r="L16" t="s">
        <v>818</v>
      </c>
      <c r="M16" s="5">
        <v>45866</v>
      </c>
      <c r="N16" s="5">
        <v>45862</v>
      </c>
      <c r="O16">
        <v>3</v>
      </c>
      <c r="P16">
        <v>19.010000000000002</v>
      </c>
      <c r="Q16">
        <v>27.56</v>
      </c>
      <c r="R16">
        <v>0.15</v>
      </c>
      <c r="S16">
        <v>70.28</v>
      </c>
      <c r="T16" t="s">
        <v>810</v>
      </c>
      <c r="U16">
        <v>57.03</v>
      </c>
      <c r="V16">
        <v>13.25</v>
      </c>
    </row>
    <row r="17" spans="1:22" x14ac:dyDescent="0.35">
      <c r="A17" t="s">
        <v>856</v>
      </c>
      <c r="B17" t="s">
        <v>857</v>
      </c>
      <c r="C17" t="s">
        <v>283</v>
      </c>
      <c r="D17" t="s">
        <v>284</v>
      </c>
      <c r="E17" t="s">
        <v>254</v>
      </c>
      <c r="F17" t="s">
        <v>264</v>
      </c>
      <c r="G17" t="s">
        <v>797</v>
      </c>
      <c r="H17" t="s">
        <v>38</v>
      </c>
      <c r="I17" t="s">
        <v>69</v>
      </c>
      <c r="J17" t="s">
        <v>786</v>
      </c>
      <c r="K17" t="s">
        <v>793</v>
      </c>
      <c r="L17" t="s">
        <v>800</v>
      </c>
      <c r="M17" s="5">
        <v>45750</v>
      </c>
      <c r="O17">
        <v>10</v>
      </c>
      <c r="P17">
        <v>20.9</v>
      </c>
      <c r="Q17">
        <v>28.21</v>
      </c>
      <c r="R17">
        <v>0.15</v>
      </c>
      <c r="S17">
        <v>239.79</v>
      </c>
      <c r="T17" t="s">
        <v>859</v>
      </c>
      <c r="U17">
        <v>209</v>
      </c>
      <c r="V17">
        <v>30.79</v>
      </c>
    </row>
    <row r="18" spans="1:22" x14ac:dyDescent="0.35">
      <c r="A18" t="s">
        <v>860</v>
      </c>
      <c r="B18" t="s">
        <v>861</v>
      </c>
      <c r="C18" t="s">
        <v>320</v>
      </c>
      <c r="D18" t="s">
        <v>321</v>
      </c>
      <c r="E18" t="s">
        <v>254</v>
      </c>
      <c r="F18" t="s">
        <v>235</v>
      </c>
      <c r="G18" t="s">
        <v>797</v>
      </c>
      <c r="H18" t="s">
        <v>8</v>
      </c>
      <c r="I18" t="s">
        <v>73</v>
      </c>
      <c r="J18" t="s">
        <v>798</v>
      </c>
      <c r="K18" t="s">
        <v>799</v>
      </c>
      <c r="L18" t="s">
        <v>842</v>
      </c>
      <c r="M18" s="5">
        <v>45603</v>
      </c>
      <c r="N18" s="5">
        <v>45603</v>
      </c>
      <c r="O18">
        <v>1</v>
      </c>
      <c r="P18">
        <v>67.95</v>
      </c>
      <c r="Q18">
        <v>88.34</v>
      </c>
      <c r="R18">
        <v>0</v>
      </c>
      <c r="S18">
        <v>88.34</v>
      </c>
      <c r="T18" t="s">
        <v>839</v>
      </c>
      <c r="U18">
        <v>67.95</v>
      </c>
      <c r="V18">
        <v>20.39</v>
      </c>
    </row>
    <row r="19" spans="1:22" x14ac:dyDescent="0.35">
      <c r="A19" t="s">
        <v>863</v>
      </c>
      <c r="B19" t="s">
        <v>864</v>
      </c>
      <c r="C19" t="s">
        <v>574</v>
      </c>
      <c r="D19" t="s">
        <v>458</v>
      </c>
      <c r="E19" t="s">
        <v>681</v>
      </c>
      <c r="G19" t="s">
        <v>14</v>
      </c>
      <c r="H19" t="s">
        <v>43</v>
      </c>
      <c r="I19" t="s">
        <v>146</v>
      </c>
      <c r="J19" t="s">
        <v>813</v>
      </c>
      <c r="K19" t="s">
        <v>787</v>
      </c>
      <c r="L19" t="s">
        <v>788</v>
      </c>
      <c r="M19" s="5">
        <v>45384</v>
      </c>
      <c r="O19">
        <v>3</v>
      </c>
      <c r="P19">
        <v>24.05</v>
      </c>
      <c r="Q19">
        <v>31.27</v>
      </c>
      <c r="R19">
        <v>0.15</v>
      </c>
      <c r="S19">
        <v>79.739999999999995</v>
      </c>
      <c r="T19" t="s">
        <v>859</v>
      </c>
      <c r="U19">
        <v>72.150000000000006</v>
      </c>
      <c r="V19">
        <v>7.59</v>
      </c>
    </row>
    <row r="20" spans="1:22" x14ac:dyDescent="0.35">
      <c r="A20" t="s">
        <v>866</v>
      </c>
      <c r="B20" t="s">
        <v>867</v>
      </c>
      <c r="C20" t="s">
        <v>331</v>
      </c>
      <c r="D20" t="s">
        <v>332</v>
      </c>
      <c r="E20" t="s">
        <v>633</v>
      </c>
      <c r="F20" t="s">
        <v>264</v>
      </c>
      <c r="G20" t="s">
        <v>20</v>
      </c>
      <c r="H20" t="s">
        <v>43</v>
      </c>
      <c r="I20" t="s">
        <v>113</v>
      </c>
      <c r="J20" t="s">
        <v>798</v>
      </c>
      <c r="K20" t="s">
        <v>822</v>
      </c>
      <c r="L20" t="s">
        <v>800</v>
      </c>
      <c r="M20" s="5">
        <v>45382</v>
      </c>
      <c r="N20" s="5">
        <v>45384</v>
      </c>
      <c r="O20">
        <v>3</v>
      </c>
      <c r="P20">
        <v>16.91</v>
      </c>
      <c r="Q20">
        <v>21.14</v>
      </c>
      <c r="R20">
        <v>0</v>
      </c>
      <c r="S20">
        <v>63.42</v>
      </c>
      <c r="T20" t="s">
        <v>869</v>
      </c>
      <c r="U20">
        <v>50.73</v>
      </c>
      <c r="V20">
        <v>12.69</v>
      </c>
    </row>
    <row r="21" spans="1:22" x14ac:dyDescent="0.35">
      <c r="A21" t="s">
        <v>870</v>
      </c>
      <c r="B21" t="s">
        <v>871</v>
      </c>
      <c r="C21" t="s">
        <v>453</v>
      </c>
      <c r="D21" t="s">
        <v>454</v>
      </c>
      <c r="E21" t="s">
        <v>696</v>
      </c>
      <c r="F21" t="s">
        <v>235</v>
      </c>
      <c r="G21" t="s">
        <v>797</v>
      </c>
      <c r="H21" t="s">
        <v>8</v>
      </c>
      <c r="I21" t="s">
        <v>21</v>
      </c>
      <c r="J21" t="s">
        <v>798</v>
      </c>
      <c r="K21" t="s">
        <v>793</v>
      </c>
      <c r="L21" t="s">
        <v>818</v>
      </c>
      <c r="M21" s="5">
        <v>45695</v>
      </c>
      <c r="O21">
        <v>2</v>
      </c>
      <c r="P21">
        <v>21.57</v>
      </c>
      <c r="Q21">
        <v>26.96</v>
      </c>
      <c r="R21">
        <v>0</v>
      </c>
      <c r="S21">
        <v>53.92</v>
      </c>
      <c r="T21" t="s">
        <v>794</v>
      </c>
      <c r="U21">
        <v>43.14</v>
      </c>
      <c r="V21">
        <v>10.78</v>
      </c>
    </row>
    <row r="22" spans="1:22" x14ac:dyDescent="0.35">
      <c r="A22" t="s">
        <v>873</v>
      </c>
      <c r="B22" t="s">
        <v>874</v>
      </c>
      <c r="C22" t="s">
        <v>291</v>
      </c>
      <c r="D22" t="s">
        <v>292</v>
      </c>
      <c r="E22" t="s">
        <v>674</v>
      </c>
      <c r="F22" t="s">
        <v>243</v>
      </c>
      <c r="G22" t="s">
        <v>20</v>
      </c>
      <c r="H22" t="s">
        <v>14</v>
      </c>
      <c r="I22" t="s">
        <v>25</v>
      </c>
      <c r="J22" t="s">
        <v>798</v>
      </c>
      <c r="K22" t="s">
        <v>787</v>
      </c>
      <c r="L22" t="s">
        <v>800</v>
      </c>
      <c r="M22" s="5">
        <v>45574</v>
      </c>
      <c r="O22">
        <v>3</v>
      </c>
      <c r="P22">
        <v>18.95</v>
      </c>
      <c r="Q22">
        <v>25.58</v>
      </c>
      <c r="R22">
        <v>0.1</v>
      </c>
      <c r="S22">
        <v>69.069999999999993</v>
      </c>
      <c r="T22" t="s">
        <v>876</v>
      </c>
      <c r="U22">
        <v>56.85</v>
      </c>
      <c r="V22">
        <v>12.22</v>
      </c>
    </row>
    <row r="23" spans="1:22" x14ac:dyDescent="0.35">
      <c r="A23" t="s">
        <v>877</v>
      </c>
      <c r="B23" t="s">
        <v>878</v>
      </c>
      <c r="C23" t="s">
        <v>532</v>
      </c>
      <c r="D23" t="s">
        <v>533</v>
      </c>
      <c r="E23" t="s">
        <v>254</v>
      </c>
      <c r="F23" t="s">
        <v>235</v>
      </c>
      <c r="G23" t="s">
        <v>20</v>
      </c>
      <c r="H23" t="s">
        <v>14</v>
      </c>
      <c r="I23" t="s">
        <v>56</v>
      </c>
      <c r="J23" t="s">
        <v>786</v>
      </c>
      <c r="K23" t="s">
        <v>793</v>
      </c>
      <c r="L23" t="s">
        <v>818</v>
      </c>
      <c r="M23" s="5">
        <v>45909</v>
      </c>
      <c r="O23">
        <v>10</v>
      </c>
      <c r="P23">
        <v>25.46</v>
      </c>
      <c r="Q23">
        <v>31.83</v>
      </c>
      <c r="R23">
        <v>0.1</v>
      </c>
      <c r="S23">
        <v>286.47000000000003</v>
      </c>
      <c r="T23" t="s">
        <v>794</v>
      </c>
      <c r="U23">
        <v>254.6</v>
      </c>
      <c r="V23">
        <v>31.87</v>
      </c>
    </row>
    <row r="24" spans="1:22" x14ac:dyDescent="0.35">
      <c r="A24" t="s">
        <v>880</v>
      </c>
      <c r="B24" t="s">
        <v>881</v>
      </c>
      <c r="C24" t="s">
        <v>310</v>
      </c>
      <c r="D24" t="s">
        <v>311</v>
      </c>
      <c r="E24" t="s">
        <v>696</v>
      </c>
      <c r="F24" t="s">
        <v>264</v>
      </c>
      <c r="G24" t="s">
        <v>48</v>
      </c>
      <c r="H24" t="s">
        <v>14</v>
      </c>
      <c r="I24" t="s">
        <v>24</v>
      </c>
      <c r="J24" t="s">
        <v>798</v>
      </c>
      <c r="K24" t="s">
        <v>799</v>
      </c>
      <c r="L24" t="s">
        <v>788</v>
      </c>
      <c r="M24" s="5">
        <v>45786</v>
      </c>
      <c r="N24" s="5">
        <v>45782</v>
      </c>
      <c r="O24">
        <v>2</v>
      </c>
      <c r="P24">
        <v>37.42</v>
      </c>
      <c r="Q24">
        <v>50.52</v>
      </c>
      <c r="R24">
        <v>0</v>
      </c>
      <c r="S24">
        <v>101.04</v>
      </c>
      <c r="T24" t="s">
        <v>845</v>
      </c>
      <c r="U24">
        <v>74.84</v>
      </c>
      <c r="V24">
        <v>26.2</v>
      </c>
    </row>
    <row r="25" spans="1:22" x14ac:dyDescent="0.35">
      <c r="A25" t="s">
        <v>884</v>
      </c>
      <c r="B25" t="s">
        <v>885</v>
      </c>
      <c r="C25" t="s">
        <v>372</v>
      </c>
      <c r="D25" t="s">
        <v>373</v>
      </c>
      <c r="E25" t="s">
        <v>674</v>
      </c>
      <c r="F25" t="s">
        <v>235</v>
      </c>
      <c r="G25" t="s">
        <v>797</v>
      </c>
      <c r="H25" t="s">
        <v>8</v>
      </c>
      <c r="I25" t="s">
        <v>174</v>
      </c>
      <c r="J25" t="s">
        <v>813</v>
      </c>
      <c r="K25" t="s">
        <v>799</v>
      </c>
      <c r="L25" t="s">
        <v>788</v>
      </c>
      <c r="M25" s="5">
        <v>45466</v>
      </c>
      <c r="N25" s="5">
        <v>45473</v>
      </c>
      <c r="O25">
        <v>10</v>
      </c>
      <c r="P25">
        <v>32.53</v>
      </c>
      <c r="Q25">
        <v>43.92</v>
      </c>
      <c r="R25">
        <v>0.15</v>
      </c>
      <c r="S25">
        <v>373.32</v>
      </c>
      <c r="T25" t="s">
        <v>888</v>
      </c>
      <c r="U25">
        <v>325.3</v>
      </c>
      <c r="V25">
        <v>48.02</v>
      </c>
    </row>
    <row r="26" spans="1:22" x14ac:dyDescent="0.35">
      <c r="A26" t="s">
        <v>889</v>
      </c>
      <c r="B26" t="s">
        <v>890</v>
      </c>
      <c r="C26" t="s">
        <v>597</v>
      </c>
      <c r="D26" t="s">
        <v>598</v>
      </c>
      <c r="E26" t="s">
        <v>637</v>
      </c>
      <c r="F26" t="s">
        <v>235</v>
      </c>
      <c r="G26" t="s">
        <v>797</v>
      </c>
      <c r="H26" t="s">
        <v>48</v>
      </c>
      <c r="I26" t="s">
        <v>84</v>
      </c>
      <c r="J26" t="s">
        <v>798</v>
      </c>
      <c r="K26" t="s">
        <v>793</v>
      </c>
      <c r="L26" t="s">
        <v>800</v>
      </c>
      <c r="M26" s="5">
        <v>45563</v>
      </c>
      <c r="O26">
        <v>5</v>
      </c>
      <c r="P26">
        <v>27.52</v>
      </c>
      <c r="Q26">
        <v>34.4</v>
      </c>
      <c r="R26">
        <v>0</v>
      </c>
      <c r="S26">
        <v>172</v>
      </c>
      <c r="T26" t="s">
        <v>892</v>
      </c>
      <c r="U26">
        <v>137.6</v>
      </c>
      <c r="V26">
        <v>34.4</v>
      </c>
    </row>
    <row r="27" spans="1:22" x14ac:dyDescent="0.35">
      <c r="A27" t="s">
        <v>893</v>
      </c>
      <c r="B27" t="s">
        <v>894</v>
      </c>
      <c r="C27" t="s">
        <v>588</v>
      </c>
      <c r="D27" t="s">
        <v>435</v>
      </c>
      <c r="E27" t="s">
        <v>627</v>
      </c>
      <c r="F27" t="s">
        <v>264</v>
      </c>
      <c r="G27" t="s">
        <v>14</v>
      </c>
      <c r="H27" t="s">
        <v>79</v>
      </c>
      <c r="I27" t="s">
        <v>77</v>
      </c>
      <c r="J27" t="s">
        <v>786</v>
      </c>
      <c r="K27" t="s">
        <v>787</v>
      </c>
      <c r="L27" t="s">
        <v>788</v>
      </c>
      <c r="M27" s="5">
        <v>45775</v>
      </c>
      <c r="O27">
        <v>1</v>
      </c>
      <c r="P27">
        <v>13.71</v>
      </c>
      <c r="Q27">
        <v>17.82</v>
      </c>
      <c r="R27">
        <v>0</v>
      </c>
      <c r="S27">
        <v>17.82</v>
      </c>
      <c r="T27" t="s">
        <v>803</v>
      </c>
      <c r="U27">
        <v>13.71</v>
      </c>
      <c r="V27">
        <v>4.1100000000000003</v>
      </c>
    </row>
    <row r="28" spans="1:22" x14ac:dyDescent="0.35">
      <c r="A28" t="s">
        <v>896</v>
      </c>
      <c r="B28" t="s">
        <v>897</v>
      </c>
      <c r="C28" t="s">
        <v>609</v>
      </c>
      <c r="D28" t="s">
        <v>610</v>
      </c>
      <c r="E28" t="s">
        <v>254</v>
      </c>
      <c r="G28" t="s">
        <v>48</v>
      </c>
      <c r="H28" t="s">
        <v>29</v>
      </c>
      <c r="I28" t="s">
        <v>121</v>
      </c>
      <c r="J28" t="s">
        <v>798</v>
      </c>
      <c r="K28" t="s">
        <v>787</v>
      </c>
      <c r="L28" t="s">
        <v>800</v>
      </c>
      <c r="M28" s="5">
        <v>45901</v>
      </c>
      <c r="O28">
        <v>3</v>
      </c>
      <c r="P28">
        <v>15.46</v>
      </c>
      <c r="Q28">
        <v>22.42</v>
      </c>
      <c r="R28">
        <v>0.1</v>
      </c>
      <c r="S28">
        <v>60.53</v>
      </c>
      <c r="T28" t="s">
        <v>814</v>
      </c>
      <c r="U28">
        <v>46.38</v>
      </c>
      <c r="V28">
        <v>14.15</v>
      </c>
    </row>
    <row r="29" spans="1:22" x14ac:dyDescent="0.35">
      <c r="A29" t="s">
        <v>898</v>
      </c>
      <c r="B29" t="s">
        <v>899</v>
      </c>
      <c r="C29" t="s">
        <v>462</v>
      </c>
      <c r="D29" t="s">
        <v>396</v>
      </c>
      <c r="E29" t="s">
        <v>681</v>
      </c>
      <c r="F29" t="s">
        <v>264</v>
      </c>
      <c r="G29" t="s">
        <v>14</v>
      </c>
      <c r="H29" t="s">
        <v>48</v>
      </c>
      <c r="I29" t="s">
        <v>217</v>
      </c>
      <c r="J29" t="s">
        <v>798</v>
      </c>
      <c r="K29" t="s">
        <v>787</v>
      </c>
      <c r="L29" t="s">
        <v>800</v>
      </c>
      <c r="M29" s="5">
        <v>45719</v>
      </c>
      <c r="O29">
        <v>5</v>
      </c>
      <c r="P29">
        <v>24.07</v>
      </c>
      <c r="Q29">
        <v>34.9</v>
      </c>
      <c r="R29">
        <v>0.05</v>
      </c>
      <c r="S29">
        <v>165.78</v>
      </c>
      <c r="T29" t="s">
        <v>888</v>
      </c>
      <c r="U29">
        <v>120.35</v>
      </c>
      <c r="V29">
        <v>45.43</v>
      </c>
    </row>
    <row r="30" spans="1:22" x14ac:dyDescent="0.35">
      <c r="A30" t="s">
        <v>901</v>
      </c>
      <c r="B30" t="s">
        <v>902</v>
      </c>
      <c r="C30" t="s">
        <v>580</v>
      </c>
      <c r="D30" t="s">
        <v>581</v>
      </c>
      <c r="E30" t="s">
        <v>681</v>
      </c>
      <c r="F30" t="s">
        <v>235</v>
      </c>
      <c r="G30" t="s">
        <v>797</v>
      </c>
      <c r="H30" t="s">
        <v>20</v>
      </c>
      <c r="I30" t="s">
        <v>159</v>
      </c>
      <c r="J30" t="s">
        <v>798</v>
      </c>
      <c r="K30" t="s">
        <v>799</v>
      </c>
      <c r="L30" t="s">
        <v>788</v>
      </c>
      <c r="M30" s="5">
        <v>45932</v>
      </c>
      <c r="N30" s="5">
        <v>45930</v>
      </c>
      <c r="O30">
        <v>10</v>
      </c>
      <c r="P30">
        <v>8.2200000000000006</v>
      </c>
      <c r="Q30">
        <v>11.1</v>
      </c>
      <c r="R30">
        <v>0</v>
      </c>
      <c r="S30">
        <v>111</v>
      </c>
      <c r="T30" t="s">
        <v>819</v>
      </c>
      <c r="U30">
        <v>82.2</v>
      </c>
      <c r="V30">
        <v>28.8</v>
      </c>
    </row>
    <row r="31" spans="1:22" x14ac:dyDescent="0.35">
      <c r="A31" t="s">
        <v>905</v>
      </c>
      <c r="B31" t="s">
        <v>906</v>
      </c>
      <c r="C31" t="s">
        <v>440</v>
      </c>
      <c r="D31" t="s">
        <v>441</v>
      </c>
      <c r="E31" t="s">
        <v>637</v>
      </c>
      <c r="F31" t="s">
        <v>264</v>
      </c>
      <c r="G31" t="s">
        <v>20</v>
      </c>
      <c r="H31" t="s">
        <v>8</v>
      </c>
      <c r="I31" t="s">
        <v>91</v>
      </c>
      <c r="J31" t="s">
        <v>798</v>
      </c>
      <c r="K31" t="s">
        <v>799</v>
      </c>
      <c r="L31" t="s">
        <v>842</v>
      </c>
      <c r="M31" s="5">
        <v>45680</v>
      </c>
      <c r="N31" s="5">
        <v>45678</v>
      </c>
      <c r="O31">
        <v>20</v>
      </c>
      <c r="P31">
        <v>36.82</v>
      </c>
      <c r="Q31">
        <v>47.87</v>
      </c>
      <c r="R31">
        <v>0</v>
      </c>
      <c r="S31">
        <v>957.4</v>
      </c>
      <c r="T31" t="s">
        <v>888</v>
      </c>
      <c r="U31">
        <v>736.4</v>
      </c>
      <c r="V31">
        <v>221</v>
      </c>
    </row>
    <row r="32" spans="1:22" x14ac:dyDescent="0.35">
      <c r="A32" t="s">
        <v>908</v>
      </c>
      <c r="B32" t="s">
        <v>909</v>
      </c>
      <c r="C32" t="s">
        <v>614</v>
      </c>
      <c r="D32" t="s">
        <v>615</v>
      </c>
      <c r="E32" t="s">
        <v>637</v>
      </c>
      <c r="F32" t="s">
        <v>235</v>
      </c>
      <c r="G32" t="s">
        <v>797</v>
      </c>
      <c r="H32" t="s">
        <v>79</v>
      </c>
      <c r="I32" t="s">
        <v>124</v>
      </c>
      <c r="J32" t="s">
        <v>798</v>
      </c>
      <c r="K32" t="s">
        <v>799</v>
      </c>
      <c r="L32" t="s">
        <v>842</v>
      </c>
      <c r="M32" s="5">
        <v>46060</v>
      </c>
      <c r="N32" s="5">
        <v>46057</v>
      </c>
      <c r="O32">
        <v>3</v>
      </c>
      <c r="P32">
        <v>29.44</v>
      </c>
      <c r="Q32">
        <v>41.22</v>
      </c>
      <c r="R32">
        <v>0</v>
      </c>
      <c r="S32">
        <v>123.66</v>
      </c>
      <c r="T32" t="s">
        <v>845</v>
      </c>
      <c r="U32">
        <v>88.32</v>
      </c>
      <c r="V32">
        <v>35.340000000000003</v>
      </c>
    </row>
    <row r="33" spans="1:22" x14ac:dyDescent="0.35">
      <c r="A33" t="s">
        <v>910</v>
      </c>
      <c r="B33" t="s">
        <v>911</v>
      </c>
      <c r="C33" t="s">
        <v>609</v>
      </c>
      <c r="D33" t="s">
        <v>610</v>
      </c>
      <c r="E33" t="s">
        <v>627</v>
      </c>
      <c r="G33" t="s">
        <v>20</v>
      </c>
      <c r="H33" t="s">
        <v>20</v>
      </c>
      <c r="I33" t="s">
        <v>188</v>
      </c>
      <c r="J33" t="s">
        <v>786</v>
      </c>
      <c r="K33" t="s">
        <v>799</v>
      </c>
      <c r="L33" t="s">
        <v>788</v>
      </c>
      <c r="M33" s="5">
        <v>45722</v>
      </c>
      <c r="N33" s="5">
        <v>45717</v>
      </c>
      <c r="O33">
        <v>2</v>
      </c>
      <c r="P33">
        <v>24.6</v>
      </c>
      <c r="Q33">
        <v>35.67</v>
      </c>
      <c r="R33">
        <v>0</v>
      </c>
      <c r="S33">
        <v>71.34</v>
      </c>
      <c r="T33" t="s">
        <v>859</v>
      </c>
      <c r="U33">
        <v>49.2</v>
      </c>
      <c r="V33">
        <v>22.14</v>
      </c>
    </row>
    <row r="34" spans="1:22" x14ac:dyDescent="0.35">
      <c r="A34" t="s">
        <v>914</v>
      </c>
      <c r="B34" t="s">
        <v>915</v>
      </c>
      <c r="C34" t="s">
        <v>616</v>
      </c>
      <c r="D34" t="s">
        <v>231</v>
      </c>
      <c r="E34" t="s">
        <v>637</v>
      </c>
      <c r="F34" t="s">
        <v>264</v>
      </c>
      <c r="G34" t="s">
        <v>14</v>
      </c>
      <c r="H34" t="s">
        <v>29</v>
      </c>
      <c r="I34" t="s">
        <v>123</v>
      </c>
      <c r="J34" t="s">
        <v>798</v>
      </c>
      <c r="K34" t="s">
        <v>787</v>
      </c>
      <c r="L34" t="s">
        <v>788</v>
      </c>
      <c r="M34" s="5">
        <v>45712</v>
      </c>
      <c r="O34">
        <v>12</v>
      </c>
      <c r="P34">
        <v>20.7</v>
      </c>
      <c r="Q34">
        <v>30.01</v>
      </c>
      <c r="R34">
        <v>0</v>
      </c>
      <c r="S34">
        <v>360.12</v>
      </c>
      <c r="T34" t="s">
        <v>794</v>
      </c>
      <c r="U34">
        <v>248.4</v>
      </c>
      <c r="V34">
        <v>111.72</v>
      </c>
    </row>
    <row r="35" spans="1:22" x14ac:dyDescent="0.35">
      <c r="A35" t="s">
        <v>916</v>
      </c>
      <c r="B35" t="s">
        <v>917</v>
      </c>
      <c r="C35" t="s">
        <v>281</v>
      </c>
      <c r="D35" t="s">
        <v>282</v>
      </c>
      <c r="E35" t="s">
        <v>633</v>
      </c>
      <c r="F35" t="s">
        <v>243</v>
      </c>
      <c r="G35" t="s">
        <v>20</v>
      </c>
      <c r="H35" t="s">
        <v>48</v>
      </c>
      <c r="I35" t="s">
        <v>202</v>
      </c>
      <c r="J35" t="s">
        <v>798</v>
      </c>
      <c r="K35" t="s">
        <v>799</v>
      </c>
      <c r="L35" t="s">
        <v>818</v>
      </c>
      <c r="M35" s="5">
        <v>45332</v>
      </c>
      <c r="N35" s="5">
        <v>45326</v>
      </c>
      <c r="O35">
        <v>1</v>
      </c>
      <c r="P35">
        <v>27</v>
      </c>
      <c r="Q35">
        <v>39.15</v>
      </c>
      <c r="R35">
        <v>0.15</v>
      </c>
      <c r="S35">
        <v>33.28</v>
      </c>
      <c r="T35" t="s">
        <v>919</v>
      </c>
      <c r="U35">
        <v>27</v>
      </c>
      <c r="V35">
        <v>6.28</v>
      </c>
    </row>
    <row r="36" spans="1:22" x14ac:dyDescent="0.35">
      <c r="A36" t="s">
        <v>920</v>
      </c>
      <c r="B36" t="s">
        <v>921</v>
      </c>
      <c r="C36" t="s">
        <v>506</v>
      </c>
      <c r="D36" t="s">
        <v>287</v>
      </c>
      <c r="E36" t="s">
        <v>627</v>
      </c>
      <c r="F36" t="s">
        <v>243</v>
      </c>
      <c r="G36" t="s">
        <v>797</v>
      </c>
      <c r="H36" t="s">
        <v>43</v>
      </c>
      <c r="I36" t="s">
        <v>53</v>
      </c>
      <c r="J36" t="s">
        <v>786</v>
      </c>
      <c r="K36" t="s">
        <v>799</v>
      </c>
      <c r="L36" t="s">
        <v>800</v>
      </c>
      <c r="M36" s="5">
        <v>45553</v>
      </c>
      <c r="N36" s="5">
        <v>45544</v>
      </c>
      <c r="O36">
        <v>5</v>
      </c>
      <c r="P36">
        <v>54.93</v>
      </c>
      <c r="Q36">
        <v>79.650000000000006</v>
      </c>
      <c r="R36">
        <v>0</v>
      </c>
      <c r="S36">
        <v>398.25</v>
      </c>
      <c r="T36" t="s">
        <v>810</v>
      </c>
      <c r="U36">
        <v>274.64999999999998</v>
      </c>
      <c r="V36">
        <v>123.6</v>
      </c>
    </row>
    <row r="37" spans="1:22" x14ac:dyDescent="0.35">
      <c r="A37" t="s">
        <v>924</v>
      </c>
      <c r="B37" t="s">
        <v>925</v>
      </c>
      <c r="C37" t="s">
        <v>416</v>
      </c>
      <c r="D37" t="s">
        <v>417</v>
      </c>
      <c r="E37" t="s">
        <v>254</v>
      </c>
      <c r="F37" t="s">
        <v>264</v>
      </c>
      <c r="G37" t="s">
        <v>797</v>
      </c>
      <c r="H37" t="s">
        <v>8</v>
      </c>
      <c r="I37" t="s">
        <v>129</v>
      </c>
      <c r="J37" t="s">
        <v>813</v>
      </c>
      <c r="K37" t="s">
        <v>799</v>
      </c>
      <c r="L37" t="s">
        <v>788</v>
      </c>
      <c r="M37" s="5">
        <v>46000</v>
      </c>
      <c r="N37" s="5">
        <v>46001</v>
      </c>
      <c r="O37">
        <v>5</v>
      </c>
      <c r="P37">
        <v>22.15</v>
      </c>
      <c r="Q37">
        <v>31.01</v>
      </c>
      <c r="R37">
        <v>0</v>
      </c>
      <c r="S37">
        <v>155.05000000000001</v>
      </c>
      <c r="T37" t="s">
        <v>869</v>
      </c>
      <c r="U37">
        <v>110.75</v>
      </c>
      <c r="V37">
        <v>44.3</v>
      </c>
    </row>
    <row r="38" spans="1:22" x14ac:dyDescent="0.35">
      <c r="A38" t="s">
        <v>928</v>
      </c>
      <c r="B38" t="s">
        <v>929</v>
      </c>
      <c r="C38" t="s">
        <v>407</v>
      </c>
      <c r="D38" t="s">
        <v>408</v>
      </c>
      <c r="E38" t="s">
        <v>681</v>
      </c>
      <c r="F38" t="s">
        <v>235</v>
      </c>
      <c r="G38" t="s">
        <v>797</v>
      </c>
      <c r="H38" t="s">
        <v>48</v>
      </c>
      <c r="I38" t="s">
        <v>135</v>
      </c>
      <c r="J38" t="s">
        <v>813</v>
      </c>
      <c r="K38" t="s">
        <v>799</v>
      </c>
      <c r="L38" t="s">
        <v>842</v>
      </c>
      <c r="M38" s="5">
        <v>45988</v>
      </c>
      <c r="N38" s="5">
        <v>45988</v>
      </c>
      <c r="O38">
        <v>3</v>
      </c>
      <c r="P38">
        <v>51.72</v>
      </c>
      <c r="Q38">
        <v>67.239999999999995</v>
      </c>
      <c r="R38">
        <v>0.05</v>
      </c>
      <c r="S38">
        <v>191.63</v>
      </c>
      <c r="T38" t="s">
        <v>888</v>
      </c>
      <c r="U38">
        <v>155.16</v>
      </c>
      <c r="V38">
        <v>36.47</v>
      </c>
    </row>
    <row r="39" spans="1:22" x14ac:dyDescent="0.35">
      <c r="A39" t="s">
        <v>931</v>
      </c>
      <c r="B39" t="s">
        <v>932</v>
      </c>
      <c r="C39" t="s">
        <v>388</v>
      </c>
      <c r="D39" t="s">
        <v>389</v>
      </c>
      <c r="E39" t="s">
        <v>633</v>
      </c>
      <c r="F39" t="s">
        <v>243</v>
      </c>
      <c r="G39" t="s">
        <v>14</v>
      </c>
      <c r="H39" t="s">
        <v>29</v>
      </c>
      <c r="I39" t="s">
        <v>86</v>
      </c>
      <c r="J39" t="s">
        <v>786</v>
      </c>
      <c r="K39" t="s">
        <v>799</v>
      </c>
      <c r="L39" t="s">
        <v>800</v>
      </c>
      <c r="M39" s="5">
        <v>45921</v>
      </c>
      <c r="N39" s="5">
        <v>45913</v>
      </c>
      <c r="O39">
        <v>20</v>
      </c>
      <c r="P39">
        <v>8.35</v>
      </c>
      <c r="Q39">
        <v>12.11</v>
      </c>
      <c r="R39">
        <v>0.05</v>
      </c>
      <c r="S39">
        <v>230.09</v>
      </c>
      <c r="T39" t="s">
        <v>935</v>
      </c>
      <c r="U39">
        <v>167</v>
      </c>
      <c r="V39">
        <v>63.09</v>
      </c>
    </row>
    <row r="40" spans="1:22" x14ac:dyDescent="0.35">
      <c r="A40" t="s">
        <v>936</v>
      </c>
      <c r="B40" t="s">
        <v>937</v>
      </c>
      <c r="C40" t="s">
        <v>384</v>
      </c>
      <c r="D40" t="s">
        <v>385</v>
      </c>
      <c r="E40" t="s">
        <v>696</v>
      </c>
      <c r="F40" t="s">
        <v>264</v>
      </c>
      <c r="G40" t="s">
        <v>797</v>
      </c>
      <c r="H40" t="s">
        <v>8</v>
      </c>
      <c r="I40" t="s">
        <v>192</v>
      </c>
      <c r="J40" t="s">
        <v>798</v>
      </c>
      <c r="K40" t="s">
        <v>799</v>
      </c>
      <c r="L40" t="s">
        <v>842</v>
      </c>
      <c r="M40" s="5">
        <v>45769</v>
      </c>
      <c r="N40" s="5">
        <v>45768</v>
      </c>
      <c r="O40">
        <v>2</v>
      </c>
      <c r="P40">
        <v>19.47</v>
      </c>
      <c r="Q40">
        <v>28.23</v>
      </c>
      <c r="R40">
        <v>0</v>
      </c>
      <c r="S40">
        <v>56.46</v>
      </c>
      <c r="T40" t="s">
        <v>892</v>
      </c>
      <c r="U40">
        <v>38.94</v>
      </c>
      <c r="V40">
        <v>17.52</v>
      </c>
    </row>
    <row r="41" spans="1:22" x14ac:dyDescent="0.35">
      <c r="A41" t="s">
        <v>940</v>
      </c>
      <c r="B41" t="s">
        <v>854</v>
      </c>
      <c r="C41" t="s">
        <v>551</v>
      </c>
      <c r="D41" t="s">
        <v>304</v>
      </c>
      <c r="E41" t="s">
        <v>627</v>
      </c>
      <c r="F41" t="s">
        <v>264</v>
      </c>
      <c r="G41" t="s">
        <v>797</v>
      </c>
      <c r="H41" t="s">
        <v>20</v>
      </c>
      <c r="I41" t="s">
        <v>102</v>
      </c>
      <c r="J41" t="s">
        <v>798</v>
      </c>
      <c r="K41" t="s">
        <v>799</v>
      </c>
      <c r="L41" t="s">
        <v>800</v>
      </c>
      <c r="M41" s="5">
        <v>45873</v>
      </c>
      <c r="N41" s="5">
        <v>45872</v>
      </c>
      <c r="O41">
        <v>20</v>
      </c>
      <c r="P41">
        <v>19.04</v>
      </c>
      <c r="Q41">
        <v>25.7</v>
      </c>
      <c r="R41">
        <v>0</v>
      </c>
      <c r="S41">
        <v>514</v>
      </c>
      <c r="T41" t="s">
        <v>869</v>
      </c>
      <c r="U41">
        <v>380.8</v>
      </c>
      <c r="V41">
        <v>133.19999999999999</v>
      </c>
    </row>
    <row r="42" spans="1:22" x14ac:dyDescent="0.35">
      <c r="A42" t="s">
        <v>943</v>
      </c>
      <c r="B42" t="s">
        <v>944</v>
      </c>
      <c r="C42" t="s">
        <v>572</v>
      </c>
      <c r="D42" t="s">
        <v>304</v>
      </c>
      <c r="E42" t="s">
        <v>681</v>
      </c>
      <c r="F42" t="s">
        <v>235</v>
      </c>
      <c r="G42" t="s">
        <v>48</v>
      </c>
      <c r="H42" t="s">
        <v>20</v>
      </c>
      <c r="I42" t="s">
        <v>102</v>
      </c>
      <c r="J42" t="s">
        <v>798</v>
      </c>
      <c r="K42" t="s">
        <v>793</v>
      </c>
      <c r="L42" t="s">
        <v>788</v>
      </c>
      <c r="M42" s="5">
        <v>45582</v>
      </c>
      <c r="O42">
        <v>3</v>
      </c>
      <c r="P42">
        <v>19.04</v>
      </c>
      <c r="Q42">
        <v>25.7</v>
      </c>
      <c r="R42">
        <v>0</v>
      </c>
      <c r="S42">
        <v>77.099999999999994</v>
      </c>
      <c r="T42" t="s">
        <v>946</v>
      </c>
      <c r="U42">
        <v>57.12</v>
      </c>
      <c r="V42">
        <v>19.98</v>
      </c>
    </row>
    <row r="43" spans="1:22" x14ac:dyDescent="0.35">
      <c r="A43" t="s">
        <v>947</v>
      </c>
      <c r="B43" t="s">
        <v>915</v>
      </c>
      <c r="C43" t="s">
        <v>580</v>
      </c>
      <c r="D43" t="s">
        <v>581</v>
      </c>
      <c r="E43" t="s">
        <v>674</v>
      </c>
      <c r="F43" t="s">
        <v>235</v>
      </c>
      <c r="G43" t="s">
        <v>20</v>
      </c>
      <c r="H43" t="s">
        <v>8</v>
      </c>
      <c r="I43" t="s">
        <v>101</v>
      </c>
      <c r="J43" t="s">
        <v>798</v>
      </c>
      <c r="K43" t="s">
        <v>817</v>
      </c>
      <c r="L43" t="s">
        <v>800</v>
      </c>
      <c r="M43" s="5">
        <v>45712</v>
      </c>
      <c r="O43">
        <v>10</v>
      </c>
      <c r="P43">
        <v>16.510000000000002</v>
      </c>
      <c r="Q43">
        <v>23.94</v>
      </c>
      <c r="R43">
        <v>0.05</v>
      </c>
      <c r="S43">
        <v>227.43</v>
      </c>
      <c r="T43" t="s">
        <v>935</v>
      </c>
      <c r="U43">
        <v>165.1</v>
      </c>
      <c r="V43">
        <v>62.33</v>
      </c>
    </row>
    <row r="44" spans="1:22" x14ac:dyDescent="0.35">
      <c r="A44" t="s">
        <v>948</v>
      </c>
      <c r="B44" t="s">
        <v>949</v>
      </c>
      <c r="C44" t="s">
        <v>547</v>
      </c>
      <c r="D44" t="s">
        <v>375</v>
      </c>
      <c r="E44" t="s">
        <v>681</v>
      </c>
      <c r="F44" t="s">
        <v>243</v>
      </c>
      <c r="G44" t="s">
        <v>48</v>
      </c>
      <c r="H44" t="s">
        <v>48</v>
      </c>
      <c r="I44" t="s">
        <v>135</v>
      </c>
      <c r="J44" t="s">
        <v>786</v>
      </c>
      <c r="K44" t="s">
        <v>793</v>
      </c>
      <c r="L44" t="s">
        <v>788</v>
      </c>
      <c r="M44" s="5">
        <v>45703</v>
      </c>
      <c r="O44">
        <v>12</v>
      </c>
      <c r="P44">
        <v>51.72</v>
      </c>
      <c r="Q44">
        <v>67.239999999999995</v>
      </c>
      <c r="R44">
        <v>0.15</v>
      </c>
      <c r="S44">
        <v>685.85</v>
      </c>
      <c r="T44" t="s">
        <v>790</v>
      </c>
      <c r="U44">
        <v>620.64</v>
      </c>
      <c r="V44">
        <v>65.209999999999994</v>
      </c>
    </row>
    <row r="45" spans="1:22" x14ac:dyDescent="0.35">
      <c r="A45" t="s">
        <v>951</v>
      </c>
      <c r="B45" t="s">
        <v>952</v>
      </c>
      <c r="C45" t="s">
        <v>576</v>
      </c>
      <c r="D45" t="s">
        <v>577</v>
      </c>
      <c r="E45" t="s">
        <v>633</v>
      </c>
      <c r="F45" t="s">
        <v>243</v>
      </c>
      <c r="G45" t="s">
        <v>14</v>
      </c>
      <c r="H45" t="s">
        <v>20</v>
      </c>
      <c r="I45" t="s">
        <v>119</v>
      </c>
      <c r="J45" t="s">
        <v>786</v>
      </c>
      <c r="K45" t="s">
        <v>799</v>
      </c>
      <c r="L45" t="s">
        <v>788</v>
      </c>
      <c r="M45" s="5">
        <v>45959</v>
      </c>
      <c r="N45" s="5">
        <v>45953</v>
      </c>
      <c r="O45">
        <v>1</v>
      </c>
      <c r="P45">
        <v>40.94</v>
      </c>
      <c r="Q45">
        <v>53.22</v>
      </c>
      <c r="R45">
        <v>0</v>
      </c>
      <c r="S45">
        <v>53.22</v>
      </c>
      <c r="T45" t="s">
        <v>919</v>
      </c>
      <c r="U45">
        <v>40.94</v>
      </c>
      <c r="V45">
        <v>12.28</v>
      </c>
    </row>
    <row r="46" spans="1:22" x14ac:dyDescent="0.35">
      <c r="A46" t="s">
        <v>954</v>
      </c>
      <c r="B46" t="s">
        <v>955</v>
      </c>
      <c r="C46" t="s">
        <v>596</v>
      </c>
      <c r="D46" t="s">
        <v>443</v>
      </c>
      <c r="E46" t="s">
        <v>637</v>
      </c>
      <c r="F46" t="s">
        <v>264</v>
      </c>
      <c r="G46" t="s">
        <v>14</v>
      </c>
      <c r="H46" t="s">
        <v>48</v>
      </c>
      <c r="I46" t="s">
        <v>190</v>
      </c>
      <c r="J46" t="s">
        <v>786</v>
      </c>
      <c r="K46" t="s">
        <v>822</v>
      </c>
      <c r="L46" t="s">
        <v>800</v>
      </c>
      <c r="M46" s="5">
        <v>45437</v>
      </c>
      <c r="N46" s="5">
        <v>45427</v>
      </c>
      <c r="O46">
        <v>3</v>
      </c>
      <c r="P46">
        <v>21.56</v>
      </c>
      <c r="Q46">
        <v>31.26</v>
      </c>
      <c r="R46">
        <v>0.15</v>
      </c>
      <c r="S46">
        <v>79.709999999999994</v>
      </c>
      <c r="T46" t="s">
        <v>834</v>
      </c>
      <c r="U46">
        <v>64.680000000000007</v>
      </c>
      <c r="V46">
        <v>15.03</v>
      </c>
    </row>
    <row r="47" spans="1:22" x14ac:dyDescent="0.35">
      <c r="A47" t="s">
        <v>958</v>
      </c>
      <c r="B47" t="s">
        <v>959</v>
      </c>
      <c r="C47" t="s">
        <v>604</v>
      </c>
      <c r="D47" t="s">
        <v>431</v>
      </c>
      <c r="E47" t="s">
        <v>637</v>
      </c>
      <c r="F47" t="s">
        <v>243</v>
      </c>
      <c r="G47" t="s">
        <v>797</v>
      </c>
      <c r="H47" t="s">
        <v>29</v>
      </c>
      <c r="I47" t="s">
        <v>86</v>
      </c>
      <c r="J47" t="s">
        <v>786</v>
      </c>
      <c r="K47" t="s">
        <v>793</v>
      </c>
      <c r="L47" t="s">
        <v>800</v>
      </c>
      <c r="M47" s="5">
        <v>45669</v>
      </c>
      <c r="O47">
        <v>3</v>
      </c>
      <c r="P47">
        <v>8.35</v>
      </c>
      <c r="Q47">
        <v>12.11</v>
      </c>
      <c r="R47">
        <v>0.1</v>
      </c>
      <c r="S47">
        <v>32.700000000000003</v>
      </c>
      <c r="T47" t="s">
        <v>859</v>
      </c>
      <c r="U47">
        <v>25.05</v>
      </c>
      <c r="V47">
        <v>7.65</v>
      </c>
    </row>
    <row r="48" spans="1:22" x14ac:dyDescent="0.35">
      <c r="A48" t="s">
        <v>960</v>
      </c>
      <c r="B48" t="s">
        <v>961</v>
      </c>
      <c r="C48" t="s">
        <v>498</v>
      </c>
      <c r="D48" t="s">
        <v>499</v>
      </c>
      <c r="E48" t="s">
        <v>254</v>
      </c>
      <c r="F48" t="s">
        <v>235</v>
      </c>
      <c r="G48" t="s">
        <v>20</v>
      </c>
      <c r="H48" t="s">
        <v>20</v>
      </c>
      <c r="I48" t="s">
        <v>159</v>
      </c>
      <c r="J48" t="s">
        <v>798</v>
      </c>
      <c r="K48" t="s">
        <v>822</v>
      </c>
      <c r="L48" t="s">
        <v>842</v>
      </c>
      <c r="M48" s="5">
        <v>45773</v>
      </c>
      <c r="N48" s="5">
        <v>45775</v>
      </c>
      <c r="O48">
        <v>1</v>
      </c>
      <c r="P48">
        <v>8.2200000000000006</v>
      </c>
      <c r="Q48">
        <v>11.1</v>
      </c>
      <c r="R48">
        <v>0.05</v>
      </c>
      <c r="S48">
        <v>10.54</v>
      </c>
      <c r="T48" t="s">
        <v>963</v>
      </c>
      <c r="U48">
        <v>8.2200000000000006</v>
      </c>
      <c r="V48">
        <v>2.3199999999999998</v>
      </c>
    </row>
    <row r="49" spans="1:22" x14ac:dyDescent="0.35">
      <c r="A49" t="s">
        <v>964</v>
      </c>
      <c r="B49" t="s">
        <v>965</v>
      </c>
      <c r="C49" t="s">
        <v>524</v>
      </c>
      <c r="D49" t="s">
        <v>484</v>
      </c>
      <c r="E49" t="s">
        <v>633</v>
      </c>
      <c r="G49" t="s">
        <v>797</v>
      </c>
      <c r="H49" t="s">
        <v>29</v>
      </c>
      <c r="I49" t="s">
        <v>106</v>
      </c>
      <c r="J49" t="s">
        <v>786</v>
      </c>
      <c r="K49" t="s">
        <v>787</v>
      </c>
      <c r="L49" t="s">
        <v>788</v>
      </c>
      <c r="M49" s="5">
        <v>45428</v>
      </c>
      <c r="O49">
        <v>1</v>
      </c>
      <c r="P49">
        <v>29.64</v>
      </c>
      <c r="Q49">
        <v>41.5</v>
      </c>
      <c r="R49">
        <v>0</v>
      </c>
      <c r="S49">
        <v>41.5</v>
      </c>
      <c r="T49" t="s">
        <v>876</v>
      </c>
      <c r="U49">
        <v>29.64</v>
      </c>
      <c r="V49">
        <v>11.86</v>
      </c>
    </row>
    <row r="50" spans="1:22" x14ac:dyDescent="0.35">
      <c r="A50" t="s">
        <v>967</v>
      </c>
      <c r="B50" t="s">
        <v>806</v>
      </c>
      <c r="C50" t="s">
        <v>347</v>
      </c>
      <c r="D50" t="s">
        <v>348</v>
      </c>
      <c r="E50" t="s">
        <v>633</v>
      </c>
      <c r="F50" t="s">
        <v>243</v>
      </c>
      <c r="G50" t="s">
        <v>20</v>
      </c>
      <c r="H50" t="s">
        <v>48</v>
      </c>
      <c r="I50" t="s">
        <v>190</v>
      </c>
      <c r="J50" t="s">
        <v>813</v>
      </c>
      <c r="K50" t="s">
        <v>787</v>
      </c>
      <c r="L50" t="s">
        <v>800</v>
      </c>
      <c r="M50" s="5">
        <v>45878</v>
      </c>
      <c r="O50">
        <v>5</v>
      </c>
      <c r="P50">
        <v>21.56</v>
      </c>
      <c r="Q50">
        <v>31.26</v>
      </c>
      <c r="R50">
        <v>0.15</v>
      </c>
      <c r="S50">
        <v>132.86000000000001</v>
      </c>
      <c r="T50" t="s">
        <v>810</v>
      </c>
      <c r="U50">
        <v>107.8</v>
      </c>
      <c r="V50">
        <v>25.06</v>
      </c>
    </row>
    <row r="51" spans="1:22" x14ac:dyDescent="0.35">
      <c r="A51" t="s">
        <v>968</v>
      </c>
      <c r="B51" t="s">
        <v>969</v>
      </c>
      <c r="C51" t="s">
        <v>286</v>
      </c>
      <c r="D51" t="s">
        <v>287</v>
      </c>
      <c r="E51" t="s">
        <v>254</v>
      </c>
      <c r="F51" t="s">
        <v>264</v>
      </c>
      <c r="G51" t="s">
        <v>14</v>
      </c>
      <c r="H51" t="s">
        <v>48</v>
      </c>
      <c r="I51" t="s">
        <v>84</v>
      </c>
      <c r="J51" t="s">
        <v>798</v>
      </c>
      <c r="K51" t="s">
        <v>799</v>
      </c>
      <c r="L51" t="s">
        <v>788</v>
      </c>
      <c r="M51" s="5">
        <v>45619</v>
      </c>
      <c r="N51" s="5">
        <v>45615</v>
      </c>
      <c r="O51">
        <v>1</v>
      </c>
      <c r="P51">
        <v>27.52</v>
      </c>
      <c r="Q51">
        <v>34.4</v>
      </c>
      <c r="R51">
        <v>0.05</v>
      </c>
      <c r="S51">
        <v>32.68</v>
      </c>
      <c r="T51" t="s">
        <v>834</v>
      </c>
      <c r="U51">
        <v>27.52</v>
      </c>
      <c r="V51">
        <v>5.16</v>
      </c>
    </row>
    <row r="52" spans="1:22" x14ac:dyDescent="0.35">
      <c r="A52" t="s">
        <v>972</v>
      </c>
      <c r="B52" t="s">
        <v>933</v>
      </c>
      <c r="C52" t="s">
        <v>564</v>
      </c>
      <c r="D52" t="s">
        <v>526</v>
      </c>
      <c r="E52" t="s">
        <v>696</v>
      </c>
      <c r="F52" t="s">
        <v>243</v>
      </c>
      <c r="G52" t="s">
        <v>797</v>
      </c>
      <c r="H52" t="s">
        <v>48</v>
      </c>
      <c r="I52" t="s">
        <v>61</v>
      </c>
      <c r="J52" t="s">
        <v>786</v>
      </c>
      <c r="K52" t="s">
        <v>793</v>
      </c>
      <c r="L52" t="s">
        <v>842</v>
      </c>
      <c r="M52" s="5">
        <v>45935</v>
      </c>
      <c r="O52">
        <v>20</v>
      </c>
      <c r="P52">
        <v>26.08</v>
      </c>
      <c r="Q52">
        <v>35.21</v>
      </c>
      <c r="R52">
        <v>0.1</v>
      </c>
      <c r="S52">
        <v>633.78</v>
      </c>
      <c r="T52" t="s">
        <v>963</v>
      </c>
      <c r="U52">
        <v>521.6</v>
      </c>
      <c r="V52">
        <v>112.18</v>
      </c>
    </row>
    <row r="53" spans="1:22" x14ac:dyDescent="0.35">
      <c r="A53" t="s">
        <v>974</v>
      </c>
      <c r="B53" t="s">
        <v>975</v>
      </c>
      <c r="C53" t="s">
        <v>248</v>
      </c>
      <c r="D53" t="s">
        <v>249</v>
      </c>
      <c r="E53" t="s">
        <v>633</v>
      </c>
      <c r="G53" t="s">
        <v>20</v>
      </c>
      <c r="H53" t="s">
        <v>14</v>
      </c>
      <c r="I53" t="s">
        <v>93</v>
      </c>
      <c r="J53" t="s">
        <v>798</v>
      </c>
      <c r="K53" t="s">
        <v>787</v>
      </c>
      <c r="L53" t="s">
        <v>842</v>
      </c>
      <c r="M53" s="5">
        <v>46047</v>
      </c>
      <c r="O53">
        <v>5</v>
      </c>
      <c r="P53">
        <v>26.96</v>
      </c>
      <c r="Q53">
        <v>37.74</v>
      </c>
      <c r="R53">
        <v>0.15</v>
      </c>
      <c r="S53">
        <v>160.4</v>
      </c>
      <c r="T53" t="s">
        <v>794</v>
      </c>
      <c r="U53">
        <v>134.80000000000001</v>
      </c>
      <c r="V53">
        <v>25.6</v>
      </c>
    </row>
    <row r="54" spans="1:22" x14ac:dyDescent="0.35">
      <c r="A54" t="s">
        <v>977</v>
      </c>
      <c r="B54" t="s">
        <v>978</v>
      </c>
      <c r="C54" t="s">
        <v>428</v>
      </c>
      <c r="D54" t="s">
        <v>429</v>
      </c>
      <c r="E54" t="s">
        <v>674</v>
      </c>
      <c r="F54" t="s">
        <v>264</v>
      </c>
      <c r="G54" t="s">
        <v>797</v>
      </c>
      <c r="H54" t="s">
        <v>29</v>
      </c>
      <c r="I54" t="s">
        <v>32</v>
      </c>
      <c r="J54" t="s">
        <v>798</v>
      </c>
      <c r="K54" t="s">
        <v>793</v>
      </c>
      <c r="L54" t="s">
        <v>842</v>
      </c>
      <c r="M54" s="5">
        <v>45530</v>
      </c>
      <c r="O54">
        <v>3</v>
      </c>
      <c r="P54">
        <v>18.989999999999998</v>
      </c>
      <c r="Q54">
        <v>25.64</v>
      </c>
      <c r="R54">
        <v>0</v>
      </c>
      <c r="S54">
        <v>76.92</v>
      </c>
      <c r="T54" t="s">
        <v>859</v>
      </c>
      <c r="U54">
        <v>56.97</v>
      </c>
      <c r="V54">
        <v>19.95</v>
      </c>
    </row>
    <row r="55" spans="1:22" x14ac:dyDescent="0.35">
      <c r="A55" t="s">
        <v>980</v>
      </c>
      <c r="B55" t="s">
        <v>981</v>
      </c>
      <c r="C55" t="s">
        <v>597</v>
      </c>
      <c r="D55" t="s">
        <v>598</v>
      </c>
      <c r="E55" t="s">
        <v>627</v>
      </c>
      <c r="F55" t="s">
        <v>235</v>
      </c>
      <c r="G55" t="s">
        <v>14</v>
      </c>
      <c r="H55" t="s">
        <v>8</v>
      </c>
      <c r="I55" t="s">
        <v>91</v>
      </c>
      <c r="J55" t="s">
        <v>798</v>
      </c>
      <c r="K55" t="s">
        <v>822</v>
      </c>
      <c r="L55" t="s">
        <v>788</v>
      </c>
      <c r="M55" s="5">
        <v>45596</v>
      </c>
      <c r="N55" s="5">
        <v>45595</v>
      </c>
      <c r="O55">
        <v>3</v>
      </c>
      <c r="P55">
        <v>36.82</v>
      </c>
      <c r="Q55">
        <v>47.87</v>
      </c>
      <c r="R55">
        <v>0</v>
      </c>
      <c r="S55">
        <v>143.61000000000001</v>
      </c>
      <c r="T55" t="s">
        <v>819</v>
      </c>
      <c r="U55">
        <v>110.46</v>
      </c>
      <c r="V55">
        <v>33.15</v>
      </c>
    </row>
    <row r="56" spans="1:22" x14ac:dyDescent="0.35">
      <c r="A56" t="s">
        <v>983</v>
      </c>
      <c r="B56" t="s">
        <v>984</v>
      </c>
      <c r="C56" t="s">
        <v>469</v>
      </c>
      <c r="D56" t="s">
        <v>470</v>
      </c>
      <c r="E56" t="s">
        <v>254</v>
      </c>
      <c r="F56" t="s">
        <v>235</v>
      </c>
      <c r="G56" t="s">
        <v>797</v>
      </c>
      <c r="H56" t="s">
        <v>8</v>
      </c>
      <c r="I56" t="s">
        <v>207</v>
      </c>
      <c r="J56" t="s">
        <v>798</v>
      </c>
      <c r="K56" t="s">
        <v>787</v>
      </c>
      <c r="L56" t="s">
        <v>842</v>
      </c>
      <c r="M56" s="5">
        <v>45491</v>
      </c>
      <c r="O56">
        <v>1</v>
      </c>
      <c r="P56">
        <v>8.5399999999999991</v>
      </c>
      <c r="Q56">
        <v>10.67</v>
      </c>
      <c r="R56">
        <v>0.1</v>
      </c>
      <c r="S56">
        <v>9.6</v>
      </c>
      <c r="T56" t="s">
        <v>892</v>
      </c>
      <c r="U56">
        <v>8.5399999999999991</v>
      </c>
      <c r="V56">
        <v>1.06</v>
      </c>
    </row>
    <row r="57" spans="1:22" x14ac:dyDescent="0.35">
      <c r="A57" t="s">
        <v>986</v>
      </c>
      <c r="B57" t="s">
        <v>987</v>
      </c>
      <c r="C57" t="s">
        <v>452</v>
      </c>
      <c r="D57" t="s">
        <v>420</v>
      </c>
      <c r="E57" t="s">
        <v>681</v>
      </c>
      <c r="F57" t="s">
        <v>264</v>
      </c>
      <c r="G57" t="s">
        <v>14</v>
      </c>
      <c r="H57" t="s">
        <v>43</v>
      </c>
      <c r="I57" t="s">
        <v>146</v>
      </c>
      <c r="J57" t="s">
        <v>813</v>
      </c>
      <c r="K57" t="s">
        <v>799</v>
      </c>
      <c r="L57" t="s">
        <v>800</v>
      </c>
      <c r="M57" s="5">
        <v>45468</v>
      </c>
      <c r="N57" s="5">
        <v>45466</v>
      </c>
      <c r="O57">
        <v>10</v>
      </c>
      <c r="P57">
        <v>24.05</v>
      </c>
      <c r="Q57">
        <v>31.27</v>
      </c>
      <c r="R57">
        <v>0.1</v>
      </c>
      <c r="S57">
        <v>281.43</v>
      </c>
      <c r="T57" t="s">
        <v>946</v>
      </c>
      <c r="U57">
        <v>240.5</v>
      </c>
      <c r="V57">
        <v>40.93</v>
      </c>
    </row>
    <row r="58" spans="1:22" x14ac:dyDescent="0.35">
      <c r="A58" t="s">
        <v>988</v>
      </c>
      <c r="B58" t="s">
        <v>989</v>
      </c>
      <c r="C58" t="s">
        <v>574</v>
      </c>
      <c r="D58" t="s">
        <v>458</v>
      </c>
      <c r="E58" t="s">
        <v>254</v>
      </c>
      <c r="G58" t="s">
        <v>14</v>
      </c>
      <c r="H58" t="s">
        <v>48</v>
      </c>
      <c r="I58" t="s">
        <v>179</v>
      </c>
      <c r="J58" t="s">
        <v>813</v>
      </c>
      <c r="K58" t="s">
        <v>799</v>
      </c>
      <c r="L58" t="s">
        <v>818</v>
      </c>
      <c r="M58" s="5">
        <v>45903</v>
      </c>
      <c r="N58" s="5">
        <v>45902</v>
      </c>
      <c r="O58">
        <v>5</v>
      </c>
      <c r="P58">
        <v>16.670000000000002</v>
      </c>
      <c r="Q58">
        <v>22.5</v>
      </c>
      <c r="R58">
        <v>0.05</v>
      </c>
      <c r="S58">
        <v>106.88</v>
      </c>
      <c r="T58" t="s">
        <v>935</v>
      </c>
      <c r="U58">
        <v>83.35</v>
      </c>
      <c r="V58">
        <v>23.53</v>
      </c>
    </row>
    <row r="59" spans="1:22" x14ac:dyDescent="0.35">
      <c r="A59" t="s">
        <v>992</v>
      </c>
      <c r="B59" t="s">
        <v>853</v>
      </c>
      <c r="C59" t="s">
        <v>500</v>
      </c>
      <c r="D59" t="s">
        <v>447</v>
      </c>
      <c r="E59" t="s">
        <v>681</v>
      </c>
      <c r="F59" t="s">
        <v>235</v>
      </c>
      <c r="G59" t="s">
        <v>797</v>
      </c>
      <c r="H59" t="s">
        <v>20</v>
      </c>
      <c r="I59" t="s">
        <v>97</v>
      </c>
      <c r="J59" t="s">
        <v>798</v>
      </c>
      <c r="K59" t="s">
        <v>799</v>
      </c>
      <c r="L59" t="s">
        <v>800</v>
      </c>
      <c r="M59" s="5">
        <v>45859</v>
      </c>
      <c r="N59" s="5">
        <v>45854</v>
      </c>
      <c r="O59">
        <v>5</v>
      </c>
      <c r="P59">
        <v>20.79</v>
      </c>
      <c r="Q59">
        <v>28.07</v>
      </c>
      <c r="R59">
        <v>0.05</v>
      </c>
      <c r="S59">
        <v>133.33000000000001</v>
      </c>
      <c r="T59" t="s">
        <v>825</v>
      </c>
      <c r="U59">
        <v>103.95</v>
      </c>
      <c r="V59">
        <v>29.38</v>
      </c>
    </row>
    <row r="60" spans="1:22" x14ac:dyDescent="0.35">
      <c r="A60" t="s">
        <v>995</v>
      </c>
      <c r="B60" t="s">
        <v>996</v>
      </c>
      <c r="C60" t="s">
        <v>409</v>
      </c>
      <c r="D60" t="s">
        <v>410</v>
      </c>
      <c r="E60" t="s">
        <v>627</v>
      </c>
      <c r="F60" t="s">
        <v>235</v>
      </c>
      <c r="G60" t="s">
        <v>14</v>
      </c>
      <c r="H60" t="s">
        <v>43</v>
      </c>
      <c r="I60" t="s">
        <v>99</v>
      </c>
      <c r="J60" t="s">
        <v>813</v>
      </c>
      <c r="K60" t="s">
        <v>799</v>
      </c>
      <c r="L60" t="s">
        <v>842</v>
      </c>
      <c r="M60" s="5">
        <v>45973</v>
      </c>
      <c r="N60" s="5">
        <v>45972</v>
      </c>
      <c r="O60">
        <v>12</v>
      </c>
      <c r="P60">
        <v>10.88</v>
      </c>
      <c r="Q60">
        <v>15.78</v>
      </c>
      <c r="R60">
        <v>0.1</v>
      </c>
      <c r="S60">
        <v>170.42</v>
      </c>
      <c r="T60" t="s">
        <v>946</v>
      </c>
      <c r="U60">
        <v>130.56</v>
      </c>
      <c r="V60">
        <v>39.86</v>
      </c>
    </row>
    <row r="61" spans="1:22" x14ac:dyDescent="0.35">
      <c r="A61" t="s">
        <v>999</v>
      </c>
      <c r="B61" t="s">
        <v>1000</v>
      </c>
      <c r="C61" t="s">
        <v>327</v>
      </c>
      <c r="D61" t="s">
        <v>328</v>
      </c>
      <c r="E61" t="s">
        <v>696</v>
      </c>
      <c r="F61" t="s">
        <v>264</v>
      </c>
      <c r="G61" t="s">
        <v>797</v>
      </c>
      <c r="H61" t="s">
        <v>79</v>
      </c>
      <c r="I61" t="s">
        <v>77</v>
      </c>
      <c r="J61" t="s">
        <v>813</v>
      </c>
      <c r="K61" t="s">
        <v>793</v>
      </c>
      <c r="L61" t="s">
        <v>788</v>
      </c>
      <c r="M61" s="5">
        <v>45584</v>
      </c>
      <c r="O61">
        <v>10</v>
      </c>
      <c r="P61">
        <v>13.71</v>
      </c>
      <c r="Q61">
        <v>17.82</v>
      </c>
      <c r="R61">
        <v>0</v>
      </c>
      <c r="S61">
        <v>178.2</v>
      </c>
      <c r="T61" t="s">
        <v>1001</v>
      </c>
      <c r="U61">
        <v>137.1</v>
      </c>
      <c r="V61">
        <v>41.1</v>
      </c>
    </row>
    <row r="62" spans="1:22" x14ac:dyDescent="0.35">
      <c r="A62" t="s">
        <v>1002</v>
      </c>
      <c r="B62" t="s">
        <v>1003</v>
      </c>
      <c r="C62" t="s">
        <v>358</v>
      </c>
      <c r="D62" t="s">
        <v>287</v>
      </c>
      <c r="E62" t="s">
        <v>254</v>
      </c>
      <c r="F62" t="s">
        <v>243</v>
      </c>
      <c r="G62" t="s">
        <v>14</v>
      </c>
      <c r="H62" t="s">
        <v>20</v>
      </c>
      <c r="I62" t="s">
        <v>102</v>
      </c>
      <c r="J62" t="s">
        <v>786</v>
      </c>
      <c r="K62" t="s">
        <v>799</v>
      </c>
      <c r="L62" t="s">
        <v>818</v>
      </c>
      <c r="M62" s="5">
        <v>45725</v>
      </c>
      <c r="N62" s="5">
        <v>45712</v>
      </c>
      <c r="O62">
        <v>5</v>
      </c>
      <c r="P62">
        <v>19.04</v>
      </c>
      <c r="Q62">
        <v>25.7</v>
      </c>
      <c r="R62">
        <v>0</v>
      </c>
      <c r="S62">
        <v>128.5</v>
      </c>
      <c r="T62" t="s">
        <v>794</v>
      </c>
      <c r="U62">
        <v>95.2</v>
      </c>
      <c r="V62">
        <v>33.299999999999997</v>
      </c>
    </row>
    <row r="63" spans="1:22" x14ac:dyDescent="0.35">
      <c r="A63" t="s">
        <v>1005</v>
      </c>
      <c r="B63" t="s">
        <v>1006</v>
      </c>
      <c r="C63" t="s">
        <v>329</v>
      </c>
      <c r="D63" t="s">
        <v>330</v>
      </c>
      <c r="E63" t="s">
        <v>637</v>
      </c>
      <c r="F63" t="s">
        <v>235</v>
      </c>
      <c r="G63" t="s">
        <v>14</v>
      </c>
      <c r="H63" t="s">
        <v>14</v>
      </c>
      <c r="I63" t="s">
        <v>67</v>
      </c>
      <c r="J63" t="s">
        <v>798</v>
      </c>
      <c r="K63" t="s">
        <v>822</v>
      </c>
      <c r="L63" t="s">
        <v>842</v>
      </c>
      <c r="M63" s="5">
        <v>45312</v>
      </c>
      <c r="N63" s="5">
        <v>45310</v>
      </c>
      <c r="O63">
        <v>1</v>
      </c>
      <c r="P63">
        <v>17.63</v>
      </c>
      <c r="Q63">
        <v>22.92</v>
      </c>
      <c r="R63">
        <v>0.15</v>
      </c>
      <c r="S63">
        <v>19.48</v>
      </c>
      <c r="T63" t="s">
        <v>919</v>
      </c>
      <c r="U63">
        <v>17.63</v>
      </c>
      <c r="V63">
        <v>1.85</v>
      </c>
    </row>
    <row r="64" spans="1:22" x14ac:dyDescent="0.35">
      <c r="A64" t="s">
        <v>1008</v>
      </c>
      <c r="B64" t="s">
        <v>1009</v>
      </c>
      <c r="C64" t="s">
        <v>493</v>
      </c>
      <c r="D64" t="s">
        <v>311</v>
      </c>
      <c r="E64" t="s">
        <v>633</v>
      </c>
      <c r="F64" t="s">
        <v>243</v>
      </c>
      <c r="G64" t="s">
        <v>797</v>
      </c>
      <c r="H64" t="s">
        <v>14</v>
      </c>
      <c r="I64" t="s">
        <v>24</v>
      </c>
      <c r="J64" t="s">
        <v>813</v>
      </c>
      <c r="K64" t="s">
        <v>799</v>
      </c>
      <c r="L64" t="s">
        <v>842</v>
      </c>
      <c r="M64" s="5">
        <v>45954</v>
      </c>
      <c r="N64" s="5">
        <v>45957</v>
      </c>
      <c r="O64">
        <v>10</v>
      </c>
      <c r="P64">
        <v>37.42</v>
      </c>
      <c r="Q64">
        <v>50.52</v>
      </c>
      <c r="R64">
        <v>0</v>
      </c>
      <c r="S64">
        <v>505.2</v>
      </c>
      <c r="T64" t="s">
        <v>814</v>
      </c>
      <c r="U64">
        <v>374.2</v>
      </c>
      <c r="V64">
        <v>131</v>
      </c>
    </row>
    <row r="65" spans="1:22" x14ac:dyDescent="0.35">
      <c r="A65" t="s">
        <v>1012</v>
      </c>
      <c r="B65" t="s">
        <v>1013</v>
      </c>
      <c r="C65" t="s">
        <v>320</v>
      </c>
      <c r="D65" t="s">
        <v>321</v>
      </c>
      <c r="E65" t="s">
        <v>637</v>
      </c>
      <c r="F65" t="s">
        <v>235</v>
      </c>
      <c r="G65" t="s">
        <v>20</v>
      </c>
      <c r="H65" t="s">
        <v>8</v>
      </c>
      <c r="I65" t="s">
        <v>212</v>
      </c>
      <c r="J65" t="s">
        <v>813</v>
      </c>
      <c r="K65" t="s">
        <v>799</v>
      </c>
      <c r="L65" t="s">
        <v>788</v>
      </c>
      <c r="M65" s="5">
        <v>45731</v>
      </c>
      <c r="N65" s="5">
        <v>45736</v>
      </c>
      <c r="O65">
        <v>10</v>
      </c>
      <c r="P65">
        <v>95.09</v>
      </c>
      <c r="Q65">
        <v>133.13</v>
      </c>
      <c r="R65">
        <v>0</v>
      </c>
      <c r="S65">
        <v>1331.3</v>
      </c>
      <c r="T65" t="s">
        <v>814</v>
      </c>
      <c r="U65">
        <v>950.9</v>
      </c>
      <c r="V65">
        <v>380.4</v>
      </c>
    </row>
    <row r="66" spans="1:22" x14ac:dyDescent="0.35">
      <c r="A66" t="s">
        <v>1015</v>
      </c>
      <c r="B66" t="s">
        <v>1016</v>
      </c>
      <c r="C66" t="s">
        <v>599</v>
      </c>
      <c r="D66" t="s">
        <v>600</v>
      </c>
      <c r="E66" t="s">
        <v>254</v>
      </c>
      <c r="F66" t="s">
        <v>243</v>
      </c>
      <c r="G66" t="s">
        <v>797</v>
      </c>
      <c r="H66" t="s">
        <v>29</v>
      </c>
      <c r="I66" t="s">
        <v>49</v>
      </c>
      <c r="J66" t="s">
        <v>798</v>
      </c>
      <c r="K66" t="s">
        <v>787</v>
      </c>
      <c r="L66" t="s">
        <v>818</v>
      </c>
      <c r="M66" s="5">
        <v>45935</v>
      </c>
      <c r="O66">
        <v>5</v>
      </c>
      <c r="P66">
        <v>14.89</v>
      </c>
      <c r="Q66">
        <v>20.85</v>
      </c>
      <c r="R66">
        <v>0.05</v>
      </c>
      <c r="S66">
        <v>99.04</v>
      </c>
      <c r="T66" t="s">
        <v>1017</v>
      </c>
      <c r="U66">
        <v>74.45</v>
      </c>
      <c r="V66">
        <v>24.59</v>
      </c>
    </row>
    <row r="67" spans="1:22" x14ac:dyDescent="0.35">
      <c r="A67" t="s">
        <v>1018</v>
      </c>
      <c r="B67" t="s">
        <v>1019</v>
      </c>
      <c r="C67" t="s">
        <v>475</v>
      </c>
      <c r="D67" t="s">
        <v>476</v>
      </c>
      <c r="E67" t="s">
        <v>681</v>
      </c>
      <c r="F67" t="s">
        <v>243</v>
      </c>
      <c r="G67" t="s">
        <v>20</v>
      </c>
      <c r="H67" t="s">
        <v>43</v>
      </c>
      <c r="I67" t="s">
        <v>58</v>
      </c>
      <c r="J67" t="s">
        <v>813</v>
      </c>
      <c r="K67" t="s">
        <v>787</v>
      </c>
      <c r="L67" t="s">
        <v>842</v>
      </c>
      <c r="M67" s="5">
        <v>45689</v>
      </c>
      <c r="O67">
        <v>2</v>
      </c>
      <c r="P67">
        <v>11.21</v>
      </c>
      <c r="Q67">
        <v>15.13</v>
      </c>
      <c r="R67">
        <v>0</v>
      </c>
      <c r="S67">
        <v>30.26</v>
      </c>
      <c r="T67" t="s">
        <v>919</v>
      </c>
      <c r="U67">
        <v>22.42</v>
      </c>
      <c r="V67">
        <v>7.84</v>
      </c>
    </row>
    <row r="68" spans="1:22" x14ac:dyDescent="0.35">
      <c r="A68" t="s">
        <v>1020</v>
      </c>
      <c r="B68" t="s">
        <v>1021</v>
      </c>
      <c r="C68" t="s">
        <v>502</v>
      </c>
      <c r="D68" t="s">
        <v>503</v>
      </c>
      <c r="E68" t="s">
        <v>637</v>
      </c>
      <c r="F68" t="s">
        <v>235</v>
      </c>
      <c r="G68" t="s">
        <v>14</v>
      </c>
      <c r="H68" t="s">
        <v>79</v>
      </c>
      <c r="I68" t="s">
        <v>108</v>
      </c>
      <c r="J68" t="s">
        <v>798</v>
      </c>
      <c r="K68" t="s">
        <v>799</v>
      </c>
      <c r="L68" t="s">
        <v>800</v>
      </c>
      <c r="M68" s="5">
        <v>45725</v>
      </c>
      <c r="N68" s="5">
        <v>45721</v>
      </c>
      <c r="O68">
        <v>2</v>
      </c>
      <c r="P68">
        <v>9.3000000000000007</v>
      </c>
      <c r="Q68">
        <v>12.56</v>
      </c>
      <c r="R68">
        <v>0.1</v>
      </c>
      <c r="S68">
        <v>22.61</v>
      </c>
      <c r="T68" t="s">
        <v>839</v>
      </c>
      <c r="U68">
        <v>18.600000000000001</v>
      </c>
      <c r="V68">
        <v>4.01</v>
      </c>
    </row>
    <row r="69" spans="1:22" x14ac:dyDescent="0.35">
      <c r="A69" t="s">
        <v>1023</v>
      </c>
      <c r="B69" t="s">
        <v>882</v>
      </c>
      <c r="C69" t="s">
        <v>329</v>
      </c>
      <c r="D69" t="s">
        <v>330</v>
      </c>
      <c r="E69" t="s">
        <v>696</v>
      </c>
      <c r="F69" t="s">
        <v>235</v>
      </c>
      <c r="G69" t="s">
        <v>797</v>
      </c>
      <c r="H69" t="s">
        <v>29</v>
      </c>
      <c r="I69" t="s">
        <v>49</v>
      </c>
      <c r="J69" t="s">
        <v>813</v>
      </c>
      <c r="K69" t="s">
        <v>799</v>
      </c>
      <c r="L69" t="s">
        <v>842</v>
      </c>
      <c r="M69" s="5">
        <v>45789</v>
      </c>
      <c r="N69" s="5">
        <v>45795</v>
      </c>
      <c r="O69">
        <v>12</v>
      </c>
      <c r="P69">
        <v>14.89</v>
      </c>
      <c r="Q69">
        <v>20.85</v>
      </c>
      <c r="R69">
        <v>0.15</v>
      </c>
      <c r="S69">
        <v>212.67</v>
      </c>
      <c r="T69" t="s">
        <v>825</v>
      </c>
      <c r="U69">
        <v>178.68</v>
      </c>
      <c r="V69">
        <v>33.99</v>
      </c>
    </row>
    <row r="70" spans="1:22" x14ac:dyDescent="0.35">
      <c r="A70" t="s">
        <v>1026</v>
      </c>
      <c r="B70" t="s">
        <v>909</v>
      </c>
      <c r="C70" t="s">
        <v>596</v>
      </c>
      <c r="D70" t="s">
        <v>443</v>
      </c>
      <c r="E70" t="s">
        <v>627</v>
      </c>
      <c r="F70" t="s">
        <v>264</v>
      </c>
      <c r="G70" t="s">
        <v>797</v>
      </c>
      <c r="H70" t="s">
        <v>43</v>
      </c>
      <c r="I70" t="s">
        <v>171</v>
      </c>
      <c r="J70" t="s">
        <v>786</v>
      </c>
      <c r="K70" t="s">
        <v>799</v>
      </c>
      <c r="L70" t="s">
        <v>842</v>
      </c>
      <c r="M70" s="5">
        <v>46067</v>
      </c>
      <c r="N70" s="5">
        <v>46057</v>
      </c>
      <c r="O70">
        <v>12</v>
      </c>
      <c r="P70">
        <v>29.39</v>
      </c>
      <c r="Q70">
        <v>39.68</v>
      </c>
      <c r="R70">
        <v>0.05</v>
      </c>
      <c r="S70">
        <v>452.35</v>
      </c>
      <c r="T70" t="s">
        <v>825</v>
      </c>
      <c r="U70">
        <v>352.68</v>
      </c>
      <c r="V70">
        <v>99.67</v>
      </c>
    </row>
    <row r="71" spans="1:22" x14ac:dyDescent="0.35">
      <c r="A71" t="s">
        <v>1027</v>
      </c>
      <c r="B71" t="s">
        <v>1028</v>
      </c>
      <c r="C71" t="s">
        <v>574</v>
      </c>
      <c r="D71" t="s">
        <v>458</v>
      </c>
      <c r="E71" t="s">
        <v>681</v>
      </c>
      <c r="G71" t="s">
        <v>14</v>
      </c>
      <c r="H71" t="s">
        <v>14</v>
      </c>
      <c r="I71" t="s">
        <v>128</v>
      </c>
      <c r="J71" t="s">
        <v>813</v>
      </c>
      <c r="K71" t="s">
        <v>799</v>
      </c>
      <c r="L71" t="s">
        <v>842</v>
      </c>
      <c r="M71" s="5">
        <v>45788</v>
      </c>
      <c r="N71" s="5">
        <v>45788</v>
      </c>
      <c r="O71">
        <v>1</v>
      </c>
      <c r="P71">
        <v>18.850000000000001</v>
      </c>
      <c r="Q71">
        <v>27.33</v>
      </c>
      <c r="R71">
        <v>0</v>
      </c>
      <c r="S71">
        <v>27.33</v>
      </c>
      <c r="T71" t="s">
        <v>869</v>
      </c>
      <c r="U71">
        <v>18.850000000000001</v>
      </c>
      <c r="V71">
        <v>8.48</v>
      </c>
    </row>
    <row r="72" spans="1:22" x14ac:dyDescent="0.35">
      <c r="A72" t="s">
        <v>1030</v>
      </c>
      <c r="B72" t="s">
        <v>1031</v>
      </c>
      <c r="C72" t="s">
        <v>507</v>
      </c>
      <c r="D72" t="s">
        <v>508</v>
      </c>
      <c r="E72" t="s">
        <v>637</v>
      </c>
      <c r="F72" t="s">
        <v>243</v>
      </c>
      <c r="G72" t="s">
        <v>797</v>
      </c>
      <c r="H72" t="s">
        <v>20</v>
      </c>
      <c r="I72" t="s">
        <v>159</v>
      </c>
      <c r="J72" t="s">
        <v>786</v>
      </c>
      <c r="K72" t="s">
        <v>793</v>
      </c>
      <c r="L72" t="s">
        <v>800</v>
      </c>
      <c r="M72" s="5">
        <v>45823</v>
      </c>
      <c r="O72">
        <v>20</v>
      </c>
      <c r="P72">
        <v>8.2200000000000006</v>
      </c>
      <c r="Q72">
        <v>11.1</v>
      </c>
      <c r="R72">
        <v>0</v>
      </c>
      <c r="S72">
        <v>222</v>
      </c>
      <c r="T72" t="s">
        <v>829</v>
      </c>
      <c r="U72">
        <v>164.4</v>
      </c>
      <c r="V72">
        <v>57.6</v>
      </c>
    </row>
    <row r="73" spans="1:22" x14ac:dyDescent="0.35">
      <c r="A73" t="s">
        <v>1033</v>
      </c>
      <c r="B73" t="s">
        <v>1034</v>
      </c>
      <c r="C73" t="s">
        <v>530</v>
      </c>
      <c r="D73" t="s">
        <v>531</v>
      </c>
      <c r="E73" t="s">
        <v>681</v>
      </c>
      <c r="F73" t="s">
        <v>235</v>
      </c>
      <c r="G73" t="s">
        <v>797</v>
      </c>
      <c r="H73" t="s">
        <v>29</v>
      </c>
      <c r="I73" t="s">
        <v>27</v>
      </c>
      <c r="J73" t="s">
        <v>786</v>
      </c>
      <c r="K73" t="s">
        <v>787</v>
      </c>
      <c r="L73" t="s">
        <v>818</v>
      </c>
      <c r="M73" s="5">
        <v>45825</v>
      </c>
      <c r="O73">
        <v>1</v>
      </c>
      <c r="P73">
        <v>33.06</v>
      </c>
      <c r="Q73">
        <v>47.94</v>
      </c>
      <c r="R73">
        <v>0.1</v>
      </c>
      <c r="S73">
        <v>43.15</v>
      </c>
      <c r="T73" t="s">
        <v>845</v>
      </c>
      <c r="U73">
        <v>33.06</v>
      </c>
      <c r="V73">
        <v>10.09</v>
      </c>
    </row>
    <row r="74" spans="1:22" x14ac:dyDescent="0.35">
      <c r="A74" t="s">
        <v>1035</v>
      </c>
      <c r="B74" t="s">
        <v>868</v>
      </c>
      <c r="C74" t="s">
        <v>489</v>
      </c>
      <c r="D74" t="s">
        <v>318</v>
      </c>
      <c r="E74" t="s">
        <v>633</v>
      </c>
      <c r="F74" t="s">
        <v>243</v>
      </c>
      <c r="G74" t="s">
        <v>797</v>
      </c>
      <c r="H74" t="s">
        <v>14</v>
      </c>
      <c r="I74" t="s">
        <v>138</v>
      </c>
      <c r="J74" t="s">
        <v>798</v>
      </c>
      <c r="K74" t="s">
        <v>799</v>
      </c>
      <c r="L74" t="s">
        <v>842</v>
      </c>
      <c r="M74" s="5">
        <v>45389</v>
      </c>
      <c r="N74" s="5">
        <v>45383</v>
      </c>
      <c r="O74">
        <v>3</v>
      </c>
      <c r="P74">
        <v>42.6</v>
      </c>
      <c r="Q74">
        <v>59.64</v>
      </c>
      <c r="R74">
        <v>0.05</v>
      </c>
      <c r="S74">
        <v>169.97</v>
      </c>
      <c r="T74" t="s">
        <v>876</v>
      </c>
      <c r="U74">
        <v>127.8</v>
      </c>
      <c r="V74">
        <v>42.17</v>
      </c>
    </row>
    <row r="75" spans="1:22" x14ac:dyDescent="0.35">
      <c r="A75" t="s">
        <v>1037</v>
      </c>
      <c r="B75" t="s">
        <v>855</v>
      </c>
      <c r="C75" t="s">
        <v>230</v>
      </c>
      <c r="D75" t="s">
        <v>231</v>
      </c>
      <c r="E75" t="s">
        <v>637</v>
      </c>
      <c r="F75" t="s">
        <v>235</v>
      </c>
      <c r="G75" t="s">
        <v>797</v>
      </c>
      <c r="H75" t="s">
        <v>20</v>
      </c>
      <c r="I75" t="s">
        <v>119</v>
      </c>
      <c r="J75" t="s">
        <v>798</v>
      </c>
      <c r="K75" t="s">
        <v>799</v>
      </c>
      <c r="L75" t="s">
        <v>800</v>
      </c>
      <c r="M75" s="5">
        <v>45869</v>
      </c>
      <c r="N75" s="5">
        <v>45866</v>
      </c>
      <c r="O75">
        <v>2</v>
      </c>
      <c r="P75">
        <v>40.94</v>
      </c>
      <c r="Q75">
        <v>53.22</v>
      </c>
      <c r="R75">
        <v>0.1</v>
      </c>
      <c r="S75">
        <v>95.8</v>
      </c>
      <c r="T75" t="s">
        <v>790</v>
      </c>
      <c r="U75">
        <v>81.88</v>
      </c>
      <c r="V75">
        <v>13.92</v>
      </c>
    </row>
    <row r="76" spans="1:22" x14ac:dyDescent="0.35">
      <c r="A76" t="s">
        <v>1039</v>
      </c>
      <c r="B76" t="s">
        <v>1040</v>
      </c>
      <c r="C76" t="s">
        <v>442</v>
      </c>
      <c r="D76" t="s">
        <v>443</v>
      </c>
      <c r="E76" t="s">
        <v>633</v>
      </c>
      <c r="F76" t="s">
        <v>235</v>
      </c>
      <c r="G76" t="s">
        <v>20</v>
      </c>
      <c r="H76" t="s">
        <v>14</v>
      </c>
      <c r="I76" t="s">
        <v>194</v>
      </c>
      <c r="J76" t="s">
        <v>786</v>
      </c>
      <c r="K76" t="s">
        <v>799</v>
      </c>
      <c r="L76" t="s">
        <v>800</v>
      </c>
      <c r="M76" s="5">
        <v>45976</v>
      </c>
      <c r="N76" s="5">
        <v>45972</v>
      </c>
      <c r="O76">
        <v>1</v>
      </c>
      <c r="P76">
        <v>20.32</v>
      </c>
      <c r="Q76">
        <v>25.4</v>
      </c>
      <c r="R76">
        <v>0.1</v>
      </c>
      <c r="S76">
        <v>22.86</v>
      </c>
      <c r="T76" t="s">
        <v>946</v>
      </c>
      <c r="U76">
        <v>20.32</v>
      </c>
      <c r="V76">
        <v>2.54</v>
      </c>
    </row>
    <row r="77" spans="1:22" x14ac:dyDescent="0.35">
      <c r="A77" t="s">
        <v>1042</v>
      </c>
      <c r="B77" t="s">
        <v>1043</v>
      </c>
      <c r="C77" t="s">
        <v>452</v>
      </c>
      <c r="D77" t="s">
        <v>420</v>
      </c>
      <c r="E77" t="s">
        <v>681</v>
      </c>
      <c r="F77" t="s">
        <v>264</v>
      </c>
      <c r="G77" t="s">
        <v>14</v>
      </c>
      <c r="H77" t="s">
        <v>8</v>
      </c>
      <c r="I77" t="s">
        <v>10</v>
      </c>
      <c r="J77" t="s">
        <v>813</v>
      </c>
      <c r="K77" t="s">
        <v>799</v>
      </c>
      <c r="L77" t="s">
        <v>842</v>
      </c>
      <c r="M77" s="5">
        <v>45779</v>
      </c>
      <c r="N77" s="5">
        <v>45781</v>
      </c>
      <c r="O77">
        <v>1</v>
      </c>
      <c r="P77">
        <v>22.74</v>
      </c>
      <c r="Q77">
        <v>28.42</v>
      </c>
      <c r="R77">
        <v>0</v>
      </c>
      <c r="S77">
        <v>28.42</v>
      </c>
      <c r="T77" t="s">
        <v>814</v>
      </c>
      <c r="U77">
        <v>22.74</v>
      </c>
      <c r="V77">
        <v>5.68</v>
      </c>
    </row>
    <row r="78" spans="1:22" x14ac:dyDescent="0.35">
      <c r="A78" t="s">
        <v>1045</v>
      </c>
      <c r="B78" t="s">
        <v>853</v>
      </c>
      <c r="C78" t="s">
        <v>455</v>
      </c>
      <c r="D78" t="s">
        <v>456</v>
      </c>
      <c r="E78" t="s">
        <v>681</v>
      </c>
      <c r="F78" t="s">
        <v>264</v>
      </c>
      <c r="G78" t="s">
        <v>797</v>
      </c>
      <c r="H78" t="s">
        <v>38</v>
      </c>
      <c r="I78" t="s">
        <v>126</v>
      </c>
      <c r="J78" t="s">
        <v>786</v>
      </c>
      <c r="K78" t="s">
        <v>799</v>
      </c>
      <c r="L78" t="s">
        <v>818</v>
      </c>
      <c r="M78" s="5">
        <v>45866</v>
      </c>
      <c r="N78" s="5">
        <v>45862</v>
      </c>
      <c r="O78">
        <v>5</v>
      </c>
      <c r="P78">
        <v>41.95</v>
      </c>
      <c r="Q78">
        <v>58.73</v>
      </c>
      <c r="R78">
        <v>0</v>
      </c>
      <c r="S78">
        <v>293.64999999999998</v>
      </c>
      <c r="T78" t="s">
        <v>1017</v>
      </c>
      <c r="U78">
        <v>209.75</v>
      </c>
      <c r="V78">
        <v>83.9</v>
      </c>
    </row>
    <row r="79" spans="1:22" x14ac:dyDescent="0.35">
      <c r="A79" t="s">
        <v>1046</v>
      </c>
      <c r="B79" t="s">
        <v>1047</v>
      </c>
      <c r="C79" t="s">
        <v>334</v>
      </c>
      <c r="D79" t="s">
        <v>335</v>
      </c>
      <c r="E79" t="s">
        <v>637</v>
      </c>
      <c r="F79" t="s">
        <v>243</v>
      </c>
      <c r="G79" t="s">
        <v>797</v>
      </c>
      <c r="H79" t="s">
        <v>43</v>
      </c>
      <c r="I79" t="s">
        <v>53</v>
      </c>
      <c r="J79" t="s">
        <v>798</v>
      </c>
      <c r="K79" t="s">
        <v>799</v>
      </c>
      <c r="L79" t="s">
        <v>800</v>
      </c>
      <c r="M79" s="5">
        <v>45499</v>
      </c>
      <c r="N79" s="5">
        <v>45493</v>
      </c>
      <c r="O79">
        <v>10</v>
      </c>
      <c r="P79">
        <v>54.93</v>
      </c>
      <c r="Q79">
        <v>79.650000000000006</v>
      </c>
      <c r="R79">
        <v>0</v>
      </c>
      <c r="S79">
        <v>796.5</v>
      </c>
      <c r="T79" t="s">
        <v>876</v>
      </c>
      <c r="U79">
        <v>549.29999999999995</v>
      </c>
      <c r="V79">
        <v>247.2</v>
      </c>
    </row>
    <row r="80" spans="1:22" x14ac:dyDescent="0.35">
      <c r="A80" t="s">
        <v>1050</v>
      </c>
      <c r="B80" t="s">
        <v>1051</v>
      </c>
      <c r="C80" t="s">
        <v>337</v>
      </c>
      <c r="D80" t="s">
        <v>338</v>
      </c>
      <c r="E80" t="s">
        <v>637</v>
      </c>
      <c r="F80" t="s">
        <v>243</v>
      </c>
      <c r="G80" t="s">
        <v>20</v>
      </c>
      <c r="H80" t="s">
        <v>43</v>
      </c>
      <c r="I80" t="s">
        <v>99</v>
      </c>
      <c r="J80" t="s">
        <v>798</v>
      </c>
      <c r="K80" t="s">
        <v>799</v>
      </c>
      <c r="L80" t="s">
        <v>788</v>
      </c>
      <c r="M80" s="5">
        <v>45947</v>
      </c>
      <c r="N80" s="5">
        <v>45949</v>
      </c>
      <c r="O80">
        <v>1</v>
      </c>
      <c r="P80">
        <v>10.88</v>
      </c>
      <c r="Q80">
        <v>15.78</v>
      </c>
      <c r="R80">
        <v>0.05</v>
      </c>
      <c r="S80">
        <v>14.99</v>
      </c>
      <c r="T80" t="s">
        <v>839</v>
      </c>
      <c r="U80">
        <v>10.88</v>
      </c>
      <c r="V80">
        <v>4.1100000000000003</v>
      </c>
    </row>
    <row r="81" spans="1:22" x14ac:dyDescent="0.35">
      <c r="A81" t="s">
        <v>1054</v>
      </c>
      <c r="B81" t="s">
        <v>1055</v>
      </c>
      <c r="C81" t="s">
        <v>532</v>
      </c>
      <c r="D81" t="s">
        <v>533</v>
      </c>
      <c r="E81" t="s">
        <v>696</v>
      </c>
      <c r="F81" t="s">
        <v>235</v>
      </c>
      <c r="G81" t="s">
        <v>20</v>
      </c>
      <c r="H81" t="s">
        <v>20</v>
      </c>
      <c r="I81" t="s">
        <v>196</v>
      </c>
      <c r="J81" t="s">
        <v>798</v>
      </c>
      <c r="K81" t="s">
        <v>799</v>
      </c>
      <c r="L81" t="s">
        <v>788</v>
      </c>
      <c r="M81" s="5">
        <v>46052</v>
      </c>
      <c r="N81" s="5">
        <v>46048</v>
      </c>
      <c r="O81">
        <v>5</v>
      </c>
      <c r="P81">
        <v>15.78</v>
      </c>
      <c r="Q81">
        <v>19.72</v>
      </c>
      <c r="R81">
        <v>0.15</v>
      </c>
      <c r="S81">
        <v>83.81</v>
      </c>
      <c r="T81" t="s">
        <v>803</v>
      </c>
      <c r="U81">
        <v>78.900000000000006</v>
      </c>
      <c r="V81">
        <v>4.91</v>
      </c>
    </row>
    <row r="82" spans="1:22" x14ac:dyDescent="0.35">
      <c r="A82" t="s">
        <v>1058</v>
      </c>
      <c r="B82" t="s">
        <v>975</v>
      </c>
      <c r="C82" t="s">
        <v>324</v>
      </c>
      <c r="D82" t="s">
        <v>296</v>
      </c>
      <c r="E82" t="s">
        <v>696</v>
      </c>
      <c r="F82" t="s">
        <v>264</v>
      </c>
      <c r="G82" t="s">
        <v>14</v>
      </c>
      <c r="H82" t="s">
        <v>48</v>
      </c>
      <c r="I82" t="s">
        <v>143</v>
      </c>
      <c r="J82" t="s">
        <v>798</v>
      </c>
      <c r="K82" t="s">
        <v>793</v>
      </c>
      <c r="L82" t="s">
        <v>818</v>
      </c>
      <c r="M82" s="5">
        <v>46047</v>
      </c>
      <c r="O82">
        <v>12</v>
      </c>
      <c r="P82">
        <v>29.93</v>
      </c>
      <c r="Q82">
        <v>38.909999999999997</v>
      </c>
      <c r="R82">
        <v>0.05</v>
      </c>
      <c r="S82">
        <v>443.57</v>
      </c>
      <c r="T82" t="s">
        <v>946</v>
      </c>
      <c r="U82">
        <v>359.16</v>
      </c>
      <c r="V82">
        <v>84.41</v>
      </c>
    </row>
    <row r="83" spans="1:22" x14ac:dyDescent="0.35">
      <c r="A83" t="s">
        <v>1059</v>
      </c>
      <c r="B83" t="s">
        <v>927</v>
      </c>
      <c r="C83" t="s">
        <v>411</v>
      </c>
      <c r="D83" t="s">
        <v>412</v>
      </c>
      <c r="E83" t="s">
        <v>696</v>
      </c>
      <c r="F83" t="s">
        <v>235</v>
      </c>
      <c r="G83" t="s">
        <v>48</v>
      </c>
      <c r="H83" t="s">
        <v>14</v>
      </c>
      <c r="I83" t="s">
        <v>128</v>
      </c>
      <c r="J83" t="s">
        <v>786</v>
      </c>
      <c r="K83" t="s">
        <v>799</v>
      </c>
      <c r="L83" t="s">
        <v>788</v>
      </c>
      <c r="M83" s="5">
        <v>46015</v>
      </c>
      <c r="N83" s="5">
        <v>46011</v>
      </c>
      <c r="O83">
        <v>2</v>
      </c>
      <c r="P83">
        <v>18.850000000000001</v>
      </c>
      <c r="Q83">
        <v>27.33</v>
      </c>
      <c r="R83">
        <v>0</v>
      </c>
      <c r="S83">
        <v>54.66</v>
      </c>
      <c r="T83" t="s">
        <v>876</v>
      </c>
      <c r="U83">
        <v>37.700000000000003</v>
      </c>
      <c r="V83">
        <v>16.96</v>
      </c>
    </row>
    <row r="84" spans="1:22" x14ac:dyDescent="0.35">
      <c r="A84" t="s">
        <v>1062</v>
      </c>
      <c r="B84" t="s">
        <v>1063</v>
      </c>
      <c r="C84" t="s">
        <v>423</v>
      </c>
      <c r="D84" t="s">
        <v>424</v>
      </c>
      <c r="E84" t="s">
        <v>637</v>
      </c>
      <c r="F84" t="s">
        <v>235</v>
      </c>
      <c r="G84" t="s">
        <v>20</v>
      </c>
      <c r="H84" t="s">
        <v>38</v>
      </c>
      <c r="I84" t="s">
        <v>71</v>
      </c>
      <c r="J84" t="s">
        <v>786</v>
      </c>
      <c r="K84" t="s">
        <v>799</v>
      </c>
      <c r="L84" t="s">
        <v>788</v>
      </c>
      <c r="M84" s="5">
        <v>46022</v>
      </c>
      <c r="N84" s="5">
        <v>46018</v>
      </c>
      <c r="O84">
        <v>1</v>
      </c>
      <c r="P84">
        <v>17.62</v>
      </c>
      <c r="Q84">
        <v>24.67</v>
      </c>
      <c r="R84">
        <v>0</v>
      </c>
      <c r="S84">
        <v>24.67</v>
      </c>
      <c r="T84" t="s">
        <v>963</v>
      </c>
      <c r="U84">
        <v>17.62</v>
      </c>
      <c r="V84">
        <v>7.05</v>
      </c>
    </row>
    <row r="85" spans="1:22" x14ac:dyDescent="0.35">
      <c r="A85" t="s">
        <v>1066</v>
      </c>
      <c r="B85" t="s">
        <v>1067</v>
      </c>
      <c r="C85" t="s">
        <v>582</v>
      </c>
      <c r="D85" t="s">
        <v>583</v>
      </c>
      <c r="E85" t="s">
        <v>633</v>
      </c>
      <c r="F85" t="s">
        <v>264</v>
      </c>
      <c r="G85" t="s">
        <v>48</v>
      </c>
      <c r="H85" t="s">
        <v>20</v>
      </c>
      <c r="I85" t="s">
        <v>196</v>
      </c>
      <c r="J85" t="s">
        <v>813</v>
      </c>
      <c r="K85" t="s">
        <v>799</v>
      </c>
      <c r="L85" t="s">
        <v>788</v>
      </c>
      <c r="M85" s="5">
        <v>46026</v>
      </c>
      <c r="N85" s="5">
        <v>46029</v>
      </c>
      <c r="O85">
        <v>5</v>
      </c>
      <c r="P85">
        <v>15.78</v>
      </c>
      <c r="Q85">
        <v>19.72</v>
      </c>
      <c r="R85">
        <v>0.1</v>
      </c>
      <c r="S85">
        <v>88.74</v>
      </c>
      <c r="T85" t="s">
        <v>790</v>
      </c>
      <c r="U85">
        <v>78.900000000000006</v>
      </c>
      <c r="V85">
        <v>9.84</v>
      </c>
    </row>
    <row r="86" spans="1:22" x14ac:dyDescent="0.35">
      <c r="A86" t="s">
        <v>1069</v>
      </c>
      <c r="B86" t="s">
        <v>1070</v>
      </c>
      <c r="C86" t="s">
        <v>609</v>
      </c>
      <c r="D86" t="s">
        <v>610</v>
      </c>
      <c r="E86" t="s">
        <v>633</v>
      </c>
      <c r="G86" t="s">
        <v>14</v>
      </c>
      <c r="H86" t="s">
        <v>43</v>
      </c>
      <c r="I86" t="s">
        <v>75</v>
      </c>
      <c r="J86" t="s">
        <v>798</v>
      </c>
      <c r="K86" t="s">
        <v>822</v>
      </c>
      <c r="L86" t="s">
        <v>818</v>
      </c>
      <c r="M86" s="5">
        <v>46026</v>
      </c>
      <c r="N86" s="5">
        <v>46024</v>
      </c>
      <c r="O86">
        <v>12</v>
      </c>
      <c r="P86">
        <v>24.35</v>
      </c>
      <c r="Q86">
        <v>34.090000000000003</v>
      </c>
      <c r="R86">
        <v>0.15</v>
      </c>
      <c r="S86">
        <v>347.72</v>
      </c>
      <c r="T86" t="s">
        <v>790</v>
      </c>
      <c r="U86">
        <v>292.2</v>
      </c>
      <c r="V86">
        <v>55.52</v>
      </c>
    </row>
    <row r="87" spans="1:22" x14ac:dyDescent="0.35">
      <c r="A87" t="s">
        <v>1071</v>
      </c>
      <c r="B87" t="s">
        <v>1072</v>
      </c>
      <c r="C87" t="s">
        <v>520</v>
      </c>
      <c r="D87" t="s">
        <v>521</v>
      </c>
      <c r="E87" t="s">
        <v>254</v>
      </c>
      <c r="F87" t="s">
        <v>243</v>
      </c>
      <c r="G87" t="s">
        <v>797</v>
      </c>
      <c r="H87" t="s">
        <v>8</v>
      </c>
      <c r="I87" t="s">
        <v>207</v>
      </c>
      <c r="J87" t="s">
        <v>813</v>
      </c>
      <c r="K87" t="s">
        <v>799</v>
      </c>
      <c r="L87" t="s">
        <v>788</v>
      </c>
      <c r="M87" s="5">
        <v>45727</v>
      </c>
      <c r="N87" s="5">
        <v>45729</v>
      </c>
      <c r="O87">
        <v>2</v>
      </c>
      <c r="P87">
        <v>8.5399999999999991</v>
      </c>
      <c r="Q87">
        <v>10.67</v>
      </c>
      <c r="R87">
        <v>0</v>
      </c>
      <c r="S87">
        <v>21.34</v>
      </c>
      <c r="T87" t="s">
        <v>810</v>
      </c>
      <c r="U87">
        <v>17.079999999999998</v>
      </c>
      <c r="V87">
        <v>4.26</v>
      </c>
    </row>
    <row r="88" spans="1:22" x14ac:dyDescent="0.35">
      <c r="A88" t="s">
        <v>1075</v>
      </c>
      <c r="B88" t="s">
        <v>1076</v>
      </c>
      <c r="C88" t="s">
        <v>351</v>
      </c>
      <c r="D88" t="s">
        <v>352</v>
      </c>
      <c r="E88" t="s">
        <v>637</v>
      </c>
      <c r="F88" t="s">
        <v>264</v>
      </c>
      <c r="G88" t="s">
        <v>797</v>
      </c>
      <c r="H88" t="s">
        <v>20</v>
      </c>
      <c r="I88" t="s">
        <v>163</v>
      </c>
      <c r="J88" t="s">
        <v>786</v>
      </c>
      <c r="K88" t="s">
        <v>793</v>
      </c>
      <c r="L88" t="s">
        <v>842</v>
      </c>
      <c r="M88" s="5">
        <v>46005</v>
      </c>
      <c r="O88">
        <v>5</v>
      </c>
      <c r="P88">
        <v>55.3</v>
      </c>
      <c r="Q88">
        <v>74.66</v>
      </c>
      <c r="R88">
        <v>0</v>
      </c>
      <c r="S88">
        <v>373.3</v>
      </c>
      <c r="T88" t="s">
        <v>845</v>
      </c>
      <c r="U88">
        <v>276.5</v>
      </c>
      <c r="V88">
        <v>96.8</v>
      </c>
    </row>
    <row r="89" spans="1:22" x14ac:dyDescent="0.35">
      <c r="A89" t="s">
        <v>1078</v>
      </c>
      <c r="B89" t="s">
        <v>1079</v>
      </c>
      <c r="C89" t="s">
        <v>578</v>
      </c>
      <c r="D89" t="s">
        <v>368</v>
      </c>
      <c r="E89" t="s">
        <v>681</v>
      </c>
      <c r="F89" t="s">
        <v>235</v>
      </c>
      <c r="G89" t="s">
        <v>14</v>
      </c>
      <c r="H89" t="s">
        <v>48</v>
      </c>
      <c r="I89" t="s">
        <v>179</v>
      </c>
      <c r="J89" t="s">
        <v>798</v>
      </c>
      <c r="K89" t="s">
        <v>799</v>
      </c>
      <c r="L89" t="s">
        <v>818</v>
      </c>
      <c r="M89" s="5">
        <v>45403</v>
      </c>
      <c r="N89" s="5">
        <v>45401</v>
      </c>
      <c r="O89">
        <v>1</v>
      </c>
      <c r="P89">
        <v>16.670000000000002</v>
      </c>
      <c r="Q89">
        <v>22.5</v>
      </c>
      <c r="R89">
        <v>0</v>
      </c>
      <c r="S89">
        <v>22.5</v>
      </c>
      <c r="T89" t="s">
        <v>892</v>
      </c>
      <c r="U89">
        <v>16.670000000000002</v>
      </c>
      <c r="V89">
        <v>5.83</v>
      </c>
    </row>
    <row r="90" spans="1:22" x14ac:dyDescent="0.35">
      <c r="A90" t="s">
        <v>1082</v>
      </c>
      <c r="B90" t="s">
        <v>927</v>
      </c>
      <c r="C90" t="s">
        <v>459</v>
      </c>
      <c r="D90" t="s">
        <v>460</v>
      </c>
      <c r="E90" t="s">
        <v>696</v>
      </c>
      <c r="F90" t="s">
        <v>264</v>
      </c>
      <c r="G90" t="s">
        <v>797</v>
      </c>
      <c r="H90" t="s">
        <v>38</v>
      </c>
      <c r="I90" t="s">
        <v>132</v>
      </c>
      <c r="J90" t="s">
        <v>786</v>
      </c>
      <c r="K90" t="s">
        <v>799</v>
      </c>
      <c r="L90" t="s">
        <v>842</v>
      </c>
      <c r="M90" s="5">
        <v>46015</v>
      </c>
      <c r="N90" s="5">
        <v>46005</v>
      </c>
      <c r="O90">
        <v>2</v>
      </c>
      <c r="P90">
        <v>12.71</v>
      </c>
      <c r="Q90">
        <v>17.79</v>
      </c>
      <c r="R90">
        <v>0</v>
      </c>
      <c r="S90">
        <v>35.58</v>
      </c>
      <c r="T90" t="s">
        <v>1017</v>
      </c>
      <c r="U90">
        <v>25.42</v>
      </c>
      <c r="V90">
        <v>10.16</v>
      </c>
    </row>
    <row r="91" spans="1:22" x14ac:dyDescent="0.35">
      <c r="A91" t="s">
        <v>1083</v>
      </c>
      <c r="B91" t="s">
        <v>1084</v>
      </c>
      <c r="C91" t="s">
        <v>388</v>
      </c>
      <c r="D91" t="s">
        <v>389</v>
      </c>
      <c r="E91" t="s">
        <v>681</v>
      </c>
      <c r="F91" t="s">
        <v>243</v>
      </c>
      <c r="G91" t="s">
        <v>20</v>
      </c>
      <c r="H91" t="s">
        <v>8</v>
      </c>
      <c r="I91" t="s">
        <v>65</v>
      </c>
      <c r="J91" t="s">
        <v>798</v>
      </c>
      <c r="K91" t="s">
        <v>799</v>
      </c>
      <c r="L91" t="s">
        <v>788</v>
      </c>
      <c r="M91" s="5">
        <v>45934</v>
      </c>
      <c r="N91" s="5">
        <v>45932</v>
      </c>
      <c r="O91">
        <v>1</v>
      </c>
      <c r="P91">
        <v>30.16</v>
      </c>
      <c r="Q91">
        <v>40.72</v>
      </c>
      <c r="R91">
        <v>0.15</v>
      </c>
      <c r="S91">
        <v>34.61</v>
      </c>
      <c r="T91" t="s">
        <v>963</v>
      </c>
      <c r="U91">
        <v>30.16</v>
      </c>
      <c r="V91">
        <v>4.45</v>
      </c>
    </row>
    <row r="92" spans="1:22" x14ac:dyDescent="0.35">
      <c r="A92" t="s">
        <v>1086</v>
      </c>
      <c r="B92" t="s">
        <v>1087</v>
      </c>
      <c r="C92" t="s">
        <v>580</v>
      </c>
      <c r="D92" t="s">
        <v>581</v>
      </c>
      <c r="E92" t="s">
        <v>254</v>
      </c>
      <c r="F92" t="s">
        <v>235</v>
      </c>
      <c r="G92" t="s">
        <v>797</v>
      </c>
      <c r="H92" t="s">
        <v>43</v>
      </c>
      <c r="I92" t="s">
        <v>44</v>
      </c>
      <c r="J92" t="s">
        <v>813</v>
      </c>
      <c r="K92" t="s">
        <v>799</v>
      </c>
      <c r="L92" t="s">
        <v>818</v>
      </c>
      <c r="M92" s="5">
        <v>45754</v>
      </c>
      <c r="N92" s="5">
        <v>45756</v>
      </c>
      <c r="O92">
        <v>20</v>
      </c>
      <c r="P92">
        <v>14.05</v>
      </c>
      <c r="Q92">
        <v>19.670000000000002</v>
      </c>
      <c r="R92">
        <v>0</v>
      </c>
      <c r="S92">
        <v>393.4</v>
      </c>
      <c r="T92" t="s">
        <v>876</v>
      </c>
      <c r="U92">
        <v>281</v>
      </c>
      <c r="V92">
        <v>112.4</v>
      </c>
    </row>
    <row r="93" spans="1:22" x14ac:dyDescent="0.35">
      <c r="A93" t="s">
        <v>1089</v>
      </c>
      <c r="B93" t="s">
        <v>1090</v>
      </c>
      <c r="C93" t="s">
        <v>342</v>
      </c>
      <c r="D93" t="s">
        <v>245</v>
      </c>
      <c r="E93" t="s">
        <v>674</v>
      </c>
      <c r="F93" t="s">
        <v>235</v>
      </c>
      <c r="G93" t="s">
        <v>14</v>
      </c>
      <c r="H93" t="s">
        <v>29</v>
      </c>
      <c r="I93" t="s">
        <v>158</v>
      </c>
      <c r="J93" t="s">
        <v>798</v>
      </c>
      <c r="K93" t="s">
        <v>793</v>
      </c>
      <c r="L93" t="s">
        <v>788</v>
      </c>
      <c r="M93" s="5">
        <v>45868</v>
      </c>
      <c r="O93">
        <v>3</v>
      </c>
      <c r="P93">
        <v>25.8</v>
      </c>
      <c r="Q93">
        <v>36.119999999999997</v>
      </c>
      <c r="R93">
        <v>0</v>
      </c>
      <c r="S93">
        <v>108.36</v>
      </c>
      <c r="T93" t="s">
        <v>888</v>
      </c>
      <c r="U93">
        <v>77.400000000000006</v>
      </c>
      <c r="V93">
        <v>30.96</v>
      </c>
    </row>
    <row r="94" spans="1:22" x14ac:dyDescent="0.35">
      <c r="A94" t="s">
        <v>1091</v>
      </c>
      <c r="B94" t="s">
        <v>1092</v>
      </c>
      <c r="C94" t="s">
        <v>283</v>
      </c>
      <c r="D94" t="s">
        <v>284</v>
      </c>
      <c r="E94" t="s">
        <v>637</v>
      </c>
      <c r="F94" t="s">
        <v>264</v>
      </c>
      <c r="G94" t="s">
        <v>48</v>
      </c>
      <c r="H94" t="s">
        <v>8</v>
      </c>
      <c r="I94" t="s">
        <v>101</v>
      </c>
      <c r="J94" t="s">
        <v>798</v>
      </c>
      <c r="K94" t="s">
        <v>799</v>
      </c>
      <c r="L94" t="s">
        <v>818</v>
      </c>
      <c r="M94" s="5">
        <v>45629</v>
      </c>
      <c r="N94" s="5">
        <v>45628</v>
      </c>
      <c r="O94">
        <v>3</v>
      </c>
      <c r="P94">
        <v>16.510000000000002</v>
      </c>
      <c r="Q94">
        <v>23.94</v>
      </c>
      <c r="R94">
        <v>0.1</v>
      </c>
      <c r="S94">
        <v>64.64</v>
      </c>
      <c r="T94" t="s">
        <v>790</v>
      </c>
      <c r="U94">
        <v>49.53</v>
      </c>
      <c r="V94">
        <v>15.11</v>
      </c>
    </row>
    <row r="95" spans="1:22" x14ac:dyDescent="0.35">
      <c r="A95" t="s">
        <v>1094</v>
      </c>
      <c r="B95" t="s">
        <v>1095</v>
      </c>
      <c r="C95" t="s">
        <v>522</v>
      </c>
      <c r="D95" t="s">
        <v>523</v>
      </c>
      <c r="E95" t="s">
        <v>674</v>
      </c>
      <c r="F95" t="s">
        <v>264</v>
      </c>
      <c r="G95" t="s">
        <v>48</v>
      </c>
      <c r="H95" t="s">
        <v>43</v>
      </c>
      <c r="I95" t="s">
        <v>222</v>
      </c>
      <c r="J95" t="s">
        <v>798</v>
      </c>
      <c r="K95" t="s">
        <v>799</v>
      </c>
      <c r="L95" t="s">
        <v>788</v>
      </c>
      <c r="M95" s="5">
        <v>45373</v>
      </c>
      <c r="N95" s="5">
        <v>45375</v>
      </c>
      <c r="O95">
        <v>1</v>
      </c>
      <c r="P95">
        <v>37.1</v>
      </c>
      <c r="Q95">
        <v>48.23</v>
      </c>
      <c r="R95">
        <v>0.05</v>
      </c>
      <c r="S95">
        <v>45.82</v>
      </c>
      <c r="T95" t="s">
        <v>790</v>
      </c>
      <c r="U95">
        <v>37.1</v>
      </c>
      <c r="V95">
        <v>8.7200000000000006</v>
      </c>
    </row>
    <row r="96" spans="1:22" x14ac:dyDescent="0.35">
      <c r="A96" t="s">
        <v>1097</v>
      </c>
      <c r="B96" t="s">
        <v>915</v>
      </c>
      <c r="C96" t="s">
        <v>446</v>
      </c>
      <c r="D96" t="s">
        <v>447</v>
      </c>
      <c r="E96" t="s">
        <v>674</v>
      </c>
      <c r="F96" t="s">
        <v>243</v>
      </c>
      <c r="G96" t="s">
        <v>20</v>
      </c>
      <c r="H96" t="s">
        <v>48</v>
      </c>
      <c r="I96" t="s">
        <v>190</v>
      </c>
      <c r="J96" t="s">
        <v>798</v>
      </c>
      <c r="K96" t="s">
        <v>793</v>
      </c>
      <c r="L96" t="s">
        <v>800</v>
      </c>
      <c r="M96" s="5">
        <v>45712</v>
      </c>
      <c r="O96">
        <v>5</v>
      </c>
      <c r="P96">
        <v>21.56</v>
      </c>
      <c r="Q96">
        <v>31.26</v>
      </c>
      <c r="R96">
        <v>0</v>
      </c>
      <c r="S96">
        <v>156.30000000000001</v>
      </c>
      <c r="T96" t="s">
        <v>946</v>
      </c>
      <c r="U96">
        <v>107.8</v>
      </c>
      <c r="V96">
        <v>48.5</v>
      </c>
    </row>
    <row r="97" spans="1:22" x14ac:dyDescent="0.35">
      <c r="A97" t="s">
        <v>1098</v>
      </c>
      <c r="B97" t="s">
        <v>1099</v>
      </c>
      <c r="C97" t="s">
        <v>536</v>
      </c>
      <c r="D97" t="s">
        <v>537</v>
      </c>
      <c r="E97" t="s">
        <v>637</v>
      </c>
      <c r="F97" t="s">
        <v>235</v>
      </c>
      <c r="G97" t="s">
        <v>20</v>
      </c>
      <c r="H97" t="s">
        <v>14</v>
      </c>
      <c r="I97" t="s">
        <v>63</v>
      </c>
      <c r="J97" t="s">
        <v>798</v>
      </c>
      <c r="K97" t="s">
        <v>787</v>
      </c>
      <c r="L97" t="s">
        <v>800</v>
      </c>
      <c r="M97" s="5">
        <v>45842</v>
      </c>
      <c r="O97">
        <v>10</v>
      </c>
      <c r="P97">
        <v>13.03</v>
      </c>
      <c r="Q97">
        <v>16.29</v>
      </c>
      <c r="R97">
        <v>0.05</v>
      </c>
      <c r="S97">
        <v>154.75</v>
      </c>
      <c r="T97" t="s">
        <v>794</v>
      </c>
      <c r="U97">
        <v>130.30000000000001</v>
      </c>
      <c r="V97">
        <v>24.45</v>
      </c>
    </row>
    <row r="98" spans="1:22" x14ac:dyDescent="0.35">
      <c r="A98" t="s">
        <v>1101</v>
      </c>
      <c r="B98" t="s">
        <v>1053</v>
      </c>
      <c r="C98" t="s">
        <v>560</v>
      </c>
      <c r="D98" t="s">
        <v>292</v>
      </c>
      <c r="E98" t="s">
        <v>674</v>
      </c>
      <c r="F98" t="s">
        <v>264</v>
      </c>
      <c r="G98" t="s">
        <v>48</v>
      </c>
      <c r="H98" t="s">
        <v>20</v>
      </c>
      <c r="I98" t="s">
        <v>39</v>
      </c>
      <c r="J98" t="s">
        <v>798</v>
      </c>
      <c r="K98" t="s">
        <v>793</v>
      </c>
      <c r="L98" t="s">
        <v>842</v>
      </c>
      <c r="M98" s="5">
        <v>45956</v>
      </c>
      <c r="O98">
        <v>5</v>
      </c>
      <c r="P98">
        <v>9.5</v>
      </c>
      <c r="Q98">
        <v>12.83</v>
      </c>
      <c r="R98">
        <v>0.05</v>
      </c>
      <c r="S98">
        <v>60.94</v>
      </c>
      <c r="T98" t="s">
        <v>1017</v>
      </c>
      <c r="U98">
        <v>47.5</v>
      </c>
      <c r="V98">
        <v>13.44</v>
      </c>
    </row>
    <row r="99" spans="1:22" x14ac:dyDescent="0.35">
      <c r="A99" t="s">
        <v>1102</v>
      </c>
      <c r="B99" t="s">
        <v>1103</v>
      </c>
      <c r="C99" t="s">
        <v>260</v>
      </c>
      <c r="D99" t="s">
        <v>261</v>
      </c>
      <c r="E99" t="s">
        <v>627</v>
      </c>
      <c r="F99" t="s">
        <v>264</v>
      </c>
      <c r="G99" t="s">
        <v>20</v>
      </c>
      <c r="H99" t="s">
        <v>20</v>
      </c>
      <c r="I99" t="s">
        <v>102</v>
      </c>
      <c r="J99" t="s">
        <v>798</v>
      </c>
      <c r="K99" t="s">
        <v>799</v>
      </c>
      <c r="L99" t="s">
        <v>818</v>
      </c>
      <c r="M99" s="5">
        <v>45852</v>
      </c>
      <c r="N99" s="5">
        <v>45850</v>
      </c>
      <c r="O99">
        <v>3</v>
      </c>
      <c r="P99">
        <v>19.04</v>
      </c>
      <c r="Q99">
        <v>25.7</v>
      </c>
      <c r="R99">
        <v>0.05</v>
      </c>
      <c r="S99">
        <v>73.239999999999995</v>
      </c>
      <c r="T99" t="s">
        <v>829</v>
      </c>
      <c r="U99">
        <v>57.12</v>
      </c>
      <c r="V99">
        <v>16.12</v>
      </c>
    </row>
    <row r="100" spans="1:22" x14ac:dyDescent="0.35">
      <c r="A100" t="s">
        <v>1105</v>
      </c>
      <c r="B100" t="s">
        <v>953</v>
      </c>
      <c r="C100" t="s">
        <v>434</v>
      </c>
      <c r="D100" t="s">
        <v>435</v>
      </c>
      <c r="E100" t="s">
        <v>627</v>
      </c>
      <c r="F100" t="s">
        <v>264</v>
      </c>
      <c r="G100" t="s">
        <v>797</v>
      </c>
      <c r="H100" t="s">
        <v>8</v>
      </c>
      <c r="I100" t="s">
        <v>73</v>
      </c>
      <c r="J100" t="s">
        <v>813</v>
      </c>
      <c r="K100" t="s">
        <v>817</v>
      </c>
      <c r="L100" t="s">
        <v>842</v>
      </c>
      <c r="M100" s="5">
        <v>45962</v>
      </c>
      <c r="O100">
        <v>3</v>
      </c>
      <c r="P100">
        <v>67.95</v>
      </c>
      <c r="Q100">
        <v>88.34</v>
      </c>
      <c r="R100">
        <v>0.15</v>
      </c>
      <c r="S100">
        <v>225.27</v>
      </c>
      <c r="T100" t="s">
        <v>834</v>
      </c>
      <c r="U100">
        <v>203.85</v>
      </c>
      <c r="V100">
        <v>21.42</v>
      </c>
    </row>
    <row r="101" spans="1:22" x14ac:dyDescent="0.35">
      <c r="A101" t="s">
        <v>1106</v>
      </c>
      <c r="B101" t="s">
        <v>1107</v>
      </c>
      <c r="C101" t="s">
        <v>614</v>
      </c>
      <c r="D101" t="s">
        <v>615</v>
      </c>
      <c r="E101" t="s">
        <v>674</v>
      </c>
      <c r="F101" t="s">
        <v>235</v>
      </c>
      <c r="G101" t="s">
        <v>20</v>
      </c>
      <c r="H101" t="s">
        <v>20</v>
      </c>
      <c r="I101" t="s">
        <v>137</v>
      </c>
      <c r="J101" t="s">
        <v>798</v>
      </c>
      <c r="K101" t="s">
        <v>787</v>
      </c>
      <c r="L101" t="s">
        <v>818</v>
      </c>
      <c r="M101" s="5">
        <v>45514</v>
      </c>
      <c r="O101">
        <v>12</v>
      </c>
      <c r="P101">
        <v>23.58</v>
      </c>
      <c r="Q101">
        <v>31.83</v>
      </c>
      <c r="R101">
        <v>0.15</v>
      </c>
      <c r="S101">
        <v>324.67</v>
      </c>
      <c r="T101" t="s">
        <v>834</v>
      </c>
      <c r="U101">
        <v>282.95999999999998</v>
      </c>
      <c r="V101">
        <v>41.71</v>
      </c>
    </row>
    <row r="102" spans="1:22" x14ac:dyDescent="0.35">
      <c r="A102" t="s">
        <v>1109</v>
      </c>
      <c r="B102" t="s">
        <v>1110</v>
      </c>
      <c r="C102" t="s">
        <v>260</v>
      </c>
      <c r="D102" t="s">
        <v>261</v>
      </c>
      <c r="E102" t="s">
        <v>696</v>
      </c>
      <c r="F102" t="s">
        <v>264</v>
      </c>
      <c r="G102" t="s">
        <v>20</v>
      </c>
      <c r="H102" t="s">
        <v>8</v>
      </c>
      <c r="I102" t="s">
        <v>73</v>
      </c>
      <c r="J102" t="s">
        <v>813</v>
      </c>
      <c r="K102" t="s">
        <v>787</v>
      </c>
      <c r="L102" t="s">
        <v>788</v>
      </c>
      <c r="M102" s="5">
        <v>45997</v>
      </c>
      <c r="O102">
        <v>5</v>
      </c>
      <c r="P102">
        <v>67.95</v>
      </c>
      <c r="Q102">
        <v>88.34</v>
      </c>
      <c r="R102">
        <v>0</v>
      </c>
      <c r="S102">
        <v>441.7</v>
      </c>
      <c r="T102" t="s">
        <v>790</v>
      </c>
      <c r="U102">
        <v>339.75</v>
      </c>
      <c r="V102">
        <v>101.95</v>
      </c>
    </row>
    <row r="103" spans="1:22" x14ac:dyDescent="0.35">
      <c r="A103" t="s">
        <v>1111</v>
      </c>
      <c r="B103" t="s">
        <v>1112</v>
      </c>
      <c r="C103" t="s">
        <v>390</v>
      </c>
      <c r="D103" t="s">
        <v>391</v>
      </c>
      <c r="E103" t="s">
        <v>633</v>
      </c>
      <c r="F103" t="s">
        <v>235</v>
      </c>
      <c r="G103" t="s">
        <v>797</v>
      </c>
      <c r="H103" t="s">
        <v>79</v>
      </c>
      <c r="I103" t="s">
        <v>108</v>
      </c>
      <c r="J103" t="s">
        <v>798</v>
      </c>
      <c r="K103" t="s">
        <v>793</v>
      </c>
      <c r="L103" t="s">
        <v>800</v>
      </c>
      <c r="M103" s="5">
        <v>45371</v>
      </c>
      <c r="O103">
        <v>3</v>
      </c>
      <c r="P103">
        <v>9.3000000000000007</v>
      </c>
      <c r="Q103">
        <v>12.56</v>
      </c>
      <c r="R103">
        <v>0</v>
      </c>
      <c r="S103">
        <v>37.68</v>
      </c>
      <c r="T103" t="s">
        <v>935</v>
      </c>
      <c r="U103">
        <v>27.9</v>
      </c>
      <c r="V103">
        <v>9.7799999999999994</v>
      </c>
    </row>
    <row r="104" spans="1:22" x14ac:dyDescent="0.35">
      <c r="A104" t="s">
        <v>1114</v>
      </c>
      <c r="B104" t="s">
        <v>1115</v>
      </c>
      <c r="C104" t="s">
        <v>525</v>
      </c>
      <c r="D104" t="s">
        <v>526</v>
      </c>
      <c r="E104" t="s">
        <v>254</v>
      </c>
      <c r="F104" t="s">
        <v>243</v>
      </c>
      <c r="G104" t="s">
        <v>14</v>
      </c>
      <c r="H104" t="s">
        <v>29</v>
      </c>
      <c r="I104" t="s">
        <v>145</v>
      </c>
      <c r="J104" t="s">
        <v>798</v>
      </c>
      <c r="K104" t="s">
        <v>799</v>
      </c>
      <c r="L104" t="s">
        <v>842</v>
      </c>
      <c r="M104" s="5">
        <v>45988</v>
      </c>
      <c r="N104" s="5">
        <v>45987</v>
      </c>
      <c r="O104">
        <v>3</v>
      </c>
      <c r="P104">
        <v>57.16</v>
      </c>
      <c r="Q104">
        <v>82.88</v>
      </c>
      <c r="R104">
        <v>0.15</v>
      </c>
      <c r="S104">
        <v>211.34</v>
      </c>
      <c r="T104" t="s">
        <v>834</v>
      </c>
      <c r="U104">
        <v>171.48</v>
      </c>
      <c r="V104">
        <v>39.86</v>
      </c>
    </row>
    <row r="105" spans="1:22" x14ac:dyDescent="0.35">
      <c r="A105" t="s">
        <v>1117</v>
      </c>
      <c r="B105" t="s">
        <v>1118</v>
      </c>
      <c r="C105" t="s">
        <v>419</v>
      </c>
      <c r="D105" t="s">
        <v>420</v>
      </c>
      <c r="E105" t="s">
        <v>637</v>
      </c>
      <c r="F105" t="s">
        <v>243</v>
      </c>
      <c r="G105" t="s">
        <v>14</v>
      </c>
      <c r="H105" t="s">
        <v>43</v>
      </c>
      <c r="I105" t="s">
        <v>141</v>
      </c>
      <c r="J105" t="s">
        <v>798</v>
      </c>
      <c r="K105" t="s">
        <v>793</v>
      </c>
      <c r="L105" t="s">
        <v>818</v>
      </c>
      <c r="M105" s="5">
        <v>45813</v>
      </c>
      <c r="O105">
        <v>10</v>
      </c>
      <c r="P105">
        <v>17.2</v>
      </c>
      <c r="Q105">
        <v>22.36</v>
      </c>
      <c r="R105">
        <v>0.05</v>
      </c>
      <c r="S105">
        <v>212.42</v>
      </c>
      <c r="T105" t="s">
        <v>935</v>
      </c>
      <c r="U105">
        <v>172</v>
      </c>
      <c r="V105">
        <v>40.42</v>
      </c>
    </row>
    <row r="106" spans="1:22" x14ac:dyDescent="0.35">
      <c r="A106" t="s">
        <v>1120</v>
      </c>
      <c r="B106" t="s">
        <v>1121</v>
      </c>
      <c r="C106" t="s">
        <v>500</v>
      </c>
      <c r="D106" t="s">
        <v>447</v>
      </c>
      <c r="E106" t="s">
        <v>674</v>
      </c>
      <c r="F106" t="s">
        <v>235</v>
      </c>
      <c r="G106" t="s">
        <v>14</v>
      </c>
      <c r="H106" t="s">
        <v>20</v>
      </c>
      <c r="I106" t="s">
        <v>104</v>
      </c>
      <c r="J106" t="s">
        <v>813</v>
      </c>
      <c r="K106" t="s">
        <v>793</v>
      </c>
      <c r="L106" t="s">
        <v>800</v>
      </c>
      <c r="M106" s="5">
        <v>45971</v>
      </c>
      <c r="O106">
        <v>10</v>
      </c>
      <c r="P106">
        <v>43.88</v>
      </c>
      <c r="Q106">
        <v>54.85</v>
      </c>
      <c r="R106">
        <v>0.15</v>
      </c>
      <c r="S106">
        <v>466.22</v>
      </c>
      <c r="T106" t="s">
        <v>888</v>
      </c>
      <c r="U106">
        <v>438.8</v>
      </c>
      <c r="V106">
        <v>27.42</v>
      </c>
    </row>
    <row r="107" spans="1:22" x14ac:dyDescent="0.35">
      <c r="A107" t="s">
        <v>1123</v>
      </c>
      <c r="B107" t="s">
        <v>1124</v>
      </c>
      <c r="C107" t="s">
        <v>455</v>
      </c>
      <c r="D107" t="s">
        <v>456</v>
      </c>
      <c r="E107" t="s">
        <v>254</v>
      </c>
      <c r="F107" t="s">
        <v>264</v>
      </c>
      <c r="G107" t="s">
        <v>14</v>
      </c>
      <c r="H107" t="s">
        <v>48</v>
      </c>
      <c r="I107" t="s">
        <v>217</v>
      </c>
      <c r="J107" t="s">
        <v>798</v>
      </c>
      <c r="K107" t="s">
        <v>787</v>
      </c>
      <c r="L107" t="s">
        <v>842</v>
      </c>
      <c r="M107" s="5">
        <v>45604</v>
      </c>
      <c r="O107">
        <v>1</v>
      </c>
      <c r="P107">
        <v>24.07</v>
      </c>
      <c r="Q107">
        <v>34.9</v>
      </c>
      <c r="R107">
        <v>0.1</v>
      </c>
      <c r="S107">
        <v>31.41</v>
      </c>
      <c r="T107" t="s">
        <v>946</v>
      </c>
      <c r="U107">
        <v>24.07</v>
      </c>
      <c r="V107">
        <v>7.34</v>
      </c>
    </row>
    <row r="108" spans="1:22" x14ac:dyDescent="0.35">
      <c r="A108" t="s">
        <v>1125</v>
      </c>
      <c r="B108" t="s">
        <v>872</v>
      </c>
      <c r="C108" t="s">
        <v>530</v>
      </c>
      <c r="D108" t="s">
        <v>531</v>
      </c>
      <c r="E108" t="s">
        <v>254</v>
      </c>
      <c r="F108" t="s">
        <v>235</v>
      </c>
      <c r="G108" t="s">
        <v>797</v>
      </c>
      <c r="H108" t="s">
        <v>29</v>
      </c>
      <c r="I108" t="s">
        <v>183</v>
      </c>
      <c r="J108" t="s">
        <v>798</v>
      </c>
      <c r="K108" t="s">
        <v>822</v>
      </c>
      <c r="L108" t="s">
        <v>800</v>
      </c>
      <c r="M108" s="5">
        <v>45702</v>
      </c>
      <c r="N108" s="5">
        <v>45704</v>
      </c>
      <c r="O108">
        <v>20</v>
      </c>
      <c r="P108">
        <v>10.97</v>
      </c>
      <c r="Q108">
        <v>15.91</v>
      </c>
      <c r="R108">
        <v>0</v>
      </c>
      <c r="S108">
        <v>318.2</v>
      </c>
      <c r="T108" t="s">
        <v>876</v>
      </c>
      <c r="U108">
        <v>219.4</v>
      </c>
      <c r="V108">
        <v>98.8</v>
      </c>
    </row>
    <row r="109" spans="1:22" x14ac:dyDescent="0.35">
      <c r="A109" t="s">
        <v>1128</v>
      </c>
      <c r="B109" t="s">
        <v>956</v>
      </c>
      <c r="C109" t="s">
        <v>369</v>
      </c>
      <c r="D109" t="s">
        <v>282</v>
      </c>
      <c r="E109" t="s">
        <v>674</v>
      </c>
      <c r="F109" t="s">
        <v>243</v>
      </c>
      <c r="G109" t="s">
        <v>14</v>
      </c>
      <c r="H109" t="s">
        <v>43</v>
      </c>
      <c r="I109" t="s">
        <v>215</v>
      </c>
      <c r="J109" t="s">
        <v>798</v>
      </c>
      <c r="K109" t="s">
        <v>787</v>
      </c>
      <c r="L109" t="s">
        <v>842</v>
      </c>
      <c r="M109" s="5">
        <v>45444</v>
      </c>
      <c r="O109">
        <v>3</v>
      </c>
      <c r="P109">
        <v>28.96</v>
      </c>
      <c r="Q109">
        <v>40.54</v>
      </c>
      <c r="R109">
        <v>0.1</v>
      </c>
      <c r="S109">
        <v>109.46</v>
      </c>
      <c r="T109" t="s">
        <v>845</v>
      </c>
      <c r="U109">
        <v>86.88</v>
      </c>
      <c r="V109">
        <v>22.58</v>
      </c>
    </row>
    <row r="110" spans="1:22" x14ac:dyDescent="0.35">
      <c r="A110" t="s">
        <v>1130</v>
      </c>
      <c r="B110" t="s">
        <v>1131</v>
      </c>
      <c r="C110" t="s">
        <v>303</v>
      </c>
      <c r="D110" t="s">
        <v>304</v>
      </c>
      <c r="E110" t="s">
        <v>633</v>
      </c>
      <c r="F110" t="s">
        <v>243</v>
      </c>
      <c r="G110" t="s">
        <v>14</v>
      </c>
      <c r="H110" t="s">
        <v>14</v>
      </c>
      <c r="I110" t="s">
        <v>56</v>
      </c>
      <c r="J110" t="s">
        <v>798</v>
      </c>
      <c r="K110" t="s">
        <v>793</v>
      </c>
      <c r="L110" t="s">
        <v>818</v>
      </c>
      <c r="M110" s="5">
        <v>45959</v>
      </c>
      <c r="O110">
        <v>5</v>
      </c>
      <c r="P110">
        <v>25.46</v>
      </c>
      <c r="Q110">
        <v>31.83</v>
      </c>
      <c r="R110">
        <v>0</v>
      </c>
      <c r="S110">
        <v>159.15</v>
      </c>
      <c r="T110" t="s">
        <v>814</v>
      </c>
      <c r="U110">
        <v>127.3</v>
      </c>
      <c r="V110">
        <v>31.85</v>
      </c>
    </row>
    <row r="111" spans="1:22" x14ac:dyDescent="0.35">
      <c r="A111" t="s">
        <v>1132</v>
      </c>
      <c r="B111" t="s">
        <v>955</v>
      </c>
      <c r="C111" t="s">
        <v>395</v>
      </c>
      <c r="D111" t="s">
        <v>396</v>
      </c>
      <c r="E111" t="s">
        <v>254</v>
      </c>
      <c r="F111" t="s">
        <v>264</v>
      </c>
      <c r="G111" t="s">
        <v>797</v>
      </c>
      <c r="H111" t="s">
        <v>79</v>
      </c>
      <c r="I111" t="s">
        <v>88</v>
      </c>
      <c r="J111" t="s">
        <v>813</v>
      </c>
      <c r="K111" t="s">
        <v>793</v>
      </c>
      <c r="L111" t="s">
        <v>818</v>
      </c>
      <c r="M111" s="5">
        <v>45426</v>
      </c>
      <c r="O111">
        <v>10</v>
      </c>
      <c r="P111">
        <v>11.82</v>
      </c>
      <c r="Q111">
        <v>17.14</v>
      </c>
      <c r="R111">
        <v>0.05</v>
      </c>
      <c r="S111">
        <v>162.83000000000001</v>
      </c>
      <c r="T111" t="s">
        <v>1134</v>
      </c>
      <c r="U111">
        <v>118.2</v>
      </c>
      <c r="V111">
        <v>44.63</v>
      </c>
    </row>
    <row r="112" spans="1:22" x14ac:dyDescent="0.35">
      <c r="A112" t="s">
        <v>1135</v>
      </c>
      <c r="B112" t="s">
        <v>1136</v>
      </c>
      <c r="C112" t="s">
        <v>585</v>
      </c>
      <c r="D112" t="s">
        <v>586</v>
      </c>
      <c r="E112" t="s">
        <v>627</v>
      </c>
      <c r="F112" t="s">
        <v>235</v>
      </c>
      <c r="G112" t="s">
        <v>797</v>
      </c>
      <c r="H112" t="s">
        <v>8</v>
      </c>
      <c r="I112" t="s">
        <v>91</v>
      </c>
      <c r="J112" t="s">
        <v>798</v>
      </c>
      <c r="K112" t="s">
        <v>799</v>
      </c>
      <c r="L112" t="s">
        <v>818</v>
      </c>
      <c r="M112" s="5">
        <v>45930</v>
      </c>
      <c r="N112" s="5">
        <v>45929</v>
      </c>
      <c r="O112">
        <v>1</v>
      </c>
      <c r="P112">
        <v>36.82</v>
      </c>
      <c r="Q112">
        <v>47.87</v>
      </c>
      <c r="R112">
        <v>0</v>
      </c>
      <c r="S112">
        <v>47.87</v>
      </c>
      <c r="T112" t="s">
        <v>839</v>
      </c>
      <c r="U112">
        <v>36.82</v>
      </c>
      <c r="V112">
        <v>11.05</v>
      </c>
    </row>
    <row r="113" spans="1:22" x14ac:dyDescent="0.35">
      <c r="A113" t="s">
        <v>1138</v>
      </c>
      <c r="B113" t="s">
        <v>923</v>
      </c>
      <c r="C113" t="s">
        <v>592</v>
      </c>
      <c r="D113" t="s">
        <v>478</v>
      </c>
      <c r="E113" t="s">
        <v>681</v>
      </c>
      <c r="F113" t="s">
        <v>243</v>
      </c>
      <c r="G113" t="s">
        <v>14</v>
      </c>
      <c r="H113" t="s">
        <v>8</v>
      </c>
      <c r="I113" t="s">
        <v>129</v>
      </c>
      <c r="J113" t="s">
        <v>798</v>
      </c>
      <c r="K113" t="s">
        <v>793</v>
      </c>
      <c r="L113" t="s">
        <v>800</v>
      </c>
      <c r="M113" s="5">
        <v>45551</v>
      </c>
      <c r="O113">
        <v>5</v>
      </c>
      <c r="P113">
        <v>22.15</v>
      </c>
      <c r="Q113">
        <v>31.01</v>
      </c>
      <c r="R113">
        <v>0.05</v>
      </c>
      <c r="S113">
        <v>147.30000000000001</v>
      </c>
      <c r="T113" t="s">
        <v>845</v>
      </c>
      <c r="U113">
        <v>110.75</v>
      </c>
      <c r="V113">
        <v>36.549999999999997</v>
      </c>
    </row>
    <row r="114" spans="1:22" x14ac:dyDescent="0.35">
      <c r="A114" t="s">
        <v>1140</v>
      </c>
      <c r="B114" t="s">
        <v>1141</v>
      </c>
      <c r="C114" t="s">
        <v>614</v>
      </c>
      <c r="D114" t="s">
        <v>615</v>
      </c>
      <c r="E114" t="s">
        <v>633</v>
      </c>
      <c r="F114" t="s">
        <v>235</v>
      </c>
      <c r="G114" t="s">
        <v>14</v>
      </c>
      <c r="H114" t="s">
        <v>8</v>
      </c>
      <c r="I114" t="s">
        <v>181</v>
      </c>
      <c r="J114" t="s">
        <v>813</v>
      </c>
      <c r="K114" t="s">
        <v>799</v>
      </c>
      <c r="L114" t="s">
        <v>842</v>
      </c>
      <c r="M114" s="5">
        <v>45751</v>
      </c>
      <c r="N114" s="5">
        <v>45757</v>
      </c>
      <c r="O114">
        <v>3</v>
      </c>
      <c r="P114">
        <v>20.49</v>
      </c>
      <c r="Q114">
        <v>29.71</v>
      </c>
      <c r="R114">
        <v>0</v>
      </c>
      <c r="S114">
        <v>89.13</v>
      </c>
      <c r="T114" t="s">
        <v>888</v>
      </c>
      <c r="U114">
        <v>61.47</v>
      </c>
      <c r="V114">
        <v>27.66</v>
      </c>
    </row>
    <row r="115" spans="1:22" x14ac:dyDescent="0.35">
      <c r="A115" t="s">
        <v>1143</v>
      </c>
      <c r="B115" t="s">
        <v>1049</v>
      </c>
      <c r="C115" t="s">
        <v>599</v>
      </c>
      <c r="D115" t="s">
        <v>600</v>
      </c>
      <c r="E115" t="s">
        <v>681</v>
      </c>
      <c r="F115" t="s">
        <v>243</v>
      </c>
      <c r="G115" t="s">
        <v>797</v>
      </c>
      <c r="H115" t="s">
        <v>8</v>
      </c>
      <c r="I115" t="s">
        <v>23</v>
      </c>
      <c r="J115" t="s">
        <v>813</v>
      </c>
      <c r="K115" t="s">
        <v>787</v>
      </c>
      <c r="L115" t="s">
        <v>842</v>
      </c>
      <c r="M115" s="5">
        <v>45496</v>
      </c>
      <c r="O115">
        <v>1</v>
      </c>
      <c r="P115">
        <v>58.47</v>
      </c>
      <c r="Q115">
        <v>84.78</v>
      </c>
      <c r="R115">
        <v>0.1</v>
      </c>
      <c r="S115">
        <v>76.3</v>
      </c>
      <c r="T115" t="s">
        <v>803</v>
      </c>
      <c r="U115">
        <v>58.47</v>
      </c>
      <c r="V115">
        <v>17.829999999999998</v>
      </c>
    </row>
    <row r="116" spans="1:22" x14ac:dyDescent="0.35">
      <c r="A116" t="s">
        <v>1145</v>
      </c>
      <c r="B116" t="s">
        <v>1146</v>
      </c>
      <c r="C116" t="s">
        <v>382</v>
      </c>
      <c r="D116" t="s">
        <v>383</v>
      </c>
      <c r="E116" t="s">
        <v>254</v>
      </c>
      <c r="F116" t="s">
        <v>264</v>
      </c>
      <c r="G116" t="s">
        <v>14</v>
      </c>
      <c r="H116" t="s">
        <v>8</v>
      </c>
      <c r="I116" t="s">
        <v>101</v>
      </c>
      <c r="J116" t="s">
        <v>798</v>
      </c>
      <c r="K116" t="s">
        <v>817</v>
      </c>
      <c r="L116" t="s">
        <v>818</v>
      </c>
      <c r="M116" s="5">
        <v>45713</v>
      </c>
      <c r="O116">
        <v>2</v>
      </c>
      <c r="P116">
        <v>16.510000000000002</v>
      </c>
      <c r="Q116">
        <v>23.94</v>
      </c>
      <c r="R116">
        <v>0.15</v>
      </c>
      <c r="S116">
        <v>40.700000000000003</v>
      </c>
      <c r="T116" t="s">
        <v>888</v>
      </c>
      <c r="U116">
        <v>33.020000000000003</v>
      </c>
      <c r="V116">
        <v>7.68</v>
      </c>
    </row>
    <row r="117" spans="1:22" x14ac:dyDescent="0.35">
      <c r="A117" t="s">
        <v>1148</v>
      </c>
      <c r="B117" t="s">
        <v>1149</v>
      </c>
      <c r="C117" t="s">
        <v>388</v>
      </c>
      <c r="D117" t="s">
        <v>389</v>
      </c>
      <c r="E117" t="s">
        <v>637</v>
      </c>
      <c r="F117" t="s">
        <v>243</v>
      </c>
      <c r="G117" t="s">
        <v>14</v>
      </c>
      <c r="H117" t="s">
        <v>48</v>
      </c>
      <c r="I117" t="s">
        <v>179</v>
      </c>
      <c r="J117" t="s">
        <v>786</v>
      </c>
      <c r="K117" t="s">
        <v>787</v>
      </c>
      <c r="L117" t="s">
        <v>842</v>
      </c>
      <c r="M117" s="5">
        <v>45680</v>
      </c>
      <c r="O117">
        <v>2</v>
      </c>
      <c r="P117">
        <v>16.670000000000002</v>
      </c>
      <c r="Q117">
        <v>22.5</v>
      </c>
      <c r="R117">
        <v>0.05</v>
      </c>
      <c r="S117">
        <v>42.75</v>
      </c>
      <c r="T117" t="s">
        <v>814</v>
      </c>
      <c r="U117">
        <v>33.340000000000003</v>
      </c>
      <c r="V117">
        <v>9.41</v>
      </c>
    </row>
    <row r="118" spans="1:22" x14ac:dyDescent="0.35">
      <c r="A118" t="s">
        <v>1150</v>
      </c>
      <c r="B118" t="s">
        <v>1118</v>
      </c>
      <c r="C118" t="s">
        <v>574</v>
      </c>
      <c r="D118" t="s">
        <v>458</v>
      </c>
      <c r="E118" t="s">
        <v>674</v>
      </c>
      <c r="G118" t="s">
        <v>20</v>
      </c>
      <c r="H118" t="s">
        <v>14</v>
      </c>
      <c r="I118" t="s">
        <v>12</v>
      </c>
      <c r="J118" t="s">
        <v>786</v>
      </c>
      <c r="K118" t="s">
        <v>799</v>
      </c>
      <c r="L118" t="s">
        <v>788</v>
      </c>
      <c r="M118" s="5">
        <v>45820</v>
      </c>
      <c r="N118" s="5">
        <v>45814</v>
      </c>
      <c r="O118">
        <v>12</v>
      </c>
      <c r="P118">
        <v>35.03</v>
      </c>
      <c r="Q118">
        <v>50.79</v>
      </c>
      <c r="R118">
        <v>0.1</v>
      </c>
      <c r="S118">
        <v>548.53</v>
      </c>
      <c r="T118" t="s">
        <v>888</v>
      </c>
      <c r="U118">
        <v>420.36</v>
      </c>
      <c r="V118">
        <v>128.16999999999999</v>
      </c>
    </row>
    <row r="119" spans="1:22" x14ac:dyDescent="0.35">
      <c r="A119" t="s">
        <v>1153</v>
      </c>
      <c r="B119" t="s">
        <v>1154</v>
      </c>
      <c r="C119" t="s">
        <v>538</v>
      </c>
      <c r="D119" t="s">
        <v>539</v>
      </c>
      <c r="E119" t="s">
        <v>627</v>
      </c>
      <c r="F119" t="s">
        <v>264</v>
      </c>
      <c r="G119" t="s">
        <v>14</v>
      </c>
      <c r="H119" t="s">
        <v>43</v>
      </c>
      <c r="I119" t="s">
        <v>161</v>
      </c>
      <c r="J119" t="s">
        <v>786</v>
      </c>
      <c r="K119" t="s">
        <v>799</v>
      </c>
      <c r="L119" t="s">
        <v>818</v>
      </c>
      <c r="M119" s="5">
        <v>45469</v>
      </c>
      <c r="N119" s="5">
        <v>45459</v>
      </c>
      <c r="O119">
        <v>3</v>
      </c>
      <c r="P119">
        <v>21.74</v>
      </c>
      <c r="Q119">
        <v>30.44</v>
      </c>
      <c r="R119">
        <v>0</v>
      </c>
      <c r="S119">
        <v>91.32</v>
      </c>
      <c r="T119" t="s">
        <v>829</v>
      </c>
      <c r="U119">
        <v>65.22</v>
      </c>
      <c r="V119">
        <v>26.1</v>
      </c>
    </row>
    <row r="120" spans="1:22" x14ac:dyDescent="0.35">
      <c r="A120" t="s">
        <v>1156</v>
      </c>
      <c r="B120" t="s">
        <v>1157</v>
      </c>
      <c r="C120" t="s">
        <v>295</v>
      </c>
      <c r="D120" t="s">
        <v>296</v>
      </c>
      <c r="E120" t="s">
        <v>633</v>
      </c>
      <c r="F120" t="s">
        <v>264</v>
      </c>
      <c r="G120" t="s">
        <v>797</v>
      </c>
      <c r="H120" t="s">
        <v>14</v>
      </c>
      <c r="I120" t="s">
        <v>60</v>
      </c>
      <c r="J120" t="s">
        <v>813</v>
      </c>
      <c r="K120" t="s">
        <v>793</v>
      </c>
      <c r="L120" t="s">
        <v>800</v>
      </c>
      <c r="M120" s="5">
        <v>45794</v>
      </c>
      <c r="O120">
        <v>5</v>
      </c>
      <c r="P120">
        <v>18.18</v>
      </c>
      <c r="Q120">
        <v>24.54</v>
      </c>
      <c r="R120">
        <v>0.05</v>
      </c>
      <c r="S120">
        <v>116.56</v>
      </c>
      <c r="T120" t="s">
        <v>819</v>
      </c>
      <c r="U120">
        <v>90.9</v>
      </c>
      <c r="V120">
        <v>25.66</v>
      </c>
    </row>
    <row r="121" spans="1:22" x14ac:dyDescent="0.35">
      <c r="A121" t="s">
        <v>1159</v>
      </c>
      <c r="B121" t="s">
        <v>1142</v>
      </c>
      <c r="C121" t="s">
        <v>276</v>
      </c>
      <c r="D121" t="s">
        <v>277</v>
      </c>
      <c r="E121" t="s">
        <v>681</v>
      </c>
      <c r="F121" t="s">
        <v>243</v>
      </c>
      <c r="G121" t="s">
        <v>797</v>
      </c>
      <c r="H121" t="s">
        <v>38</v>
      </c>
      <c r="I121" t="s">
        <v>82</v>
      </c>
      <c r="J121" t="s">
        <v>798</v>
      </c>
      <c r="K121" t="s">
        <v>799</v>
      </c>
      <c r="L121" t="s">
        <v>800</v>
      </c>
      <c r="M121" s="5">
        <v>45764</v>
      </c>
      <c r="N121" s="5">
        <v>45767</v>
      </c>
      <c r="O121">
        <v>1</v>
      </c>
      <c r="P121">
        <v>12.54</v>
      </c>
      <c r="Q121">
        <v>16.93</v>
      </c>
      <c r="R121">
        <v>0.15</v>
      </c>
      <c r="S121">
        <v>14.39</v>
      </c>
      <c r="T121" t="s">
        <v>1017</v>
      </c>
      <c r="U121">
        <v>12.54</v>
      </c>
      <c r="V121">
        <v>1.85</v>
      </c>
    </row>
    <row r="122" spans="1:22" x14ac:dyDescent="0.35">
      <c r="A122" t="s">
        <v>1161</v>
      </c>
      <c r="B122" t="s">
        <v>1162</v>
      </c>
      <c r="C122" t="s">
        <v>364</v>
      </c>
      <c r="D122" t="s">
        <v>365</v>
      </c>
      <c r="E122" t="s">
        <v>696</v>
      </c>
      <c r="F122" t="s">
        <v>243</v>
      </c>
      <c r="G122" t="s">
        <v>14</v>
      </c>
      <c r="H122" t="s">
        <v>48</v>
      </c>
      <c r="I122" t="s">
        <v>84</v>
      </c>
      <c r="J122" t="s">
        <v>798</v>
      </c>
      <c r="K122" t="s">
        <v>799</v>
      </c>
      <c r="L122" t="s">
        <v>842</v>
      </c>
      <c r="M122" s="5">
        <v>45856</v>
      </c>
      <c r="N122" s="5">
        <v>45856</v>
      </c>
      <c r="O122">
        <v>3</v>
      </c>
      <c r="P122">
        <v>27.52</v>
      </c>
      <c r="Q122">
        <v>34.4</v>
      </c>
      <c r="R122">
        <v>0.1</v>
      </c>
      <c r="S122">
        <v>92.88</v>
      </c>
      <c r="T122" t="s">
        <v>1017</v>
      </c>
      <c r="U122">
        <v>82.56</v>
      </c>
      <c r="V122">
        <v>10.32</v>
      </c>
    </row>
    <row r="123" spans="1:22" x14ac:dyDescent="0.35">
      <c r="A123" t="s">
        <v>1164</v>
      </c>
      <c r="B123" t="s">
        <v>843</v>
      </c>
      <c r="C123" t="s">
        <v>469</v>
      </c>
      <c r="D123" t="s">
        <v>470</v>
      </c>
      <c r="E123" t="s">
        <v>633</v>
      </c>
      <c r="F123" t="s">
        <v>235</v>
      </c>
      <c r="G123" t="s">
        <v>20</v>
      </c>
      <c r="H123" t="s">
        <v>14</v>
      </c>
      <c r="I123" t="s">
        <v>167</v>
      </c>
      <c r="J123" t="s">
        <v>798</v>
      </c>
      <c r="K123" t="s">
        <v>799</v>
      </c>
      <c r="L123" t="s">
        <v>842</v>
      </c>
      <c r="M123" s="5">
        <v>45527</v>
      </c>
      <c r="N123" s="5">
        <v>45528</v>
      </c>
      <c r="O123">
        <v>3</v>
      </c>
      <c r="P123">
        <v>18.62</v>
      </c>
      <c r="Q123">
        <v>26.07</v>
      </c>
      <c r="R123">
        <v>0.1</v>
      </c>
      <c r="S123">
        <v>70.39</v>
      </c>
      <c r="T123" t="s">
        <v>888</v>
      </c>
      <c r="U123">
        <v>55.86</v>
      </c>
      <c r="V123">
        <v>14.53</v>
      </c>
    </row>
    <row r="124" spans="1:22" x14ac:dyDescent="0.35">
      <c r="A124" t="s">
        <v>1166</v>
      </c>
      <c r="B124" t="s">
        <v>1167</v>
      </c>
      <c r="C124" t="s">
        <v>306</v>
      </c>
      <c r="D124" t="s">
        <v>307</v>
      </c>
      <c r="E124" t="s">
        <v>627</v>
      </c>
      <c r="G124" t="s">
        <v>14</v>
      </c>
      <c r="H124" t="s">
        <v>43</v>
      </c>
      <c r="I124" t="s">
        <v>141</v>
      </c>
      <c r="J124" t="s">
        <v>798</v>
      </c>
      <c r="K124" t="s">
        <v>793</v>
      </c>
      <c r="L124" t="s">
        <v>800</v>
      </c>
      <c r="M124" s="5">
        <v>45468</v>
      </c>
      <c r="O124">
        <v>3</v>
      </c>
      <c r="P124">
        <v>17.2</v>
      </c>
      <c r="Q124">
        <v>22.36</v>
      </c>
      <c r="R124">
        <v>0.1</v>
      </c>
      <c r="S124">
        <v>60.37</v>
      </c>
      <c r="T124" t="s">
        <v>1001</v>
      </c>
      <c r="U124">
        <v>51.6</v>
      </c>
      <c r="V124">
        <v>8.77</v>
      </c>
    </row>
    <row r="125" spans="1:22" x14ac:dyDescent="0.35">
      <c r="A125" t="s">
        <v>1168</v>
      </c>
      <c r="B125" t="s">
        <v>1169</v>
      </c>
      <c r="C125" t="s">
        <v>474</v>
      </c>
      <c r="D125" t="s">
        <v>330</v>
      </c>
      <c r="E125" t="s">
        <v>637</v>
      </c>
      <c r="F125" t="s">
        <v>235</v>
      </c>
      <c r="G125" t="s">
        <v>797</v>
      </c>
      <c r="H125" t="s">
        <v>14</v>
      </c>
      <c r="I125" t="s">
        <v>186</v>
      </c>
      <c r="J125" t="s">
        <v>813</v>
      </c>
      <c r="K125" t="s">
        <v>799</v>
      </c>
      <c r="L125" t="s">
        <v>818</v>
      </c>
      <c r="M125" s="5">
        <v>45416</v>
      </c>
      <c r="N125" s="5">
        <v>45416</v>
      </c>
      <c r="O125">
        <v>2</v>
      </c>
      <c r="P125">
        <v>28.32</v>
      </c>
      <c r="Q125">
        <v>35.4</v>
      </c>
      <c r="R125">
        <v>0</v>
      </c>
      <c r="S125">
        <v>70.8</v>
      </c>
      <c r="T125" t="s">
        <v>803</v>
      </c>
      <c r="U125">
        <v>56.64</v>
      </c>
      <c r="V125">
        <v>14.16</v>
      </c>
    </row>
    <row r="126" spans="1:22" x14ac:dyDescent="0.35">
      <c r="A126" t="s">
        <v>1171</v>
      </c>
      <c r="B126" t="s">
        <v>1010</v>
      </c>
      <c r="C126" t="s">
        <v>257</v>
      </c>
      <c r="D126" t="s">
        <v>258</v>
      </c>
      <c r="E126" t="s">
        <v>674</v>
      </c>
      <c r="F126" t="s">
        <v>235</v>
      </c>
      <c r="G126" t="s">
        <v>797</v>
      </c>
      <c r="H126" t="s">
        <v>8</v>
      </c>
      <c r="I126" t="s">
        <v>192</v>
      </c>
      <c r="J126" t="s">
        <v>798</v>
      </c>
      <c r="K126" t="s">
        <v>787</v>
      </c>
      <c r="L126" t="s">
        <v>842</v>
      </c>
      <c r="M126" s="5">
        <v>45961</v>
      </c>
      <c r="O126">
        <v>12</v>
      </c>
      <c r="P126">
        <v>19.47</v>
      </c>
      <c r="Q126">
        <v>28.23</v>
      </c>
      <c r="R126">
        <v>0.1</v>
      </c>
      <c r="S126">
        <v>304.88</v>
      </c>
      <c r="T126" t="s">
        <v>888</v>
      </c>
      <c r="U126">
        <v>233.64</v>
      </c>
      <c r="V126">
        <v>71.239999999999995</v>
      </c>
    </row>
    <row r="127" spans="1:22" x14ac:dyDescent="0.35">
      <c r="A127" t="s">
        <v>1173</v>
      </c>
      <c r="B127" t="s">
        <v>1174</v>
      </c>
      <c r="C127" t="s">
        <v>405</v>
      </c>
      <c r="D127" t="s">
        <v>404</v>
      </c>
      <c r="E127" t="s">
        <v>674</v>
      </c>
      <c r="F127" t="s">
        <v>264</v>
      </c>
      <c r="G127" t="s">
        <v>14</v>
      </c>
      <c r="H127" t="s">
        <v>20</v>
      </c>
      <c r="I127" t="s">
        <v>137</v>
      </c>
      <c r="J127" t="s">
        <v>798</v>
      </c>
      <c r="K127" t="s">
        <v>817</v>
      </c>
      <c r="L127" t="s">
        <v>842</v>
      </c>
      <c r="M127" s="5">
        <v>45356</v>
      </c>
      <c r="O127">
        <v>2</v>
      </c>
      <c r="P127">
        <v>23.58</v>
      </c>
      <c r="Q127">
        <v>31.83</v>
      </c>
      <c r="R127">
        <v>0.15</v>
      </c>
      <c r="S127">
        <v>54.11</v>
      </c>
      <c r="T127" t="s">
        <v>825</v>
      </c>
      <c r="U127">
        <v>47.16</v>
      </c>
      <c r="V127">
        <v>6.95</v>
      </c>
    </row>
    <row r="128" spans="1:22" x14ac:dyDescent="0.35">
      <c r="A128" t="s">
        <v>1175</v>
      </c>
      <c r="B128" t="s">
        <v>945</v>
      </c>
      <c r="C128" t="s">
        <v>384</v>
      </c>
      <c r="D128" t="s">
        <v>385</v>
      </c>
      <c r="E128" t="s">
        <v>696</v>
      </c>
      <c r="F128" t="s">
        <v>264</v>
      </c>
      <c r="G128" t="s">
        <v>14</v>
      </c>
      <c r="H128" t="s">
        <v>20</v>
      </c>
      <c r="I128" t="s">
        <v>197</v>
      </c>
      <c r="J128" t="s">
        <v>798</v>
      </c>
      <c r="K128" t="s">
        <v>799</v>
      </c>
      <c r="L128" t="s">
        <v>788</v>
      </c>
      <c r="M128" s="5">
        <v>45589</v>
      </c>
      <c r="N128" s="5">
        <v>45585</v>
      </c>
      <c r="O128">
        <v>10</v>
      </c>
      <c r="P128">
        <v>22.45</v>
      </c>
      <c r="Q128">
        <v>29.18</v>
      </c>
      <c r="R128">
        <v>0.05</v>
      </c>
      <c r="S128">
        <v>277.20999999999998</v>
      </c>
      <c r="T128" t="s">
        <v>946</v>
      </c>
      <c r="U128">
        <v>224.5</v>
      </c>
      <c r="V128">
        <v>52.71</v>
      </c>
    </row>
    <row r="129" spans="1:22" x14ac:dyDescent="0.35">
      <c r="A129" t="s">
        <v>1177</v>
      </c>
      <c r="B129" t="s">
        <v>1178</v>
      </c>
      <c r="C129" t="s">
        <v>560</v>
      </c>
      <c r="D129" t="s">
        <v>292</v>
      </c>
      <c r="E129" t="s">
        <v>681</v>
      </c>
      <c r="F129" t="s">
        <v>264</v>
      </c>
      <c r="G129" t="s">
        <v>14</v>
      </c>
      <c r="H129" t="s">
        <v>29</v>
      </c>
      <c r="I129" t="s">
        <v>115</v>
      </c>
      <c r="J129" t="s">
        <v>813</v>
      </c>
      <c r="K129" t="s">
        <v>799</v>
      </c>
      <c r="L129" t="s">
        <v>818</v>
      </c>
      <c r="M129" s="5">
        <v>45891</v>
      </c>
      <c r="N129" s="5">
        <v>45890</v>
      </c>
      <c r="O129">
        <v>2</v>
      </c>
      <c r="P129">
        <v>34.340000000000003</v>
      </c>
      <c r="Q129">
        <v>44.64</v>
      </c>
      <c r="R129">
        <v>0.1</v>
      </c>
      <c r="S129">
        <v>80.349999999999994</v>
      </c>
      <c r="T129" t="s">
        <v>803</v>
      </c>
      <c r="U129">
        <v>68.680000000000007</v>
      </c>
      <c r="V129">
        <v>11.67</v>
      </c>
    </row>
    <row r="130" spans="1:22" x14ac:dyDescent="0.35">
      <c r="A130" t="s">
        <v>1180</v>
      </c>
      <c r="B130" t="s">
        <v>1165</v>
      </c>
      <c r="C130" t="s">
        <v>462</v>
      </c>
      <c r="D130" t="s">
        <v>396</v>
      </c>
      <c r="E130" t="s">
        <v>674</v>
      </c>
      <c r="F130" t="s">
        <v>264</v>
      </c>
      <c r="G130" t="s">
        <v>797</v>
      </c>
      <c r="H130" t="s">
        <v>38</v>
      </c>
      <c r="I130" t="s">
        <v>69</v>
      </c>
      <c r="J130" t="s">
        <v>798</v>
      </c>
      <c r="K130" t="s">
        <v>799</v>
      </c>
      <c r="L130" t="s">
        <v>818</v>
      </c>
      <c r="M130" s="5">
        <v>45534</v>
      </c>
      <c r="N130" s="5">
        <v>45529</v>
      </c>
      <c r="O130">
        <v>1</v>
      </c>
      <c r="P130">
        <v>20.9</v>
      </c>
      <c r="Q130">
        <v>28.21</v>
      </c>
      <c r="R130">
        <v>0</v>
      </c>
      <c r="S130">
        <v>28.21</v>
      </c>
      <c r="T130" t="s">
        <v>946</v>
      </c>
      <c r="U130">
        <v>20.9</v>
      </c>
      <c r="V130">
        <v>7.31</v>
      </c>
    </row>
    <row r="131" spans="1:22" x14ac:dyDescent="0.35">
      <c r="A131" t="s">
        <v>1183</v>
      </c>
      <c r="B131" t="s">
        <v>887</v>
      </c>
      <c r="C131" t="s">
        <v>557</v>
      </c>
      <c r="D131" t="s">
        <v>558</v>
      </c>
      <c r="E131" t="s">
        <v>627</v>
      </c>
      <c r="F131" t="s">
        <v>235</v>
      </c>
      <c r="G131" t="s">
        <v>797</v>
      </c>
      <c r="H131" t="s">
        <v>29</v>
      </c>
      <c r="I131" t="s">
        <v>154</v>
      </c>
      <c r="J131" t="s">
        <v>786</v>
      </c>
      <c r="K131" t="s">
        <v>799</v>
      </c>
      <c r="L131" t="s">
        <v>842</v>
      </c>
      <c r="M131" s="5">
        <v>45487</v>
      </c>
      <c r="N131" s="5">
        <v>45476</v>
      </c>
      <c r="O131">
        <v>20</v>
      </c>
      <c r="P131">
        <v>25.74</v>
      </c>
      <c r="Q131">
        <v>33.46</v>
      </c>
      <c r="R131">
        <v>0</v>
      </c>
      <c r="S131">
        <v>669.2</v>
      </c>
      <c r="T131" t="s">
        <v>819</v>
      </c>
      <c r="U131">
        <v>514.79999999999995</v>
      </c>
      <c r="V131">
        <v>154.4</v>
      </c>
    </row>
    <row r="132" spans="1:22" x14ac:dyDescent="0.35">
      <c r="A132" t="s">
        <v>1186</v>
      </c>
      <c r="B132" t="s">
        <v>879</v>
      </c>
      <c r="C132" t="s">
        <v>230</v>
      </c>
      <c r="D132" t="s">
        <v>231</v>
      </c>
      <c r="E132" t="s">
        <v>637</v>
      </c>
      <c r="F132" t="s">
        <v>235</v>
      </c>
      <c r="G132" t="s">
        <v>14</v>
      </c>
      <c r="H132" t="s">
        <v>79</v>
      </c>
      <c r="I132" t="s">
        <v>124</v>
      </c>
      <c r="J132" t="s">
        <v>798</v>
      </c>
      <c r="K132" t="s">
        <v>793</v>
      </c>
      <c r="L132" t="s">
        <v>842</v>
      </c>
      <c r="M132" s="5">
        <v>45916</v>
      </c>
      <c r="O132">
        <v>2</v>
      </c>
      <c r="P132">
        <v>29.44</v>
      </c>
      <c r="Q132">
        <v>41.22</v>
      </c>
      <c r="R132">
        <v>0.15</v>
      </c>
      <c r="S132">
        <v>70.069999999999993</v>
      </c>
      <c r="T132" t="s">
        <v>892</v>
      </c>
      <c r="U132">
        <v>58.88</v>
      </c>
      <c r="V132">
        <v>11.19</v>
      </c>
    </row>
    <row r="133" spans="1:22" x14ac:dyDescent="0.35">
      <c r="A133" t="s">
        <v>1187</v>
      </c>
      <c r="B133" t="s">
        <v>1014</v>
      </c>
      <c r="C133" t="s">
        <v>502</v>
      </c>
      <c r="D133" t="s">
        <v>503</v>
      </c>
      <c r="E133" t="s">
        <v>637</v>
      </c>
      <c r="F133" t="s">
        <v>235</v>
      </c>
      <c r="G133" t="s">
        <v>20</v>
      </c>
      <c r="H133" t="s">
        <v>20</v>
      </c>
      <c r="I133" t="s">
        <v>159</v>
      </c>
      <c r="J133" t="s">
        <v>798</v>
      </c>
      <c r="K133" t="s">
        <v>799</v>
      </c>
      <c r="L133" t="s">
        <v>842</v>
      </c>
      <c r="M133" s="5">
        <v>45738</v>
      </c>
      <c r="N133" s="5">
        <v>45736</v>
      </c>
      <c r="O133">
        <v>12</v>
      </c>
      <c r="P133">
        <v>8.2200000000000006</v>
      </c>
      <c r="Q133">
        <v>11.1</v>
      </c>
      <c r="R133">
        <v>0.05</v>
      </c>
      <c r="S133">
        <v>126.54</v>
      </c>
      <c r="T133" t="s">
        <v>888</v>
      </c>
      <c r="U133">
        <v>98.64</v>
      </c>
      <c r="V133">
        <v>27.9</v>
      </c>
    </row>
    <row r="134" spans="1:22" x14ac:dyDescent="0.35">
      <c r="A134" t="s">
        <v>1189</v>
      </c>
      <c r="B134" t="s">
        <v>1190</v>
      </c>
      <c r="C134" t="s">
        <v>312</v>
      </c>
      <c r="D134" t="s">
        <v>313</v>
      </c>
      <c r="E134" t="s">
        <v>633</v>
      </c>
      <c r="F134" t="s">
        <v>235</v>
      </c>
      <c r="G134" t="s">
        <v>14</v>
      </c>
      <c r="H134" t="s">
        <v>43</v>
      </c>
      <c r="I134" t="s">
        <v>146</v>
      </c>
      <c r="J134" t="s">
        <v>798</v>
      </c>
      <c r="K134" t="s">
        <v>793</v>
      </c>
      <c r="L134" t="s">
        <v>842</v>
      </c>
      <c r="M134" s="5">
        <v>45787</v>
      </c>
      <c r="O134">
        <v>2</v>
      </c>
      <c r="P134">
        <v>24.05</v>
      </c>
      <c r="Q134">
        <v>31.27</v>
      </c>
      <c r="R134">
        <v>0.15</v>
      </c>
      <c r="S134">
        <v>53.16</v>
      </c>
      <c r="T134" t="s">
        <v>839</v>
      </c>
      <c r="U134">
        <v>48.1</v>
      </c>
      <c r="V134">
        <v>5.0599999999999996</v>
      </c>
    </row>
    <row r="135" spans="1:22" x14ac:dyDescent="0.35">
      <c r="A135" t="s">
        <v>1192</v>
      </c>
      <c r="B135" t="s">
        <v>1193</v>
      </c>
      <c r="C135" t="s">
        <v>334</v>
      </c>
      <c r="D135" t="s">
        <v>335</v>
      </c>
      <c r="E135" t="s">
        <v>627</v>
      </c>
      <c r="F135" t="s">
        <v>243</v>
      </c>
      <c r="G135" t="s">
        <v>797</v>
      </c>
      <c r="H135" t="s">
        <v>29</v>
      </c>
      <c r="I135" t="s">
        <v>123</v>
      </c>
      <c r="J135" t="s">
        <v>798</v>
      </c>
      <c r="K135" t="s">
        <v>799</v>
      </c>
      <c r="L135" t="s">
        <v>800</v>
      </c>
      <c r="M135" s="5">
        <v>45890</v>
      </c>
      <c r="N135" s="5">
        <v>45885</v>
      </c>
      <c r="O135">
        <v>3</v>
      </c>
      <c r="P135">
        <v>20.7</v>
      </c>
      <c r="Q135">
        <v>30.01</v>
      </c>
      <c r="R135">
        <v>0.05</v>
      </c>
      <c r="S135">
        <v>85.53</v>
      </c>
      <c r="T135" t="s">
        <v>814</v>
      </c>
      <c r="U135">
        <v>62.1</v>
      </c>
      <c r="V135">
        <v>23.43</v>
      </c>
    </row>
    <row r="136" spans="1:22" x14ac:dyDescent="0.35">
      <c r="A136" t="s">
        <v>1195</v>
      </c>
      <c r="B136" t="s">
        <v>1196</v>
      </c>
      <c r="C136" t="s">
        <v>570</v>
      </c>
      <c r="D136" t="s">
        <v>435</v>
      </c>
      <c r="E136" t="s">
        <v>627</v>
      </c>
      <c r="F136" t="s">
        <v>264</v>
      </c>
      <c r="G136" t="s">
        <v>797</v>
      </c>
      <c r="H136" t="s">
        <v>43</v>
      </c>
      <c r="I136" t="s">
        <v>222</v>
      </c>
      <c r="J136" t="s">
        <v>786</v>
      </c>
      <c r="K136" t="s">
        <v>793</v>
      </c>
      <c r="L136" t="s">
        <v>800</v>
      </c>
      <c r="M136" s="5">
        <v>45464</v>
      </c>
      <c r="O136">
        <v>3</v>
      </c>
      <c r="P136">
        <v>37.1</v>
      </c>
      <c r="Q136">
        <v>48.23</v>
      </c>
      <c r="R136">
        <v>0.1</v>
      </c>
      <c r="S136">
        <v>130.22</v>
      </c>
      <c r="T136" t="s">
        <v>1017</v>
      </c>
      <c r="U136">
        <v>111.3</v>
      </c>
      <c r="V136">
        <v>18.920000000000002</v>
      </c>
    </row>
    <row r="137" spans="1:22" x14ac:dyDescent="0.35">
      <c r="A137" t="s">
        <v>1197</v>
      </c>
      <c r="B137" t="s">
        <v>930</v>
      </c>
      <c r="C137" t="s">
        <v>607</v>
      </c>
      <c r="D137" t="s">
        <v>608</v>
      </c>
      <c r="E137" t="s">
        <v>674</v>
      </c>
      <c r="F137" t="s">
        <v>264</v>
      </c>
      <c r="G137" t="s">
        <v>797</v>
      </c>
      <c r="H137" t="s">
        <v>38</v>
      </c>
      <c r="I137" t="s">
        <v>69</v>
      </c>
      <c r="J137" t="s">
        <v>786</v>
      </c>
      <c r="K137" t="s">
        <v>799</v>
      </c>
      <c r="L137" t="s">
        <v>800</v>
      </c>
      <c r="M137" s="5">
        <v>46002</v>
      </c>
      <c r="N137" s="5">
        <v>45996</v>
      </c>
      <c r="O137">
        <v>3</v>
      </c>
      <c r="P137">
        <v>20.9</v>
      </c>
      <c r="Q137">
        <v>28.21</v>
      </c>
      <c r="R137">
        <v>0.1</v>
      </c>
      <c r="S137">
        <v>76.17</v>
      </c>
      <c r="T137" t="s">
        <v>790</v>
      </c>
      <c r="U137">
        <v>62.7</v>
      </c>
      <c r="V137">
        <v>13.47</v>
      </c>
    </row>
    <row r="138" spans="1:22" x14ac:dyDescent="0.35">
      <c r="A138" t="s">
        <v>1200</v>
      </c>
      <c r="B138" t="s">
        <v>1139</v>
      </c>
      <c r="C138" t="s">
        <v>543</v>
      </c>
      <c r="D138" t="s">
        <v>544</v>
      </c>
      <c r="E138" t="s">
        <v>633</v>
      </c>
      <c r="F138" t="s">
        <v>243</v>
      </c>
      <c r="G138" t="s">
        <v>20</v>
      </c>
      <c r="H138" t="s">
        <v>48</v>
      </c>
      <c r="I138" t="s">
        <v>210</v>
      </c>
      <c r="J138" t="s">
        <v>798</v>
      </c>
      <c r="K138" t="s">
        <v>787</v>
      </c>
      <c r="L138" t="s">
        <v>842</v>
      </c>
      <c r="M138" s="5">
        <v>45558</v>
      </c>
      <c r="O138">
        <v>5</v>
      </c>
      <c r="P138">
        <v>25.36</v>
      </c>
      <c r="Q138">
        <v>34.24</v>
      </c>
      <c r="R138">
        <v>0.15</v>
      </c>
      <c r="S138">
        <v>145.52000000000001</v>
      </c>
      <c r="T138" t="s">
        <v>794</v>
      </c>
      <c r="U138">
        <v>126.8</v>
      </c>
      <c r="V138">
        <v>18.72</v>
      </c>
    </row>
    <row r="139" spans="1:22" x14ac:dyDescent="0.35">
      <c r="A139" t="s">
        <v>1202</v>
      </c>
      <c r="B139" t="s">
        <v>1203</v>
      </c>
      <c r="C139" t="s">
        <v>322</v>
      </c>
      <c r="D139" t="s">
        <v>245</v>
      </c>
      <c r="E139" t="s">
        <v>674</v>
      </c>
      <c r="F139" t="s">
        <v>243</v>
      </c>
      <c r="G139" t="s">
        <v>14</v>
      </c>
      <c r="H139" t="s">
        <v>20</v>
      </c>
      <c r="I139" t="s">
        <v>104</v>
      </c>
      <c r="J139" t="s">
        <v>786</v>
      </c>
      <c r="K139" t="s">
        <v>799</v>
      </c>
      <c r="L139" t="s">
        <v>842</v>
      </c>
      <c r="M139" s="5">
        <v>45763</v>
      </c>
      <c r="N139" s="5">
        <v>45750</v>
      </c>
      <c r="O139">
        <v>5</v>
      </c>
      <c r="P139">
        <v>43.88</v>
      </c>
      <c r="Q139">
        <v>54.85</v>
      </c>
      <c r="R139">
        <v>0</v>
      </c>
      <c r="S139">
        <v>274.25</v>
      </c>
      <c r="T139" t="s">
        <v>935</v>
      </c>
      <c r="U139">
        <v>219.4</v>
      </c>
      <c r="V139">
        <v>54.85</v>
      </c>
    </row>
    <row r="140" spans="1:22" x14ac:dyDescent="0.35">
      <c r="A140" t="s">
        <v>1205</v>
      </c>
      <c r="B140" t="s">
        <v>1206</v>
      </c>
      <c r="C140" t="s">
        <v>498</v>
      </c>
      <c r="D140" t="s">
        <v>499</v>
      </c>
      <c r="E140" t="s">
        <v>627</v>
      </c>
      <c r="F140" t="s">
        <v>235</v>
      </c>
      <c r="G140" t="s">
        <v>797</v>
      </c>
      <c r="H140" t="s">
        <v>20</v>
      </c>
      <c r="I140" t="s">
        <v>18</v>
      </c>
      <c r="J140" t="s">
        <v>813</v>
      </c>
      <c r="K140" t="s">
        <v>793</v>
      </c>
      <c r="L140" t="s">
        <v>842</v>
      </c>
      <c r="M140" s="5">
        <v>45388</v>
      </c>
      <c r="O140">
        <v>2</v>
      </c>
      <c r="P140">
        <v>21.57</v>
      </c>
      <c r="Q140">
        <v>26.96</v>
      </c>
      <c r="R140">
        <v>0.1</v>
      </c>
      <c r="S140">
        <v>48.53</v>
      </c>
      <c r="T140" t="s">
        <v>829</v>
      </c>
      <c r="U140">
        <v>43.14</v>
      </c>
      <c r="V140">
        <v>5.39</v>
      </c>
    </row>
    <row r="141" spans="1:22" x14ac:dyDescent="0.35">
      <c r="A141" t="s">
        <v>1207</v>
      </c>
      <c r="B141" t="s">
        <v>1208</v>
      </c>
      <c r="C141" t="s">
        <v>467</v>
      </c>
      <c r="D141" t="s">
        <v>468</v>
      </c>
      <c r="E141" t="s">
        <v>627</v>
      </c>
      <c r="F141" t="s">
        <v>235</v>
      </c>
      <c r="G141" t="s">
        <v>14</v>
      </c>
      <c r="H141" t="s">
        <v>43</v>
      </c>
      <c r="I141" t="s">
        <v>161</v>
      </c>
      <c r="J141" t="s">
        <v>798</v>
      </c>
      <c r="K141" t="s">
        <v>817</v>
      </c>
      <c r="L141" t="s">
        <v>842</v>
      </c>
      <c r="M141" s="5">
        <v>46040</v>
      </c>
      <c r="O141">
        <v>3</v>
      </c>
      <c r="P141">
        <v>21.74</v>
      </c>
      <c r="Q141">
        <v>30.44</v>
      </c>
      <c r="R141">
        <v>0</v>
      </c>
      <c r="S141">
        <v>91.32</v>
      </c>
      <c r="T141" t="s">
        <v>869</v>
      </c>
      <c r="U141">
        <v>65.22</v>
      </c>
      <c r="V141">
        <v>26.1</v>
      </c>
    </row>
    <row r="142" spans="1:22" x14ac:dyDescent="0.35">
      <c r="A142" t="s">
        <v>1209</v>
      </c>
      <c r="B142" t="s">
        <v>1210</v>
      </c>
      <c r="C142" t="s">
        <v>244</v>
      </c>
      <c r="D142" t="s">
        <v>245</v>
      </c>
      <c r="E142" t="s">
        <v>674</v>
      </c>
      <c r="F142" t="s">
        <v>235</v>
      </c>
      <c r="G142" t="s">
        <v>20</v>
      </c>
      <c r="H142" t="s">
        <v>79</v>
      </c>
      <c r="I142" t="s">
        <v>166</v>
      </c>
      <c r="J142" t="s">
        <v>786</v>
      </c>
      <c r="K142" t="s">
        <v>799</v>
      </c>
      <c r="L142" t="s">
        <v>788</v>
      </c>
      <c r="M142" s="5">
        <v>45812</v>
      </c>
      <c r="N142" s="5">
        <v>45807</v>
      </c>
      <c r="O142">
        <v>2</v>
      </c>
      <c r="P142">
        <v>15.73</v>
      </c>
      <c r="Q142">
        <v>19.66</v>
      </c>
      <c r="R142">
        <v>0</v>
      </c>
      <c r="S142">
        <v>39.32</v>
      </c>
      <c r="T142" t="s">
        <v>946</v>
      </c>
      <c r="U142">
        <v>31.46</v>
      </c>
      <c r="V142">
        <v>7.86</v>
      </c>
    </row>
    <row r="143" spans="1:22" x14ac:dyDescent="0.35">
      <c r="A143" t="s">
        <v>1211</v>
      </c>
      <c r="B143" t="s">
        <v>1151</v>
      </c>
      <c r="C143" t="s">
        <v>557</v>
      </c>
      <c r="D143" t="s">
        <v>558</v>
      </c>
      <c r="E143" t="s">
        <v>674</v>
      </c>
      <c r="F143" t="s">
        <v>235</v>
      </c>
      <c r="G143" t="s">
        <v>14</v>
      </c>
      <c r="H143" t="s">
        <v>29</v>
      </c>
      <c r="I143" t="s">
        <v>183</v>
      </c>
      <c r="J143" t="s">
        <v>798</v>
      </c>
      <c r="K143" t="s">
        <v>799</v>
      </c>
      <c r="L143" t="s">
        <v>788</v>
      </c>
      <c r="M143" s="5">
        <v>45827</v>
      </c>
      <c r="N143" s="5">
        <v>45827</v>
      </c>
      <c r="O143">
        <v>12</v>
      </c>
      <c r="P143">
        <v>10.97</v>
      </c>
      <c r="Q143">
        <v>15.91</v>
      </c>
      <c r="R143">
        <v>0</v>
      </c>
      <c r="S143">
        <v>190.92</v>
      </c>
      <c r="T143" t="s">
        <v>1017</v>
      </c>
      <c r="U143">
        <v>131.63999999999999</v>
      </c>
      <c r="V143">
        <v>59.28</v>
      </c>
    </row>
    <row r="144" spans="1:22" x14ac:dyDescent="0.35">
      <c r="A144" t="s">
        <v>1213</v>
      </c>
      <c r="B144" t="s">
        <v>1214</v>
      </c>
      <c r="C144" t="s">
        <v>469</v>
      </c>
      <c r="D144" t="s">
        <v>470</v>
      </c>
      <c r="E144" t="s">
        <v>627</v>
      </c>
      <c r="F144" t="s">
        <v>235</v>
      </c>
      <c r="G144" t="s">
        <v>797</v>
      </c>
      <c r="H144" t="s">
        <v>43</v>
      </c>
      <c r="I144" t="s">
        <v>53</v>
      </c>
      <c r="J144" t="s">
        <v>813</v>
      </c>
      <c r="K144" t="s">
        <v>799</v>
      </c>
      <c r="L144" t="s">
        <v>842</v>
      </c>
      <c r="M144" s="5">
        <v>45656</v>
      </c>
      <c r="N144" s="5">
        <v>45662</v>
      </c>
      <c r="O144">
        <v>12</v>
      </c>
      <c r="P144">
        <v>54.93</v>
      </c>
      <c r="Q144">
        <v>79.650000000000006</v>
      </c>
      <c r="R144">
        <v>0.1</v>
      </c>
      <c r="S144">
        <v>860.22</v>
      </c>
      <c r="T144" t="s">
        <v>859</v>
      </c>
      <c r="U144">
        <v>659.16</v>
      </c>
      <c r="V144">
        <v>201.06</v>
      </c>
    </row>
    <row r="145" spans="1:22" x14ac:dyDescent="0.35">
      <c r="A145" t="s">
        <v>1217</v>
      </c>
      <c r="B145" t="s">
        <v>1178</v>
      </c>
      <c r="C145" t="s">
        <v>444</v>
      </c>
      <c r="D145" t="s">
        <v>445</v>
      </c>
      <c r="E145" t="s">
        <v>637</v>
      </c>
      <c r="F145" t="s">
        <v>264</v>
      </c>
      <c r="G145" t="s">
        <v>797</v>
      </c>
      <c r="H145" t="s">
        <v>43</v>
      </c>
      <c r="I145" t="s">
        <v>41</v>
      </c>
      <c r="J145" t="s">
        <v>798</v>
      </c>
      <c r="K145" t="s">
        <v>793</v>
      </c>
      <c r="L145" t="s">
        <v>818</v>
      </c>
      <c r="M145" s="5">
        <v>45895</v>
      </c>
      <c r="O145">
        <v>3</v>
      </c>
      <c r="P145">
        <v>18.010000000000002</v>
      </c>
      <c r="Q145">
        <v>22.51</v>
      </c>
      <c r="R145">
        <v>0.1</v>
      </c>
      <c r="S145">
        <v>60.78</v>
      </c>
      <c r="T145" t="s">
        <v>839</v>
      </c>
      <c r="U145">
        <v>54.03</v>
      </c>
      <c r="V145">
        <v>6.75</v>
      </c>
    </row>
    <row r="146" spans="1:22" x14ac:dyDescent="0.35">
      <c r="A146" t="s">
        <v>1218</v>
      </c>
      <c r="B146" t="s">
        <v>1219</v>
      </c>
      <c r="C146" t="s">
        <v>471</v>
      </c>
      <c r="D146" t="s">
        <v>472</v>
      </c>
      <c r="E146" t="s">
        <v>627</v>
      </c>
      <c r="F146" t="s">
        <v>235</v>
      </c>
      <c r="G146" t="s">
        <v>797</v>
      </c>
      <c r="H146" t="s">
        <v>14</v>
      </c>
      <c r="I146" t="s">
        <v>30</v>
      </c>
      <c r="J146" t="s">
        <v>813</v>
      </c>
      <c r="K146" t="s">
        <v>793</v>
      </c>
      <c r="L146" t="s">
        <v>842</v>
      </c>
      <c r="M146" s="5">
        <v>45562</v>
      </c>
      <c r="O146">
        <v>3</v>
      </c>
      <c r="P146">
        <v>19.010000000000002</v>
      </c>
      <c r="Q146">
        <v>27.56</v>
      </c>
      <c r="R146">
        <v>0.1</v>
      </c>
      <c r="S146">
        <v>74.41</v>
      </c>
      <c r="T146" t="s">
        <v>1017</v>
      </c>
      <c r="U146">
        <v>57.03</v>
      </c>
      <c r="V146">
        <v>17.38</v>
      </c>
    </row>
    <row r="147" spans="1:22" x14ac:dyDescent="0.35">
      <c r="A147" t="s">
        <v>1221</v>
      </c>
      <c r="B147" t="s">
        <v>1100</v>
      </c>
      <c r="C147" t="s">
        <v>401</v>
      </c>
      <c r="D147" t="s">
        <v>402</v>
      </c>
      <c r="E147" t="s">
        <v>681</v>
      </c>
      <c r="F147" t="s">
        <v>243</v>
      </c>
      <c r="G147" t="s">
        <v>797</v>
      </c>
      <c r="H147" t="s">
        <v>43</v>
      </c>
      <c r="I147" t="s">
        <v>200</v>
      </c>
      <c r="J147" t="s">
        <v>798</v>
      </c>
      <c r="K147" t="s">
        <v>799</v>
      </c>
      <c r="L147" t="s">
        <v>788</v>
      </c>
      <c r="M147" s="5">
        <v>45849</v>
      </c>
      <c r="N147" s="5">
        <v>45850</v>
      </c>
      <c r="O147">
        <v>2</v>
      </c>
      <c r="P147">
        <v>69.23</v>
      </c>
      <c r="Q147">
        <v>86.54</v>
      </c>
      <c r="R147">
        <v>0</v>
      </c>
      <c r="S147">
        <v>173.08</v>
      </c>
      <c r="T147" t="s">
        <v>845</v>
      </c>
      <c r="U147">
        <v>138.46</v>
      </c>
      <c r="V147">
        <v>34.619999999999997</v>
      </c>
    </row>
    <row r="148" spans="1:22" x14ac:dyDescent="0.35">
      <c r="A148" t="s">
        <v>1222</v>
      </c>
      <c r="B148" t="s">
        <v>1223</v>
      </c>
      <c r="C148" t="s">
        <v>502</v>
      </c>
      <c r="D148" t="s">
        <v>503</v>
      </c>
      <c r="E148" t="s">
        <v>254</v>
      </c>
      <c r="F148" t="s">
        <v>235</v>
      </c>
      <c r="G148" t="s">
        <v>797</v>
      </c>
      <c r="H148" t="s">
        <v>38</v>
      </c>
      <c r="I148" t="s">
        <v>126</v>
      </c>
      <c r="J148" t="s">
        <v>798</v>
      </c>
      <c r="K148" t="s">
        <v>799</v>
      </c>
      <c r="L148" t="s">
        <v>788</v>
      </c>
      <c r="M148" s="5">
        <v>45899</v>
      </c>
      <c r="N148" s="5">
        <v>45896</v>
      </c>
      <c r="O148">
        <v>10</v>
      </c>
      <c r="P148">
        <v>41.95</v>
      </c>
      <c r="Q148">
        <v>58.73</v>
      </c>
      <c r="R148">
        <v>0.15</v>
      </c>
      <c r="S148">
        <v>499.2</v>
      </c>
      <c r="T148" t="s">
        <v>1001</v>
      </c>
      <c r="U148">
        <v>419.5</v>
      </c>
      <c r="V148">
        <v>79.7</v>
      </c>
    </row>
    <row r="149" spans="1:22" x14ac:dyDescent="0.35">
      <c r="A149" t="s">
        <v>1226</v>
      </c>
      <c r="B149" t="s">
        <v>971</v>
      </c>
      <c r="C149" t="s">
        <v>448</v>
      </c>
      <c r="D149" t="s">
        <v>427</v>
      </c>
      <c r="E149" t="s">
        <v>627</v>
      </c>
      <c r="F149" t="s">
        <v>243</v>
      </c>
      <c r="G149" t="s">
        <v>14</v>
      </c>
      <c r="H149" t="s">
        <v>43</v>
      </c>
      <c r="I149" t="s">
        <v>44</v>
      </c>
      <c r="J149" t="s">
        <v>798</v>
      </c>
      <c r="K149" t="s">
        <v>793</v>
      </c>
      <c r="L149" t="s">
        <v>800</v>
      </c>
      <c r="M149" s="5">
        <v>45622</v>
      </c>
      <c r="O149">
        <v>20</v>
      </c>
      <c r="P149">
        <v>14.05</v>
      </c>
      <c r="Q149">
        <v>19.670000000000002</v>
      </c>
      <c r="R149">
        <v>0</v>
      </c>
      <c r="S149">
        <v>393.4</v>
      </c>
      <c r="T149" t="s">
        <v>935</v>
      </c>
      <c r="U149">
        <v>281</v>
      </c>
      <c r="V149">
        <v>112.4</v>
      </c>
    </row>
    <row r="150" spans="1:22" x14ac:dyDescent="0.35">
      <c r="A150" t="s">
        <v>1227</v>
      </c>
      <c r="B150" t="s">
        <v>1115</v>
      </c>
      <c r="C150" t="s">
        <v>306</v>
      </c>
      <c r="D150" t="s">
        <v>307</v>
      </c>
      <c r="E150" t="s">
        <v>627</v>
      </c>
      <c r="G150" t="s">
        <v>48</v>
      </c>
      <c r="H150" t="s">
        <v>29</v>
      </c>
      <c r="I150" t="s">
        <v>121</v>
      </c>
      <c r="J150" t="s">
        <v>798</v>
      </c>
      <c r="K150" t="s">
        <v>793</v>
      </c>
      <c r="L150" t="s">
        <v>800</v>
      </c>
      <c r="M150" s="5">
        <v>45988</v>
      </c>
      <c r="O150">
        <v>3</v>
      </c>
      <c r="P150">
        <v>15.46</v>
      </c>
      <c r="Q150">
        <v>22.42</v>
      </c>
      <c r="R150">
        <v>0</v>
      </c>
      <c r="S150">
        <v>67.260000000000005</v>
      </c>
      <c r="T150" t="s">
        <v>825</v>
      </c>
      <c r="U150">
        <v>46.38</v>
      </c>
      <c r="V150">
        <v>20.88</v>
      </c>
    </row>
    <row r="151" spans="1:22" x14ac:dyDescent="0.35">
      <c r="A151" t="s">
        <v>1228</v>
      </c>
      <c r="B151" t="s">
        <v>1229</v>
      </c>
      <c r="C151" t="s">
        <v>601</v>
      </c>
      <c r="D151" t="s">
        <v>602</v>
      </c>
      <c r="E151" t="s">
        <v>674</v>
      </c>
      <c r="F151" t="s">
        <v>235</v>
      </c>
      <c r="G151" t="s">
        <v>797</v>
      </c>
      <c r="H151" t="s">
        <v>8</v>
      </c>
      <c r="I151" t="s">
        <v>10</v>
      </c>
      <c r="J151" t="s">
        <v>798</v>
      </c>
      <c r="K151" t="s">
        <v>793</v>
      </c>
      <c r="L151" t="s">
        <v>788</v>
      </c>
      <c r="M151" s="5">
        <v>45493</v>
      </c>
      <c r="O151">
        <v>1</v>
      </c>
      <c r="P151">
        <v>22.74</v>
      </c>
      <c r="Q151">
        <v>28.42</v>
      </c>
      <c r="R151">
        <v>0</v>
      </c>
      <c r="S151">
        <v>28.42</v>
      </c>
      <c r="T151" t="s">
        <v>794</v>
      </c>
      <c r="U151">
        <v>22.74</v>
      </c>
      <c r="V151">
        <v>5.68</v>
      </c>
    </row>
    <row r="152" spans="1:22" x14ac:dyDescent="0.35">
      <c r="A152" t="s">
        <v>1230</v>
      </c>
      <c r="B152" t="s">
        <v>902</v>
      </c>
      <c r="C152" t="s">
        <v>354</v>
      </c>
      <c r="D152" t="s">
        <v>321</v>
      </c>
      <c r="E152" t="s">
        <v>637</v>
      </c>
      <c r="F152" t="s">
        <v>243</v>
      </c>
      <c r="G152" t="s">
        <v>797</v>
      </c>
      <c r="H152" t="s">
        <v>20</v>
      </c>
      <c r="I152" t="s">
        <v>18</v>
      </c>
      <c r="J152" t="s">
        <v>786</v>
      </c>
      <c r="K152" t="s">
        <v>799</v>
      </c>
      <c r="L152" t="s">
        <v>818</v>
      </c>
      <c r="M152" s="5">
        <v>45939</v>
      </c>
      <c r="N152" s="5">
        <v>45934</v>
      </c>
      <c r="O152">
        <v>1</v>
      </c>
      <c r="P152">
        <v>21.57</v>
      </c>
      <c r="Q152">
        <v>26.96</v>
      </c>
      <c r="R152">
        <v>0.1</v>
      </c>
      <c r="S152">
        <v>24.26</v>
      </c>
      <c r="T152" t="s">
        <v>839</v>
      </c>
      <c r="U152">
        <v>21.57</v>
      </c>
      <c r="V152">
        <v>2.69</v>
      </c>
    </row>
    <row r="153" spans="1:22" x14ac:dyDescent="0.35">
      <c r="A153" t="s">
        <v>1232</v>
      </c>
      <c r="B153" t="s">
        <v>1233</v>
      </c>
      <c r="C153" t="s">
        <v>455</v>
      </c>
      <c r="D153" t="s">
        <v>456</v>
      </c>
      <c r="E153" t="s">
        <v>627</v>
      </c>
      <c r="F153" t="s">
        <v>264</v>
      </c>
      <c r="G153" t="s">
        <v>797</v>
      </c>
      <c r="H153" t="s">
        <v>79</v>
      </c>
      <c r="I153" t="s">
        <v>166</v>
      </c>
      <c r="J153" t="s">
        <v>786</v>
      </c>
      <c r="K153" t="s">
        <v>822</v>
      </c>
      <c r="L153" t="s">
        <v>800</v>
      </c>
      <c r="M153" s="5">
        <v>45349</v>
      </c>
      <c r="N153" s="5">
        <v>45344</v>
      </c>
      <c r="O153">
        <v>10</v>
      </c>
      <c r="P153">
        <v>15.73</v>
      </c>
      <c r="Q153">
        <v>19.66</v>
      </c>
      <c r="R153">
        <v>0.05</v>
      </c>
      <c r="S153">
        <v>186.77</v>
      </c>
      <c r="T153" t="s">
        <v>810</v>
      </c>
      <c r="U153">
        <v>157.30000000000001</v>
      </c>
      <c r="V153">
        <v>29.47</v>
      </c>
    </row>
    <row r="154" spans="1:22" x14ac:dyDescent="0.35">
      <c r="A154" t="s">
        <v>1235</v>
      </c>
      <c r="B154" t="s">
        <v>1236</v>
      </c>
      <c r="C154" t="s">
        <v>386</v>
      </c>
      <c r="D154" t="s">
        <v>387</v>
      </c>
      <c r="E154" t="s">
        <v>637</v>
      </c>
      <c r="F154" t="s">
        <v>243</v>
      </c>
      <c r="G154" t="s">
        <v>14</v>
      </c>
      <c r="H154" t="s">
        <v>8</v>
      </c>
      <c r="I154" t="s">
        <v>129</v>
      </c>
      <c r="J154" t="s">
        <v>813</v>
      </c>
      <c r="K154" t="s">
        <v>799</v>
      </c>
      <c r="L154" t="s">
        <v>818</v>
      </c>
      <c r="M154" s="5">
        <v>45581</v>
      </c>
      <c r="N154" s="5">
        <v>45587</v>
      </c>
      <c r="O154">
        <v>10</v>
      </c>
      <c r="P154">
        <v>22.15</v>
      </c>
      <c r="Q154">
        <v>31.01</v>
      </c>
      <c r="R154">
        <v>0.1</v>
      </c>
      <c r="S154">
        <v>279.08999999999997</v>
      </c>
      <c r="T154" t="s">
        <v>829</v>
      </c>
      <c r="U154">
        <v>221.5</v>
      </c>
      <c r="V154">
        <v>57.59</v>
      </c>
    </row>
    <row r="155" spans="1:22" x14ac:dyDescent="0.35">
      <c r="A155" t="s">
        <v>1237</v>
      </c>
      <c r="B155" t="s">
        <v>836</v>
      </c>
      <c r="C155" t="s">
        <v>582</v>
      </c>
      <c r="D155" t="s">
        <v>583</v>
      </c>
      <c r="E155" t="s">
        <v>637</v>
      </c>
      <c r="F155" t="s">
        <v>264</v>
      </c>
      <c r="G155" t="s">
        <v>797</v>
      </c>
      <c r="H155" t="s">
        <v>14</v>
      </c>
      <c r="I155" t="s">
        <v>138</v>
      </c>
      <c r="J155" t="s">
        <v>786</v>
      </c>
      <c r="K155" t="s">
        <v>799</v>
      </c>
      <c r="L155" t="s">
        <v>818</v>
      </c>
      <c r="M155" s="5">
        <v>45661</v>
      </c>
      <c r="N155" s="5">
        <v>45648</v>
      </c>
      <c r="O155">
        <v>2</v>
      </c>
      <c r="P155">
        <v>42.6</v>
      </c>
      <c r="Q155">
        <v>59.64</v>
      </c>
      <c r="R155">
        <v>0</v>
      </c>
      <c r="S155">
        <v>119.28</v>
      </c>
      <c r="T155" t="s">
        <v>1001</v>
      </c>
      <c r="U155">
        <v>85.2</v>
      </c>
      <c r="V155">
        <v>34.08</v>
      </c>
    </row>
    <row r="156" spans="1:22" x14ac:dyDescent="0.35">
      <c r="A156" t="s">
        <v>1240</v>
      </c>
      <c r="B156" t="s">
        <v>1241</v>
      </c>
      <c r="C156" t="s">
        <v>459</v>
      </c>
      <c r="D156" t="s">
        <v>460</v>
      </c>
      <c r="E156" t="s">
        <v>627</v>
      </c>
      <c r="F156" t="s">
        <v>264</v>
      </c>
      <c r="G156" t="s">
        <v>797</v>
      </c>
      <c r="H156" t="s">
        <v>38</v>
      </c>
      <c r="I156" t="s">
        <v>156</v>
      </c>
      <c r="J156" t="s">
        <v>798</v>
      </c>
      <c r="K156" t="s">
        <v>799</v>
      </c>
      <c r="L156" t="s">
        <v>788</v>
      </c>
      <c r="M156" s="5">
        <v>45311</v>
      </c>
      <c r="N156" s="5">
        <v>45308</v>
      </c>
      <c r="O156">
        <v>1</v>
      </c>
      <c r="P156">
        <v>20.81</v>
      </c>
      <c r="Q156">
        <v>29.13</v>
      </c>
      <c r="R156">
        <v>0.1</v>
      </c>
      <c r="S156">
        <v>26.22</v>
      </c>
      <c r="T156" t="s">
        <v>1017</v>
      </c>
      <c r="U156">
        <v>20.81</v>
      </c>
      <c r="V156">
        <v>5.41</v>
      </c>
    </row>
    <row r="157" spans="1:22" x14ac:dyDescent="0.35">
      <c r="A157" t="s">
        <v>1244</v>
      </c>
      <c r="B157" t="s">
        <v>874</v>
      </c>
      <c r="C157" t="s">
        <v>556</v>
      </c>
      <c r="D157" t="s">
        <v>472</v>
      </c>
      <c r="E157" t="s">
        <v>633</v>
      </c>
      <c r="F157" t="s">
        <v>235</v>
      </c>
      <c r="G157" t="s">
        <v>797</v>
      </c>
      <c r="H157" t="s">
        <v>48</v>
      </c>
      <c r="I157" t="s">
        <v>84</v>
      </c>
      <c r="J157" t="s">
        <v>798</v>
      </c>
      <c r="K157" t="s">
        <v>793</v>
      </c>
      <c r="L157" t="s">
        <v>800</v>
      </c>
      <c r="M157" s="5">
        <v>45574</v>
      </c>
      <c r="O157">
        <v>5</v>
      </c>
      <c r="P157">
        <v>27.52</v>
      </c>
      <c r="Q157">
        <v>34.4</v>
      </c>
      <c r="R157">
        <v>0</v>
      </c>
      <c r="S157">
        <v>172</v>
      </c>
      <c r="T157" t="s">
        <v>935</v>
      </c>
      <c r="U157">
        <v>137.6</v>
      </c>
      <c r="V157">
        <v>34.4</v>
      </c>
    </row>
    <row r="158" spans="1:22" x14ac:dyDescent="0.35">
      <c r="A158" t="s">
        <v>1245</v>
      </c>
      <c r="B158" t="s">
        <v>1236</v>
      </c>
      <c r="C158" t="s">
        <v>367</v>
      </c>
      <c r="D158" t="s">
        <v>368</v>
      </c>
      <c r="E158" t="s">
        <v>627</v>
      </c>
      <c r="F158" t="s">
        <v>264</v>
      </c>
      <c r="G158" t="s">
        <v>797</v>
      </c>
      <c r="H158" t="s">
        <v>43</v>
      </c>
      <c r="I158" t="s">
        <v>41</v>
      </c>
      <c r="J158" t="s">
        <v>798</v>
      </c>
      <c r="K158" t="s">
        <v>793</v>
      </c>
      <c r="L158" t="s">
        <v>842</v>
      </c>
      <c r="M158" s="5">
        <v>45585</v>
      </c>
      <c r="O158">
        <v>2</v>
      </c>
      <c r="P158">
        <v>18.010000000000002</v>
      </c>
      <c r="Q158">
        <v>22.51</v>
      </c>
      <c r="R158">
        <v>0.15</v>
      </c>
      <c r="S158">
        <v>38.270000000000003</v>
      </c>
      <c r="T158" t="s">
        <v>1017</v>
      </c>
      <c r="U158">
        <v>36.020000000000003</v>
      </c>
      <c r="V158">
        <v>2.25</v>
      </c>
    </row>
    <row r="159" spans="1:22" x14ac:dyDescent="0.35">
      <c r="A159" t="s">
        <v>1246</v>
      </c>
      <c r="B159" t="s">
        <v>1247</v>
      </c>
      <c r="C159" t="s">
        <v>481</v>
      </c>
      <c r="D159" t="s">
        <v>482</v>
      </c>
      <c r="E159" t="s">
        <v>637</v>
      </c>
      <c r="F159" t="s">
        <v>264</v>
      </c>
      <c r="G159" t="s">
        <v>797</v>
      </c>
      <c r="H159" t="s">
        <v>48</v>
      </c>
      <c r="I159" t="s">
        <v>219</v>
      </c>
      <c r="J159" t="s">
        <v>813</v>
      </c>
      <c r="K159" t="s">
        <v>822</v>
      </c>
      <c r="L159" t="s">
        <v>788</v>
      </c>
      <c r="M159" s="5">
        <v>45536</v>
      </c>
      <c r="N159" s="5">
        <v>45536</v>
      </c>
      <c r="O159">
        <v>5</v>
      </c>
      <c r="P159">
        <v>12.9</v>
      </c>
      <c r="Q159">
        <v>18.7</v>
      </c>
      <c r="R159">
        <v>0.05</v>
      </c>
      <c r="S159">
        <v>88.83</v>
      </c>
      <c r="T159" t="s">
        <v>839</v>
      </c>
      <c r="U159">
        <v>64.5</v>
      </c>
      <c r="V159">
        <v>24.33</v>
      </c>
    </row>
    <row r="160" spans="1:22" x14ac:dyDescent="0.35">
      <c r="A160" t="s">
        <v>1249</v>
      </c>
      <c r="B160" t="s">
        <v>1250</v>
      </c>
      <c r="C160" t="s">
        <v>343</v>
      </c>
      <c r="D160" t="s">
        <v>344</v>
      </c>
      <c r="E160" t="s">
        <v>637</v>
      </c>
      <c r="F160" t="s">
        <v>235</v>
      </c>
      <c r="G160" t="s">
        <v>14</v>
      </c>
      <c r="H160" t="s">
        <v>43</v>
      </c>
      <c r="I160" t="s">
        <v>75</v>
      </c>
      <c r="J160" t="s">
        <v>798</v>
      </c>
      <c r="K160" t="s">
        <v>793</v>
      </c>
      <c r="L160" t="s">
        <v>818</v>
      </c>
      <c r="M160" s="5">
        <v>45730</v>
      </c>
      <c r="O160">
        <v>12</v>
      </c>
      <c r="P160">
        <v>24.35</v>
      </c>
      <c r="Q160">
        <v>34.090000000000003</v>
      </c>
      <c r="R160">
        <v>0</v>
      </c>
      <c r="S160">
        <v>409.08</v>
      </c>
      <c r="T160" t="s">
        <v>1017</v>
      </c>
      <c r="U160">
        <v>292.2</v>
      </c>
      <c r="V160">
        <v>116.88</v>
      </c>
    </row>
    <row r="161" spans="1:22" x14ac:dyDescent="0.35">
      <c r="A161" t="s">
        <v>1251</v>
      </c>
      <c r="B161" t="s">
        <v>1252</v>
      </c>
      <c r="C161" t="s">
        <v>281</v>
      </c>
      <c r="D161" t="s">
        <v>282</v>
      </c>
      <c r="E161" t="s">
        <v>696</v>
      </c>
      <c r="F161" t="s">
        <v>243</v>
      </c>
      <c r="G161" t="s">
        <v>797</v>
      </c>
      <c r="H161" t="s">
        <v>29</v>
      </c>
      <c r="I161" t="s">
        <v>176</v>
      </c>
      <c r="J161" t="s">
        <v>813</v>
      </c>
      <c r="K161" t="s">
        <v>793</v>
      </c>
      <c r="L161" t="s">
        <v>800</v>
      </c>
      <c r="M161" s="5">
        <v>45870</v>
      </c>
      <c r="O161">
        <v>12</v>
      </c>
      <c r="P161">
        <v>25.88</v>
      </c>
      <c r="Q161">
        <v>36.229999999999997</v>
      </c>
      <c r="R161">
        <v>0.05</v>
      </c>
      <c r="S161">
        <v>413.02</v>
      </c>
      <c r="T161" t="s">
        <v>869</v>
      </c>
      <c r="U161">
        <v>310.56</v>
      </c>
      <c r="V161">
        <v>102.46</v>
      </c>
    </row>
    <row r="162" spans="1:22" x14ac:dyDescent="0.35">
      <c r="A162" t="s">
        <v>1254</v>
      </c>
      <c r="B162" t="s">
        <v>1255</v>
      </c>
      <c r="C162" t="s">
        <v>604</v>
      </c>
      <c r="D162" t="s">
        <v>431</v>
      </c>
      <c r="E162" t="s">
        <v>633</v>
      </c>
      <c r="F162" t="s">
        <v>243</v>
      </c>
      <c r="G162" t="s">
        <v>797</v>
      </c>
      <c r="H162" t="s">
        <v>20</v>
      </c>
      <c r="I162" t="s">
        <v>18</v>
      </c>
      <c r="J162" t="s">
        <v>798</v>
      </c>
      <c r="K162" t="s">
        <v>799</v>
      </c>
      <c r="L162" t="s">
        <v>800</v>
      </c>
      <c r="M162" s="5">
        <v>45397</v>
      </c>
      <c r="N162" s="5">
        <v>45397</v>
      </c>
      <c r="O162">
        <v>3</v>
      </c>
      <c r="P162">
        <v>21.57</v>
      </c>
      <c r="Q162">
        <v>26.96</v>
      </c>
      <c r="R162">
        <v>0</v>
      </c>
      <c r="S162">
        <v>80.88</v>
      </c>
      <c r="T162" t="s">
        <v>839</v>
      </c>
      <c r="U162">
        <v>64.709999999999994</v>
      </c>
      <c r="V162">
        <v>16.170000000000002</v>
      </c>
    </row>
    <row r="163" spans="1:22" x14ac:dyDescent="0.35">
      <c r="A163" t="s">
        <v>1257</v>
      </c>
      <c r="B163" t="s">
        <v>1170</v>
      </c>
      <c r="C163" t="s">
        <v>579</v>
      </c>
      <c r="D163" t="s">
        <v>514</v>
      </c>
      <c r="E163" t="s">
        <v>627</v>
      </c>
      <c r="F163" t="s">
        <v>243</v>
      </c>
      <c r="G163" t="s">
        <v>797</v>
      </c>
      <c r="H163" t="s">
        <v>29</v>
      </c>
      <c r="I163" t="s">
        <v>145</v>
      </c>
      <c r="J163" t="s">
        <v>798</v>
      </c>
      <c r="K163" t="s">
        <v>799</v>
      </c>
      <c r="L163" t="s">
        <v>788</v>
      </c>
      <c r="M163" s="5">
        <v>45423</v>
      </c>
      <c r="N163" s="5">
        <v>45422</v>
      </c>
      <c r="O163">
        <v>1</v>
      </c>
      <c r="P163">
        <v>57.16</v>
      </c>
      <c r="Q163">
        <v>82.88</v>
      </c>
      <c r="R163">
        <v>0</v>
      </c>
      <c r="S163">
        <v>82.88</v>
      </c>
      <c r="T163" t="s">
        <v>814</v>
      </c>
      <c r="U163">
        <v>57.16</v>
      </c>
      <c r="V163">
        <v>25.72</v>
      </c>
    </row>
    <row r="164" spans="1:22" x14ac:dyDescent="0.35">
      <c r="A164" t="s">
        <v>1259</v>
      </c>
      <c r="B164" t="s">
        <v>1115</v>
      </c>
      <c r="C164" t="s">
        <v>504</v>
      </c>
      <c r="D164" t="s">
        <v>505</v>
      </c>
      <c r="E164" t="s">
        <v>637</v>
      </c>
      <c r="F164" t="s">
        <v>264</v>
      </c>
      <c r="G164" t="s">
        <v>20</v>
      </c>
      <c r="H164" t="s">
        <v>48</v>
      </c>
      <c r="I164" t="s">
        <v>219</v>
      </c>
      <c r="J164" t="s">
        <v>786</v>
      </c>
      <c r="K164" t="s">
        <v>793</v>
      </c>
      <c r="L164" t="s">
        <v>800</v>
      </c>
      <c r="M164" s="5">
        <v>45995</v>
      </c>
      <c r="O164">
        <v>20</v>
      </c>
      <c r="P164">
        <v>12.9</v>
      </c>
      <c r="Q164">
        <v>18.7</v>
      </c>
      <c r="R164">
        <v>0.05</v>
      </c>
      <c r="S164">
        <v>355.3</v>
      </c>
      <c r="T164" t="s">
        <v>869</v>
      </c>
      <c r="U164">
        <v>258</v>
      </c>
      <c r="V164">
        <v>97.3</v>
      </c>
    </row>
    <row r="165" spans="1:22" x14ac:dyDescent="0.35">
      <c r="A165" t="s">
        <v>1261</v>
      </c>
      <c r="B165" t="s">
        <v>1262</v>
      </c>
      <c r="C165" t="s">
        <v>565</v>
      </c>
      <c r="D165" t="s">
        <v>566</v>
      </c>
      <c r="E165" t="s">
        <v>637</v>
      </c>
      <c r="G165" t="s">
        <v>48</v>
      </c>
      <c r="H165" t="s">
        <v>14</v>
      </c>
      <c r="I165" t="s">
        <v>60</v>
      </c>
      <c r="J165" t="s">
        <v>798</v>
      </c>
      <c r="K165" t="s">
        <v>799</v>
      </c>
      <c r="L165" t="s">
        <v>818</v>
      </c>
      <c r="M165" s="5">
        <v>45447</v>
      </c>
      <c r="N165" s="5">
        <v>45443</v>
      </c>
      <c r="O165">
        <v>2</v>
      </c>
      <c r="P165">
        <v>18.18</v>
      </c>
      <c r="Q165">
        <v>24.54</v>
      </c>
      <c r="R165">
        <v>0</v>
      </c>
      <c r="S165">
        <v>49.08</v>
      </c>
      <c r="T165" t="s">
        <v>834</v>
      </c>
      <c r="U165">
        <v>36.36</v>
      </c>
      <c r="V165">
        <v>12.72</v>
      </c>
    </row>
    <row r="166" spans="1:22" x14ac:dyDescent="0.35">
      <c r="A166" t="s">
        <v>1265</v>
      </c>
      <c r="B166" t="s">
        <v>1266</v>
      </c>
      <c r="C166" t="s">
        <v>430</v>
      </c>
      <c r="D166" t="s">
        <v>431</v>
      </c>
      <c r="E166" t="s">
        <v>633</v>
      </c>
      <c r="F166" t="s">
        <v>264</v>
      </c>
      <c r="G166" t="s">
        <v>14</v>
      </c>
      <c r="H166" t="s">
        <v>43</v>
      </c>
      <c r="I166" t="s">
        <v>222</v>
      </c>
      <c r="J166" t="s">
        <v>798</v>
      </c>
      <c r="K166" t="s">
        <v>799</v>
      </c>
      <c r="L166" t="s">
        <v>818</v>
      </c>
      <c r="M166" s="5">
        <v>45650</v>
      </c>
      <c r="N166" s="5">
        <v>45649</v>
      </c>
      <c r="O166">
        <v>5</v>
      </c>
      <c r="P166">
        <v>37.1</v>
      </c>
      <c r="Q166">
        <v>48.23</v>
      </c>
      <c r="R166">
        <v>0</v>
      </c>
      <c r="S166">
        <v>241.15</v>
      </c>
      <c r="T166" t="s">
        <v>845</v>
      </c>
      <c r="U166">
        <v>185.5</v>
      </c>
      <c r="V166">
        <v>55.65</v>
      </c>
    </row>
    <row r="167" spans="1:22" x14ac:dyDescent="0.35">
      <c r="A167" t="s">
        <v>1267</v>
      </c>
      <c r="B167" t="s">
        <v>1268</v>
      </c>
      <c r="C167" t="s">
        <v>491</v>
      </c>
      <c r="D167" t="s">
        <v>492</v>
      </c>
      <c r="E167" t="s">
        <v>696</v>
      </c>
      <c r="F167" t="s">
        <v>264</v>
      </c>
      <c r="G167" t="s">
        <v>797</v>
      </c>
      <c r="H167" t="s">
        <v>48</v>
      </c>
      <c r="I167" t="s">
        <v>217</v>
      </c>
      <c r="J167" t="s">
        <v>786</v>
      </c>
      <c r="K167" t="s">
        <v>787</v>
      </c>
      <c r="L167" t="s">
        <v>788</v>
      </c>
      <c r="M167" s="5">
        <v>45907</v>
      </c>
      <c r="O167">
        <v>1</v>
      </c>
      <c r="P167">
        <v>24.07</v>
      </c>
      <c r="Q167">
        <v>34.9</v>
      </c>
      <c r="R167">
        <v>0.15</v>
      </c>
      <c r="S167">
        <v>29.66</v>
      </c>
      <c r="T167" t="s">
        <v>1017</v>
      </c>
      <c r="U167">
        <v>24.07</v>
      </c>
      <c r="V167">
        <v>5.59</v>
      </c>
    </row>
    <row r="168" spans="1:22" x14ac:dyDescent="0.35">
      <c r="A168" t="s">
        <v>1269</v>
      </c>
      <c r="B168" t="s">
        <v>909</v>
      </c>
      <c r="C168" t="s">
        <v>379</v>
      </c>
      <c r="D168" t="s">
        <v>380</v>
      </c>
      <c r="E168" t="s">
        <v>674</v>
      </c>
      <c r="F168" t="s">
        <v>264</v>
      </c>
      <c r="G168" t="s">
        <v>797</v>
      </c>
      <c r="H168" t="s">
        <v>29</v>
      </c>
      <c r="I168" t="s">
        <v>106</v>
      </c>
      <c r="J168" t="s">
        <v>813</v>
      </c>
      <c r="K168" t="s">
        <v>822</v>
      </c>
      <c r="L168" t="s">
        <v>818</v>
      </c>
      <c r="M168" s="5">
        <v>46056</v>
      </c>
      <c r="N168" s="5">
        <v>46054</v>
      </c>
      <c r="O168">
        <v>3</v>
      </c>
      <c r="P168">
        <v>29.64</v>
      </c>
      <c r="Q168">
        <v>41.5</v>
      </c>
      <c r="R168">
        <v>0.1</v>
      </c>
      <c r="S168">
        <v>112.05</v>
      </c>
      <c r="T168" t="s">
        <v>829</v>
      </c>
      <c r="U168">
        <v>88.92</v>
      </c>
      <c r="V168">
        <v>23.13</v>
      </c>
    </row>
    <row r="169" spans="1:22" x14ac:dyDescent="0.35">
      <c r="A169" t="s">
        <v>1270</v>
      </c>
      <c r="B169" t="s">
        <v>1271</v>
      </c>
      <c r="C169" t="s">
        <v>611</v>
      </c>
      <c r="D169" t="s">
        <v>287</v>
      </c>
      <c r="E169" t="s">
        <v>254</v>
      </c>
      <c r="F169" t="s">
        <v>235</v>
      </c>
      <c r="G169" t="s">
        <v>797</v>
      </c>
      <c r="H169" t="s">
        <v>48</v>
      </c>
      <c r="I169" t="s">
        <v>177</v>
      </c>
      <c r="J169" t="s">
        <v>798</v>
      </c>
      <c r="K169" t="s">
        <v>787</v>
      </c>
      <c r="L169" t="s">
        <v>818</v>
      </c>
      <c r="M169" s="5">
        <v>45705</v>
      </c>
      <c r="O169">
        <v>2</v>
      </c>
      <c r="P169">
        <v>41.79</v>
      </c>
      <c r="Q169">
        <v>60.6</v>
      </c>
      <c r="R169">
        <v>0</v>
      </c>
      <c r="S169">
        <v>121.2</v>
      </c>
      <c r="T169" t="s">
        <v>794</v>
      </c>
      <c r="U169">
        <v>83.58</v>
      </c>
      <c r="V169">
        <v>37.619999999999997</v>
      </c>
    </row>
    <row r="170" spans="1:22" x14ac:dyDescent="0.35">
      <c r="A170" t="s">
        <v>1272</v>
      </c>
      <c r="B170" t="s">
        <v>1273</v>
      </c>
      <c r="C170" t="s">
        <v>487</v>
      </c>
      <c r="D170" t="s">
        <v>488</v>
      </c>
      <c r="E170" t="s">
        <v>681</v>
      </c>
      <c r="F170" t="s">
        <v>243</v>
      </c>
      <c r="G170" t="s">
        <v>797</v>
      </c>
      <c r="H170" t="s">
        <v>8</v>
      </c>
      <c r="I170" t="s">
        <v>181</v>
      </c>
      <c r="J170" t="s">
        <v>798</v>
      </c>
      <c r="K170" t="s">
        <v>787</v>
      </c>
      <c r="L170" t="s">
        <v>842</v>
      </c>
      <c r="M170" s="5">
        <v>45552</v>
      </c>
      <c r="O170">
        <v>1</v>
      </c>
      <c r="P170">
        <v>20.49</v>
      </c>
      <c r="Q170">
        <v>29.71</v>
      </c>
      <c r="R170">
        <v>0.15</v>
      </c>
      <c r="S170">
        <v>25.25</v>
      </c>
      <c r="T170" t="s">
        <v>814</v>
      </c>
      <c r="U170">
        <v>20.49</v>
      </c>
      <c r="V170">
        <v>4.76</v>
      </c>
    </row>
    <row r="171" spans="1:22" x14ac:dyDescent="0.35">
      <c r="A171" t="s">
        <v>1275</v>
      </c>
      <c r="B171" t="s">
        <v>1276</v>
      </c>
      <c r="C171" t="s">
        <v>497</v>
      </c>
      <c r="D171" t="s">
        <v>296</v>
      </c>
      <c r="E171" t="s">
        <v>637</v>
      </c>
      <c r="F171" t="s">
        <v>235</v>
      </c>
      <c r="G171" t="s">
        <v>14</v>
      </c>
      <c r="H171" t="s">
        <v>38</v>
      </c>
      <c r="I171" t="s">
        <v>36</v>
      </c>
      <c r="J171" t="s">
        <v>798</v>
      </c>
      <c r="K171" t="s">
        <v>799</v>
      </c>
      <c r="L171" t="s">
        <v>788</v>
      </c>
      <c r="M171" s="5">
        <v>45632</v>
      </c>
      <c r="N171" s="5">
        <v>45633</v>
      </c>
      <c r="O171">
        <v>2</v>
      </c>
      <c r="P171">
        <v>8.57</v>
      </c>
      <c r="Q171">
        <v>11.14</v>
      </c>
      <c r="R171">
        <v>0.1</v>
      </c>
      <c r="S171">
        <v>20.05</v>
      </c>
      <c r="T171" t="s">
        <v>946</v>
      </c>
      <c r="U171">
        <v>17.14</v>
      </c>
      <c r="V171">
        <v>2.91</v>
      </c>
    </row>
    <row r="172" spans="1:22" x14ac:dyDescent="0.35">
      <c r="A172" t="s">
        <v>1279</v>
      </c>
      <c r="B172" t="s">
        <v>1280</v>
      </c>
      <c r="C172" t="s">
        <v>538</v>
      </c>
      <c r="D172" t="s">
        <v>539</v>
      </c>
      <c r="E172" t="s">
        <v>696</v>
      </c>
      <c r="F172" t="s">
        <v>264</v>
      </c>
      <c r="G172" t="s">
        <v>14</v>
      </c>
      <c r="H172" t="s">
        <v>38</v>
      </c>
      <c r="I172" t="s">
        <v>132</v>
      </c>
      <c r="J172" t="s">
        <v>798</v>
      </c>
      <c r="K172" t="s">
        <v>793</v>
      </c>
      <c r="L172" t="s">
        <v>800</v>
      </c>
      <c r="M172" s="5">
        <v>45945</v>
      </c>
      <c r="O172">
        <v>1</v>
      </c>
      <c r="P172">
        <v>12.71</v>
      </c>
      <c r="Q172">
        <v>17.79</v>
      </c>
      <c r="R172">
        <v>0.05</v>
      </c>
      <c r="S172">
        <v>16.899999999999999</v>
      </c>
      <c r="T172" t="s">
        <v>790</v>
      </c>
      <c r="U172">
        <v>12.71</v>
      </c>
      <c r="V172">
        <v>4.1900000000000004</v>
      </c>
    </row>
    <row r="173" spans="1:22" x14ac:dyDescent="0.35">
      <c r="A173" t="s">
        <v>1281</v>
      </c>
      <c r="B173" t="s">
        <v>1282</v>
      </c>
      <c r="C173" t="s">
        <v>487</v>
      </c>
      <c r="D173" t="s">
        <v>488</v>
      </c>
      <c r="E173" t="s">
        <v>633</v>
      </c>
      <c r="F173" t="s">
        <v>243</v>
      </c>
      <c r="G173" t="s">
        <v>797</v>
      </c>
      <c r="H173" t="s">
        <v>8</v>
      </c>
      <c r="I173" t="s">
        <v>6</v>
      </c>
      <c r="J173" t="s">
        <v>798</v>
      </c>
      <c r="K173" t="s">
        <v>793</v>
      </c>
      <c r="L173" t="s">
        <v>842</v>
      </c>
      <c r="M173" s="5">
        <v>45531</v>
      </c>
      <c r="O173">
        <v>12</v>
      </c>
      <c r="P173">
        <v>32.24</v>
      </c>
      <c r="Q173">
        <v>41.91</v>
      </c>
      <c r="R173">
        <v>0.1</v>
      </c>
      <c r="S173">
        <v>452.63</v>
      </c>
      <c r="T173" t="s">
        <v>888</v>
      </c>
      <c r="U173">
        <v>386.88</v>
      </c>
      <c r="V173">
        <v>65.75</v>
      </c>
    </row>
    <row r="174" spans="1:22" x14ac:dyDescent="0.35">
      <c r="A174" t="s">
        <v>1284</v>
      </c>
      <c r="B174" t="s">
        <v>1285</v>
      </c>
      <c r="C174" t="s">
        <v>498</v>
      </c>
      <c r="D174" t="s">
        <v>499</v>
      </c>
      <c r="E174" t="s">
        <v>627</v>
      </c>
      <c r="F174" t="s">
        <v>235</v>
      </c>
      <c r="G174" t="s">
        <v>797</v>
      </c>
      <c r="H174" t="s">
        <v>48</v>
      </c>
      <c r="I174" t="s">
        <v>190</v>
      </c>
      <c r="J174" t="s">
        <v>786</v>
      </c>
      <c r="K174" t="s">
        <v>822</v>
      </c>
      <c r="L174" t="s">
        <v>818</v>
      </c>
      <c r="M174" s="5">
        <v>45658</v>
      </c>
      <c r="N174" s="5">
        <v>45651</v>
      </c>
      <c r="O174">
        <v>3</v>
      </c>
      <c r="P174">
        <v>21.56</v>
      </c>
      <c r="Q174">
        <v>31.26</v>
      </c>
      <c r="R174">
        <v>0</v>
      </c>
      <c r="S174">
        <v>93.78</v>
      </c>
      <c r="T174" t="s">
        <v>839</v>
      </c>
      <c r="U174">
        <v>64.680000000000007</v>
      </c>
      <c r="V174">
        <v>29.1</v>
      </c>
    </row>
    <row r="175" spans="1:22" x14ac:dyDescent="0.35">
      <c r="A175" t="s">
        <v>1288</v>
      </c>
      <c r="B175" t="s">
        <v>1289</v>
      </c>
      <c r="C175" t="s">
        <v>394</v>
      </c>
      <c r="D175" t="s">
        <v>356</v>
      </c>
      <c r="E175" t="s">
        <v>637</v>
      </c>
      <c r="F175" t="s">
        <v>264</v>
      </c>
      <c r="G175" t="s">
        <v>797</v>
      </c>
      <c r="H175" t="s">
        <v>48</v>
      </c>
      <c r="I175" t="s">
        <v>219</v>
      </c>
      <c r="J175" t="s">
        <v>798</v>
      </c>
      <c r="K175" t="s">
        <v>793</v>
      </c>
      <c r="L175" t="s">
        <v>818</v>
      </c>
      <c r="M175" s="5">
        <v>45598</v>
      </c>
      <c r="O175">
        <v>3</v>
      </c>
      <c r="P175">
        <v>12.9</v>
      </c>
      <c r="Q175">
        <v>18.7</v>
      </c>
      <c r="R175">
        <v>0.05</v>
      </c>
      <c r="S175">
        <v>53.29</v>
      </c>
      <c r="T175" t="s">
        <v>794</v>
      </c>
      <c r="U175">
        <v>38.700000000000003</v>
      </c>
      <c r="V175">
        <v>14.59</v>
      </c>
    </row>
    <row r="176" spans="1:22" x14ac:dyDescent="0.35">
      <c r="A176" t="s">
        <v>1291</v>
      </c>
      <c r="B176" t="s">
        <v>1155</v>
      </c>
      <c r="C176" t="s">
        <v>463</v>
      </c>
      <c r="D176" t="s">
        <v>464</v>
      </c>
      <c r="E176" t="s">
        <v>637</v>
      </c>
      <c r="F176" t="s">
        <v>264</v>
      </c>
      <c r="G176" t="s">
        <v>797</v>
      </c>
      <c r="H176" t="s">
        <v>20</v>
      </c>
      <c r="I176" t="s">
        <v>102</v>
      </c>
      <c r="J176" t="s">
        <v>798</v>
      </c>
      <c r="K176" t="s">
        <v>793</v>
      </c>
      <c r="L176" t="s">
        <v>788</v>
      </c>
      <c r="M176" s="5">
        <v>45466</v>
      </c>
      <c r="O176">
        <v>2</v>
      </c>
      <c r="P176">
        <v>19.04</v>
      </c>
      <c r="Q176">
        <v>25.7</v>
      </c>
      <c r="R176">
        <v>0.1</v>
      </c>
      <c r="S176">
        <v>46.26</v>
      </c>
      <c r="T176" t="s">
        <v>946</v>
      </c>
      <c r="U176">
        <v>38.08</v>
      </c>
      <c r="V176">
        <v>8.18</v>
      </c>
    </row>
    <row r="177" spans="1:22" x14ac:dyDescent="0.35">
      <c r="A177" t="s">
        <v>1292</v>
      </c>
      <c r="B177" t="s">
        <v>1198</v>
      </c>
      <c r="C177" t="s">
        <v>416</v>
      </c>
      <c r="D177" t="s">
        <v>417</v>
      </c>
      <c r="E177" t="s">
        <v>681</v>
      </c>
      <c r="F177" t="s">
        <v>264</v>
      </c>
      <c r="G177" t="s">
        <v>20</v>
      </c>
      <c r="H177" t="s">
        <v>8</v>
      </c>
      <c r="I177" t="s">
        <v>207</v>
      </c>
      <c r="J177" t="s">
        <v>786</v>
      </c>
      <c r="K177" t="s">
        <v>793</v>
      </c>
      <c r="L177" t="s">
        <v>842</v>
      </c>
      <c r="M177" s="5">
        <v>46016</v>
      </c>
      <c r="O177">
        <v>3</v>
      </c>
      <c r="P177">
        <v>8.5399999999999991</v>
      </c>
      <c r="Q177">
        <v>10.67</v>
      </c>
      <c r="R177">
        <v>0</v>
      </c>
      <c r="S177">
        <v>32.01</v>
      </c>
      <c r="T177" t="s">
        <v>888</v>
      </c>
      <c r="U177">
        <v>25.62</v>
      </c>
      <c r="V177">
        <v>6.39</v>
      </c>
    </row>
    <row r="178" spans="1:22" x14ac:dyDescent="0.35">
      <c r="A178" t="s">
        <v>1294</v>
      </c>
      <c r="B178" t="s">
        <v>1295</v>
      </c>
      <c r="C178" t="s">
        <v>565</v>
      </c>
      <c r="D178" t="s">
        <v>566</v>
      </c>
      <c r="E178" t="s">
        <v>696</v>
      </c>
      <c r="G178" t="s">
        <v>14</v>
      </c>
      <c r="H178" t="s">
        <v>14</v>
      </c>
      <c r="I178" t="s">
        <v>169</v>
      </c>
      <c r="J178" t="s">
        <v>798</v>
      </c>
      <c r="K178" t="s">
        <v>799</v>
      </c>
      <c r="L178" t="s">
        <v>788</v>
      </c>
      <c r="M178" s="5">
        <v>45595</v>
      </c>
      <c r="N178" s="5">
        <v>45591</v>
      </c>
      <c r="O178">
        <v>3</v>
      </c>
      <c r="P178">
        <v>40.590000000000003</v>
      </c>
      <c r="Q178">
        <v>58.86</v>
      </c>
      <c r="R178">
        <v>0</v>
      </c>
      <c r="S178">
        <v>176.58</v>
      </c>
      <c r="T178" t="s">
        <v>839</v>
      </c>
      <c r="U178">
        <v>121.77</v>
      </c>
      <c r="V178">
        <v>54.81</v>
      </c>
    </row>
    <row r="179" spans="1:22" x14ac:dyDescent="0.35">
      <c r="A179" t="s">
        <v>1296</v>
      </c>
      <c r="B179" t="s">
        <v>1297</v>
      </c>
      <c r="C179" t="s">
        <v>257</v>
      </c>
      <c r="D179" t="s">
        <v>258</v>
      </c>
      <c r="E179" t="s">
        <v>674</v>
      </c>
      <c r="F179" t="s">
        <v>235</v>
      </c>
      <c r="G179" t="s">
        <v>48</v>
      </c>
      <c r="H179" t="s">
        <v>14</v>
      </c>
      <c r="I179" t="s">
        <v>12</v>
      </c>
      <c r="J179" t="s">
        <v>798</v>
      </c>
      <c r="K179" t="s">
        <v>787</v>
      </c>
      <c r="L179" t="s">
        <v>818</v>
      </c>
      <c r="M179" s="5">
        <v>45349</v>
      </c>
      <c r="O179">
        <v>2</v>
      </c>
      <c r="P179">
        <v>35.03</v>
      </c>
      <c r="Q179">
        <v>50.79</v>
      </c>
      <c r="R179">
        <v>0.15</v>
      </c>
      <c r="S179">
        <v>86.34</v>
      </c>
      <c r="T179" t="s">
        <v>839</v>
      </c>
      <c r="U179">
        <v>70.06</v>
      </c>
      <c r="V179">
        <v>16.28</v>
      </c>
    </row>
    <row r="180" spans="1:22" x14ac:dyDescent="0.35">
      <c r="A180" t="s">
        <v>1298</v>
      </c>
      <c r="B180" t="s">
        <v>979</v>
      </c>
      <c r="C180" t="s">
        <v>353</v>
      </c>
      <c r="D180" t="s">
        <v>258</v>
      </c>
      <c r="E180" t="s">
        <v>254</v>
      </c>
      <c r="F180" t="s">
        <v>264</v>
      </c>
      <c r="G180" t="s">
        <v>14</v>
      </c>
      <c r="H180" t="s">
        <v>43</v>
      </c>
      <c r="I180" t="s">
        <v>99</v>
      </c>
      <c r="J180" t="s">
        <v>798</v>
      </c>
      <c r="K180" t="s">
        <v>793</v>
      </c>
      <c r="L180" t="s">
        <v>818</v>
      </c>
      <c r="M180" s="5">
        <v>45537</v>
      </c>
      <c r="O180">
        <v>3</v>
      </c>
      <c r="P180">
        <v>10.88</v>
      </c>
      <c r="Q180">
        <v>15.78</v>
      </c>
      <c r="R180">
        <v>0</v>
      </c>
      <c r="S180">
        <v>47.34</v>
      </c>
      <c r="T180" t="s">
        <v>845</v>
      </c>
      <c r="U180">
        <v>32.64</v>
      </c>
      <c r="V180">
        <v>14.7</v>
      </c>
    </row>
    <row r="181" spans="1:22" x14ac:dyDescent="0.35">
      <c r="A181" t="s">
        <v>1299</v>
      </c>
      <c r="B181" t="s">
        <v>1077</v>
      </c>
      <c r="C181" t="s">
        <v>437</v>
      </c>
      <c r="D181" t="s">
        <v>396</v>
      </c>
      <c r="E181" t="s">
        <v>254</v>
      </c>
      <c r="F181" t="s">
        <v>264</v>
      </c>
      <c r="G181" t="s">
        <v>20</v>
      </c>
      <c r="H181" t="s">
        <v>20</v>
      </c>
      <c r="I181" t="s">
        <v>104</v>
      </c>
      <c r="J181" t="s">
        <v>786</v>
      </c>
      <c r="K181" t="s">
        <v>787</v>
      </c>
      <c r="L181" t="s">
        <v>818</v>
      </c>
      <c r="M181" s="5">
        <v>46019</v>
      </c>
      <c r="O181">
        <v>5</v>
      </c>
      <c r="P181">
        <v>43.88</v>
      </c>
      <c r="Q181">
        <v>54.85</v>
      </c>
      <c r="R181">
        <v>0</v>
      </c>
      <c r="S181">
        <v>274.25</v>
      </c>
      <c r="T181" t="s">
        <v>790</v>
      </c>
      <c r="U181">
        <v>219.4</v>
      </c>
      <c r="V181">
        <v>54.85</v>
      </c>
    </row>
    <row r="182" spans="1:22" x14ac:dyDescent="0.35">
      <c r="A182" t="s">
        <v>1300</v>
      </c>
      <c r="B182" t="s">
        <v>962</v>
      </c>
      <c r="C182" t="s">
        <v>372</v>
      </c>
      <c r="D182" t="s">
        <v>373</v>
      </c>
      <c r="E182" t="s">
        <v>637</v>
      </c>
      <c r="F182" t="s">
        <v>235</v>
      </c>
      <c r="G182" t="s">
        <v>797</v>
      </c>
      <c r="H182" t="s">
        <v>29</v>
      </c>
      <c r="I182" t="s">
        <v>121</v>
      </c>
      <c r="J182" t="s">
        <v>798</v>
      </c>
      <c r="K182" t="s">
        <v>787</v>
      </c>
      <c r="L182" t="s">
        <v>788</v>
      </c>
      <c r="M182" s="5">
        <v>45780</v>
      </c>
      <c r="O182">
        <v>3</v>
      </c>
      <c r="P182">
        <v>15.46</v>
      </c>
      <c r="Q182">
        <v>22.42</v>
      </c>
      <c r="R182">
        <v>0.05</v>
      </c>
      <c r="S182">
        <v>63.9</v>
      </c>
      <c r="T182" t="s">
        <v>845</v>
      </c>
      <c r="U182">
        <v>46.38</v>
      </c>
      <c r="V182">
        <v>17.52</v>
      </c>
    </row>
    <row r="183" spans="1:22" x14ac:dyDescent="0.35">
      <c r="A183" t="s">
        <v>1301</v>
      </c>
      <c r="B183" t="s">
        <v>1273</v>
      </c>
      <c r="C183" t="s">
        <v>374</v>
      </c>
      <c r="D183" t="s">
        <v>375</v>
      </c>
      <c r="E183" t="s">
        <v>696</v>
      </c>
      <c r="F183" t="s">
        <v>264</v>
      </c>
      <c r="G183" t="s">
        <v>20</v>
      </c>
      <c r="H183" t="s">
        <v>43</v>
      </c>
      <c r="I183" t="s">
        <v>141</v>
      </c>
      <c r="J183" t="s">
        <v>813</v>
      </c>
      <c r="K183" t="s">
        <v>799</v>
      </c>
      <c r="L183" t="s">
        <v>788</v>
      </c>
      <c r="M183" s="5">
        <v>45548</v>
      </c>
      <c r="N183" s="5">
        <v>45550</v>
      </c>
      <c r="O183">
        <v>5</v>
      </c>
      <c r="P183">
        <v>17.2</v>
      </c>
      <c r="Q183">
        <v>22.36</v>
      </c>
      <c r="R183">
        <v>0.05</v>
      </c>
      <c r="S183">
        <v>106.21</v>
      </c>
      <c r="T183" t="s">
        <v>935</v>
      </c>
      <c r="U183">
        <v>86</v>
      </c>
      <c r="V183">
        <v>20.21</v>
      </c>
    </row>
    <row r="184" spans="1:22" x14ac:dyDescent="0.35">
      <c r="A184" t="s">
        <v>1303</v>
      </c>
      <c r="B184" t="s">
        <v>1092</v>
      </c>
      <c r="C184" t="s">
        <v>563</v>
      </c>
      <c r="D184" t="s">
        <v>311</v>
      </c>
      <c r="E184" t="s">
        <v>681</v>
      </c>
      <c r="F184" t="s">
        <v>264</v>
      </c>
      <c r="G184" t="s">
        <v>797</v>
      </c>
      <c r="H184" t="s">
        <v>48</v>
      </c>
      <c r="I184" t="s">
        <v>210</v>
      </c>
      <c r="J184" t="s">
        <v>786</v>
      </c>
      <c r="K184" t="s">
        <v>799</v>
      </c>
      <c r="L184" t="s">
        <v>800</v>
      </c>
      <c r="M184" s="5">
        <v>45636</v>
      </c>
      <c r="N184" s="5">
        <v>45627</v>
      </c>
      <c r="O184">
        <v>5</v>
      </c>
      <c r="P184">
        <v>25.36</v>
      </c>
      <c r="Q184">
        <v>34.24</v>
      </c>
      <c r="R184">
        <v>0.05</v>
      </c>
      <c r="S184">
        <v>162.63999999999999</v>
      </c>
      <c r="T184" t="s">
        <v>869</v>
      </c>
      <c r="U184">
        <v>126.8</v>
      </c>
      <c r="V184">
        <v>35.840000000000003</v>
      </c>
    </row>
    <row r="185" spans="1:22" x14ac:dyDescent="0.35">
      <c r="A185" t="s">
        <v>1305</v>
      </c>
      <c r="B185" t="s">
        <v>1306</v>
      </c>
      <c r="C185" t="s">
        <v>283</v>
      </c>
      <c r="D185" t="s">
        <v>284</v>
      </c>
      <c r="E185" t="s">
        <v>637</v>
      </c>
      <c r="F185" t="s">
        <v>264</v>
      </c>
      <c r="G185" t="s">
        <v>14</v>
      </c>
      <c r="H185" t="s">
        <v>43</v>
      </c>
      <c r="I185" t="s">
        <v>99</v>
      </c>
      <c r="J185" t="s">
        <v>786</v>
      </c>
      <c r="K185" t="s">
        <v>793</v>
      </c>
      <c r="L185" t="s">
        <v>818</v>
      </c>
      <c r="M185" s="5">
        <v>45509</v>
      </c>
      <c r="O185">
        <v>2</v>
      </c>
      <c r="P185">
        <v>10.88</v>
      </c>
      <c r="Q185">
        <v>15.78</v>
      </c>
      <c r="R185">
        <v>0</v>
      </c>
      <c r="S185">
        <v>31.56</v>
      </c>
      <c r="T185" t="s">
        <v>839</v>
      </c>
      <c r="U185">
        <v>21.76</v>
      </c>
      <c r="V185">
        <v>9.8000000000000007</v>
      </c>
    </row>
    <row r="186" spans="1:22" x14ac:dyDescent="0.35">
      <c r="A186" t="s">
        <v>1307</v>
      </c>
      <c r="B186" t="s">
        <v>885</v>
      </c>
      <c r="C186" t="s">
        <v>547</v>
      </c>
      <c r="D186" t="s">
        <v>375</v>
      </c>
      <c r="E186" t="s">
        <v>254</v>
      </c>
      <c r="F186" t="s">
        <v>243</v>
      </c>
      <c r="G186" t="s">
        <v>797</v>
      </c>
      <c r="H186" t="s">
        <v>48</v>
      </c>
      <c r="I186" t="s">
        <v>54</v>
      </c>
      <c r="J186" t="s">
        <v>798</v>
      </c>
      <c r="K186" t="s">
        <v>817</v>
      </c>
      <c r="L186" t="s">
        <v>818</v>
      </c>
      <c r="M186" s="5">
        <v>45470</v>
      </c>
      <c r="O186">
        <v>2</v>
      </c>
      <c r="P186">
        <v>21.67</v>
      </c>
      <c r="Q186">
        <v>28.17</v>
      </c>
      <c r="R186">
        <v>0.15</v>
      </c>
      <c r="S186">
        <v>47.89</v>
      </c>
      <c r="T186" t="s">
        <v>946</v>
      </c>
      <c r="U186">
        <v>43.34</v>
      </c>
      <c r="V186">
        <v>4.55</v>
      </c>
    </row>
    <row r="187" spans="1:22" x14ac:dyDescent="0.35">
      <c r="A187" t="s">
        <v>1309</v>
      </c>
      <c r="B187" t="s">
        <v>1196</v>
      </c>
      <c r="C187" t="s">
        <v>613</v>
      </c>
      <c r="D187" t="s">
        <v>304</v>
      </c>
      <c r="E187" t="s">
        <v>254</v>
      </c>
      <c r="F187" t="s">
        <v>243</v>
      </c>
      <c r="G187" t="s">
        <v>797</v>
      </c>
      <c r="H187" t="s">
        <v>79</v>
      </c>
      <c r="I187" t="s">
        <v>220</v>
      </c>
      <c r="J187" t="s">
        <v>798</v>
      </c>
      <c r="K187" t="s">
        <v>799</v>
      </c>
      <c r="L187" t="s">
        <v>800</v>
      </c>
      <c r="M187" s="5">
        <v>45457</v>
      </c>
      <c r="N187" s="5">
        <v>45451</v>
      </c>
      <c r="O187">
        <v>20</v>
      </c>
      <c r="P187">
        <v>46</v>
      </c>
      <c r="Q187">
        <v>62.1</v>
      </c>
      <c r="R187">
        <v>0.15</v>
      </c>
      <c r="S187">
        <v>1055.7</v>
      </c>
      <c r="T187" t="s">
        <v>829</v>
      </c>
      <c r="U187">
        <v>920</v>
      </c>
      <c r="V187">
        <v>135.69999999999999</v>
      </c>
    </row>
    <row r="188" spans="1:22" x14ac:dyDescent="0.35">
      <c r="A188" t="s">
        <v>1312</v>
      </c>
      <c r="B188" t="s">
        <v>1215</v>
      </c>
      <c r="C188" t="s">
        <v>354</v>
      </c>
      <c r="D188" t="s">
        <v>321</v>
      </c>
      <c r="E188" t="s">
        <v>681</v>
      </c>
      <c r="F188" t="s">
        <v>243</v>
      </c>
      <c r="G188" t="s">
        <v>14</v>
      </c>
      <c r="H188" t="s">
        <v>48</v>
      </c>
      <c r="I188" t="s">
        <v>61</v>
      </c>
      <c r="J188" t="s">
        <v>813</v>
      </c>
      <c r="K188" t="s">
        <v>799</v>
      </c>
      <c r="L188" t="s">
        <v>800</v>
      </c>
      <c r="M188" s="5">
        <v>45659</v>
      </c>
      <c r="N188" s="5">
        <v>45662</v>
      </c>
      <c r="O188">
        <v>1</v>
      </c>
      <c r="P188">
        <v>26.08</v>
      </c>
      <c r="Q188">
        <v>35.21</v>
      </c>
      <c r="R188">
        <v>0.1</v>
      </c>
      <c r="S188">
        <v>31.69</v>
      </c>
      <c r="T188" t="s">
        <v>869</v>
      </c>
      <c r="U188">
        <v>26.08</v>
      </c>
      <c r="V188">
        <v>5.61</v>
      </c>
    </row>
    <row r="189" spans="1:22" x14ac:dyDescent="0.35">
      <c r="A189" t="s">
        <v>1314</v>
      </c>
      <c r="B189" t="s">
        <v>1315</v>
      </c>
      <c r="C189" t="s">
        <v>257</v>
      </c>
      <c r="D189" t="s">
        <v>258</v>
      </c>
      <c r="E189" t="s">
        <v>681</v>
      </c>
      <c r="F189" t="s">
        <v>235</v>
      </c>
      <c r="G189" t="s">
        <v>797</v>
      </c>
      <c r="H189" t="s">
        <v>79</v>
      </c>
      <c r="I189" t="s">
        <v>220</v>
      </c>
      <c r="J189" t="s">
        <v>798</v>
      </c>
      <c r="K189" t="s">
        <v>793</v>
      </c>
      <c r="L189" t="s">
        <v>842</v>
      </c>
      <c r="M189" s="5">
        <v>45748</v>
      </c>
      <c r="O189">
        <v>5</v>
      </c>
      <c r="P189">
        <v>46</v>
      </c>
      <c r="Q189">
        <v>62.1</v>
      </c>
      <c r="R189">
        <v>0.05</v>
      </c>
      <c r="S189">
        <v>294.97000000000003</v>
      </c>
      <c r="T189" t="s">
        <v>1001</v>
      </c>
      <c r="U189">
        <v>230</v>
      </c>
      <c r="V189">
        <v>64.97</v>
      </c>
    </row>
    <row r="190" spans="1:22" x14ac:dyDescent="0.35">
      <c r="A190" t="s">
        <v>1316</v>
      </c>
      <c r="B190" t="s">
        <v>1317</v>
      </c>
      <c r="C190" t="s">
        <v>421</v>
      </c>
      <c r="D190" t="s">
        <v>422</v>
      </c>
      <c r="E190" t="s">
        <v>627</v>
      </c>
      <c r="F190" t="s">
        <v>235</v>
      </c>
      <c r="G190" t="s">
        <v>14</v>
      </c>
      <c r="H190" t="s">
        <v>29</v>
      </c>
      <c r="I190" t="s">
        <v>145</v>
      </c>
      <c r="J190" t="s">
        <v>813</v>
      </c>
      <c r="K190" t="s">
        <v>793</v>
      </c>
      <c r="L190" t="s">
        <v>800</v>
      </c>
      <c r="M190" s="5">
        <v>45743</v>
      </c>
      <c r="O190">
        <v>1</v>
      </c>
      <c r="P190">
        <v>57.16</v>
      </c>
      <c r="Q190">
        <v>82.88</v>
      </c>
      <c r="R190">
        <v>0</v>
      </c>
      <c r="S190">
        <v>82.88</v>
      </c>
      <c r="T190" t="s">
        <v>845</v>
      </c>
      <c r="U190">
        <v>57.16</v>
      </c>
      <c r="V190">
        <v>25.72</v>
      </c>
    </row>
    <row r="191" spans="1:22" x14ac:dyDescent="0.35">
      <c r="A191" t="s">
        <v>1319</v>
      </c>
      <c r="B191" t="s">
        <v>1320</v>
      </c>
      <c r="C191" t="s">
        <v>532</v>
      </c>
      <c r="D191" t="s">
        <v>533</v>
      </c>
      <c r="E191" t="s">
        <v>674</v>
      </c>
      <c r="F191" t="s">
        <v>235</v>
      </c>
      <c r="G191" t="s">
        <v>797</v>
      </c>
      <c r="H191" t="s">
        <v>8</v>
      </c>
      <c r="I191" t="s">
        <v>95</v>
      </c>
      <c r="J191" t="s">
        <v>813</v>
      </c>
      <c r="K191" t="s">
        <v>793</v>
      </c>
      <c r="L191" t="s">
        <v>800</v>
      </c>
      <c r="M191" s="5">
        <v>45576</v>
      </c>
      <c r="O191">
        <v>3</v>
      </c>
      <c r="P191">
        <v>23.02</v>
      </c>
      <c r="Q191">
        <v>28.77</v>
      </c>
      <c r="R191">
        <v>0.1</v>
      </c>
      <c r="S191">
        <v>77.680000000000007</v>
      </c>
      <c r="T191" t="s">
        <v>814</v>
      </c>
      <c r="U191">
        <v>69.06</v>
      </c>
      <c r="V191">
        <v>8.6199999999999992</v>
      </c>
    </row>
    <row r="192" spans="1:22" x14ac:dyDescent="0.35">
      <c r="A192" t="s">
        <v>1322</v>
      </c>
      <c r="B192" t="s">
        <v>1088</v>
      </c>
      <c r="C192" t="s">
        <v>614</v>
      </c>
      <c r="D192" t="s">
        <v>615</v>
      </c>
      <c r="E192" t="s">
        <v>681</v>
      </c>
      <c r="F192" t="s">
        <v>235</v>
      </c>
      <c r="G192" t="s">
        <v>14</v>
      </c>
      <c r="H192" t="s">
        <v>48</v>
      </c>
      <c r="I192" t="s">
        <v>143</v>
      </c>
      <c r="J192" t="s">
        <v>798</v>
      </c>
      <c r="K192" t="s">
        <v>822</v>
      </c>
      <c r="L192" t="s">
        <v>800</v>
      </c>
      <c r="M192" s="5">
        <v>45763</v>
      </c>
      <c r="N192" s="5">
        <v>45762</v>
      </c>
      <c r="O192">
        <v>20</v>
      </c>
      <c r="P192">
        <v>29.93</v>
      </c>
      <c r="Q192">
        <v>38.909999999999997</v>
      </c>
      <c r="R192">
        <v>0.1</v>
      </c>
      <c r="S192">
        <v>700.38</v>
      </c>
      <c r="T192" t="s">
        <v>794</v>
      </c>
      <c r="U192">
        <v>598.6</v>
      </c>
      <c r="V192">
        <v>101.78</v>
      </c>
    </row>
    <row r="193" spans="1:22" x14ac:dyDescent="0.35">
      <c r="A193" t="s">
        <v>1323</v>
      </c>
      <c r="B193" t="s">
        <v>1324</v>
      </c>
      <c r="C193" t="s">
        <v>573</v>
      </c>
      <c r="D193" t="s">
        <v>277</v>
      </c>
      <c r="E193" t="s">
        <v>627</v>
      </c>
      <c r="F193" t="s">
        <v>235</v>
      </c>
      <c r="G193" t="s">
        <v>20</v>
      </c>
      <c r="H193" t="s">
        <v>29</v>
      </c>
      <c r="I193" t="s">
        <v>158</v>
      </c>
      <c r="J193" t="s">
        <v>813</v>
      </c>
      <c r="K193" t="s">
        <v>799</v>
      </c>
      <c r="L193" t="s">
        <v>788</v>
      </c>
      <c r="M193" s="5">
        <v>46033</v>
      </c>
      <c r="N193" s="5">
        <v>46036</v>
      </c>
      <c r="O193">
        <v>10</v>
      </c>
      <c r="P193">
        <v>25.8</v>
      </c>
      <c r="Q193">
        <v>36.119999999999997</v>
      </c>
      <c r="R193">
        <v>0.1</v>
      </c>
      <c r="S193">
        <v>325.08</v>
      </c>
      <c r="T193" t="s">
        <v>859</v>
      </c>
      <c r="U193">
        <v>258</v>
      </c>
      <c r="V193">
        <v>67.08</v>
      </c>
    </row>
    <row r="194" spans="1:22" x14ac:dyDescent="0.35">
      <c r="A194" t="s">
        <v>1326</v>
      </c>
      <c r="B194" t="s">
        <v>1003</v>
      </c>
      <c r="C194" t="s">
        <v>434</v>
      </c>
      <c r="D194" t="s">
        <v>435</v>
      </c>
      <c r="E194" t="s">
        <v>254</v>
      </c>
      <c r="F194" t="s">
        <v>264</v>
      </c>
      <c r="G194" t="s">
        <v>797</v>
      </c>
      <c r="H194" t="s">
        <v>29</v>
      </c>
      <c r="I194" t="s">
        <v>183</v>
      </c>
      <c r="J194" t="s">
        <v>798</v>
      </c>
      <c r="K194" t="s">
        <v>787</v>
      </c>
      <c r="L194" t="s">
        <v>788</v>
      </c>
      <c r="M194" s="5">
        <v>45718</v>
      </c>
      <c r="O194">
        <v>3</v>
      </c>
      <c r="P194">
        <v>10.97</v>
      </c>
      <c r="Q194">
        <v>15.91</v>
      </c>
      <c r="R194">
        <v>0</v>
      </c>
      <c r="S194">
        <v>47.73</v>
      </c>
      <c r="T194" t="s">
        <v>829</v>
      </c>
      <c r="U194">
        <v>32.909999999999997</v>
      </c>
      <c r="V194">
        <v>14.82</v>
      </c>
    </row>
    <row r="195" spans="1:22" x14ac:dyDescent="0.35">
      <c r="A195" t="s">
        <v>1327</v>
      </c>
      <c r="B195" t="s">
        <v>1328</v>
      </c>
      <c r="C195" t="s">
        <v>504</v>
      </c>
      <c r="D195" t="s">
        <v>505</v>
      </c>
      <c r="E195" t="s">
        <v>674</v>
      </c>
      <c r="F195" t="s">
        <v>264</v>
      </c>
      <c r="G195" t="s">
        <v>797</v>
      </c>
      <c r="H195" t="s">
        <v>14</v>
      </c>
      <c r="I195" t="s">
        <v>128</v>
      </c>
      <c r="J195" t="s">
        <v>798</v>
      </c>
      <c r="K195" t="s">
        <v>799</v>
      </c>
      <c r="L195" t="s">
        <v>818</v>
      </c>
      <c r="M195" s="5">
        <v>45505</v>
      </c>
      <c r="N195" s="5">
        <v>45508</v>
      </c>
      <c r="O195">
        <v>5</v>
      </c>
      <c r="P195">
        <v>18.850000000000001</v>
      </c>
      <c r="Q195">
        <v>27.33</v>
      </c>
      <c r="R195">
        <v>0.1</v>
      </c>
      <c r="S195">
        <v>122.98</v>
      </c>
      <c r="T195" t="s">
        <v>946</v>
      </c>
      <c r="U195">
        <v>94.25</v>
      </c>
      <c r="V195">
        <v>28.73</v>
      </c>
    </row>
    <row r="196" spans="1:22" x14ac:dyDescent="0.35">
      <c r="A196" t="s">
        <v>1331</v>
      </c>
      <c r="B196" t="s">
        <v>1332</v>
      </c>
      <c r="C196" t="s">
        <v>452</v>
      </c>
      <c r="D196" t="s">
        <v>420</v>
      </c>
      <c r="E196" t="s">
        <v>674</v>
      </c>
      <c r="F196" t="s">
        <v>264</v>
      </c>
      <c r="G196" t="s">
        <v>14</v>
      </c>
      <c r="H196" t="s">
        <v>38</v>
      </c>
      <c r="I196" t="s">
        <v>165</v>
      </c>
      <c r="J196" t="s">
        <v>813</v>
      </c>
      <c r="K196" t="s">
        <v>822</v>
      </c>
      <c r="L196" t="s">
        <v>788</v>
      </c>
      <c r="M196" s="5">
        <v>45557</v>
      </c>
      <c r="N196" s="5">
        <v>45556</v>
      </c>
      <c r="O196">
        <v>2</v>
      </c>
      <c r="P196">
        <v>18.45</v>
      </c>
      <c r="Q196">
        <v>25.83</v>
      </c>
      <c r="R196">
        <v>0.15</v>
      </c>
      <c r="S196">
        <v>43.91</v>
      </c>
      <c r="T196" t="s">
        <v>819</v>
      </c>
      <c r="U196">
        <v>36.9</v>
      </c>
      <c r="V196">
        <v>7.01</v>
      </c>
    </row>
    <row r="197" spans="1:22" x14ac:dyDescent="0.35">
      <c r="A197" t="s">
        <v>1334</v>
      </c>
      <c r="B197" t="s">
        <v>1335</v>
      </c>
      <c r="C197" t="s">
        <v>291</v>
      </c>
      <c r="D197" t="s">
        <v>292</v>
      </c>
      <c r="E197" t="s">
        <v>633</v>
      </c>
      <c r="F197" t="s">
        <v>243</v>
      </c>
      <c r="G197" t="s">
        <v>14</v>
      </c>
      <c r="H197" t="s">
        <v>20</v>
      </c>
      <c r="I197" t="s">
        <v>137</v>
      </c>
      <c r="J197" t="s">
        <v>786</v>
      </c>
      <c r="K197" t="s">
        <v>793</v>
      </c>
      <c r="L197" t="s">
        <v>800</v>
      </c>
      <c r="M197" s="5">
        <v>45785</v>
      </c>
      <c r="O197">
        <v>5</v>
      </c>
      <c r="P197">
        <v>23.58</v>
      </c>
      <c r="Q197">
        <v>31.83</v>
      </c>
      <c r="R197">
        <v>0.15</v>
      </c>
      <c r="S197">
        <v>135.28</v>
      </c>
      <c r="T197" t="s">
        <v>829</v>
      </c>
      <c r="U197">
        <v>117.9</v>
      </c>
      <c r="V197">
        <v>17.38</v>
      </c>
    </row>
    <row r="198" spans="1:22" x14ac:dyDescent="0.35">
      <c r="A198" t="s">
        <v>1336</v>
      </c>
      <c r="B198" t="s">
        <v>1136</v>
      </c>
      <c r="C198" t="s">
        <v>524</v>
      </c>
      <c r="D198" t="s">
        <v>484</v>
      </c>
      <c r="E198" t="s">
        <v>254</v>
      </c>
      <c r="G198" t="s">
        <v>20</v>
      </c>
      <c r="H198" t="s">
        <v>38</v>
      </c>
      <c r="I198" t="s">
        <v>80</v>
      </c>
      <c r="J198" t="s">
        <v>786</v>
      </c>
      <c r="K198" t="s">
        <v>787</v>
      </c>
      <c r="L198" t="s">
        <v>788</v>
      </c>
      <c r="M198" s="5">
        <v>45937</v>
      </c>
      <c r="O198">
        <v>2</v>
      </c>
      <c r="P198">
        <v>38.57</v>
      </c>
      <c r="Q198">
        <v>48.21</v>
      </c>
      <c r="R198">
        <v>0.1</v>
      </c>
      <c r="S198">
        <v>86.78</v>
      </c>
      <c r="T198" t="s">
        <v>919</v>
      </c>
      <c r="U198">
        <v>77.14</v>
      </c>
      <c r="V198">
        <v>9.64</v>
      </c>
    </row>
    <row r="199" spans="1:22" x14ac:dyDescent="0.35">
      <c r="A199" t="s">
        <v>1338</v>
      </c>
      <c r="B199" t="s">
        <v>1339</v>
      </c>
      <c r="C199" t="s">
        <v>525</v>
      </c>
      <c r="D199" t="s">
        <v>526</v>
      </c>
      <c r="E199" t="s">
        <v>696</v>
      </c>
      <c r="F199" t="s">
        <v>243</v>
      </c>
      <c r="G199" t="s">
        <v>797</v>
      </c>
      <c r="H199" t="s">
        <v>29</v>
      </c>
      <c r="I199" t="s">
        <v>106</v>
      </c>
      <c r="J199" t="s">
        <v>798</v>
      </c>
      <c r="K199" t="s">
        <v>793</v>
      </c>
      <c r="L199" t="s">
        <v>788</v>
      </c>
      <c r="M199" s="5">
        <v>45402</v>
      </c>
      <c r="O199">
        <v>1</v>
      </c>
      <c r="P199">
        <v>29.64</v>
      </c>
      <c r="Q199">
        <v>41.5</v>
      </c>
      <c r="R199">
        <v>0.1</v>
      </c>
      <c r="S199">
        <v>37.35</v>
      </c>
      <c r="T199" t="s">
        <v>790</v>
      </c>
      <c r="U199">
        <v>29.64</v>
      </c>
      <c r="V199">
        <v>7.71</v>
      </c>
    </row>
    <row r="200" spans="1:22" x14ac:dyDescent="0.35">
      <c r="A200" t="s">
        <v>1341</v>
      </c>
      <c r="B200" t="s">
        <v>913</v>
      </c>
      <c r="C200" t="s">
        <v>612</v>
      </c>
      <c r="D200" t="s">
        <v>447</v>
      </c>
      <c r="E200" t="s">
        <v>681</v>
      </c>
      <c r="F200" t="s">
        <v>235</v>
      </c>
      <c r="G200" t="s">
        <v>14</v>
      </c>
      <c r="H200" t="s">
        <v>14</v>
      </c>
      <c r="I200" t="s">
        <v>169</v>
      </c>
      <c r="J200" t="s">
        <v>798</v>
      </c>
      <c r="K200" t="s">
        <v>799</v>
      </c>
      <c r="L200" t="s">
        <v>818</v>
      </c>
      <c r="M200" s="5">
        <v>45724</v>
      </c>
      <c r="N200" s="5">
        <v>45720</v>
      </c>
      <c r="O200">
        <v>3</v>
      </c>
      <c r="P200">
        <v>40.590000000000003</v>
      </c>
      <c r="Q200">
        <v>58.86</v>
      </c>
      <c r="R200">
        <v>0</v>
      </c>
      <c r="S200">
        <v>176.58</v>
      </c>
      <c r="T200" t="s">
        <v>810</v>
      </c>
      <c r="U200">
        <v>121.77</v>
      </c>
      <c r="V200">
        <v>54.81</v>
      </c>
    </row>
    <row r="201" spans="1:22" x14ac:dyDescent="0.35">
      <c r="A201" t="s">
        <v>1343</v>
      </c>
      <c r="B201" t="s">
        <v>1344</v>
      </c>
      <c r="C201" t="s">
        <v>513</v>
      </c>
      <c r="D201" t="s">
        <v>514</v>
      </c>
      <c r="E201" t="s">
        <v>633</v>
      </c>
      <c r="F201" t="s">
        <v>264</v>
      </c>
      <c r="G201" t="s">
        <v>14</v>
      </c>
      <c r="H201" t="s">
        <v>20</v>
      </c>
      <c r="I201" t="s">
        <v>102</v>
      </c>
      <c r="J201" t="s">
        <v>798</v>
      </c>
      <c r="K201" t="s">
        <v>799</v>
      </c>
      <c r="L201" t="s">
        <v>800</v>
      </c>
      <c r="M201" s="5">
        <v>45862</v>
      </c>
      <c r="N201" s="5">
        <v>45861</v>
      </c>
      <c r="O201">
        <v>10</v>
      </c>
      <c r="P201">
        <v>19.04</v>
      </c>
      <c r="Q201">
        <v>25.7</v>
      </c>
      <c r="R201">
        <v>0</v>
      </c>
      <c r="S201">
        <v>257</v>
      </c>
      <c r="T201" t="s">
        <v>790</v>
      </c>
      <c r="U201">
        <v>190.4</v>
      </c>
      <c r="V201">
        <v>66.599999999999994</v>
      </c>
    </row>
    <row r="202" spans="1:22" x14ac:dyDescent="0.35">
      <c r="A202" t="s">
        <v>1345</v>
      </c>
      <c r="B202" t="s">
        <v>1346</v>
      </c>
      <c r="C202" t="s">
        <v>611</v>
      </c>
      <c r="D202" t="s">
        <v>287</v>
      </c>
      <c r="E202" t="s">
        <v>681</v>
      </c>
      <c r="F202" t="s">
        <v>235</v>
      </c>
      <c r="G202" t="s">
        <v>797</v>
      </c>
      <c r="H202" t="s">
        <v>48</v>
      </c>
      <c r="I202" t="s">
        <v>54</v>
      </c>
      <c r="J202" t="s">
        <v>798</v>
      </c>
      <c r="K202" t="s">
        <v>799</v>
      </c>
      <c r="L202" t="s">
        <v>788</v>
      </c>
      <c r="M202" s="5">
        <v>45679</v>
      </c>
      <c r="N202" s="5">
        <v>45677</v>
      </c>
      <c r="O202">
        <v>12</v>
      </c>
      <c r="P202">
        <v>21.67</v>
      </c>
      <c r="Q202">
        <v>28.17</v>
      </c>
      <c r="R202">
        <v>0.05</v>
      </c>
      <c r="S202">
        <v>321.14</v>
      </c>
      <c r="T202" t="s">
        <v>790</v>
      </c>
      <c r="U202">
        <v>260.04000000000002</v>
      </c>
      <c r="V202">
        <v>61.1</v>
      </c>
    </row>
    <row r="203" spans="1:22" x14ac:dyDescent="0.35">
      <c r="A203" t="s">
        <v>1349</v>
      </c>
      <c r="B203" t="s">
        <v>1350</v>
      </c>
      <c r="C203" t="s">
        <v>489</v>
      </c>
      <c r="D203" t="s">
        <v>318</v>
      </c>
      <c r="E203" t="s">
        <v>696</v>
      </c>
      <c r="F203" t="s">
        <v>243</v>
      </c>
      <c r="G203" t="s">
        <v>797</v>
      </c>
      <c r="H203" t="s">
        <v>29</v>
      </c>
      <c r="I203" t="s">
        <v>154</v>
      </c>
      <c r="J203" t="s">
        <v>813</v>
      </c>
      <c r="K203" t="s">
        <v>793</v>
      </c>
      <c r="L203" t="s">
        <v>842</v>
      </c>
      <c r="M203" s="5">
        <v>45663</v>
      </c>
      <c r="O203">
        <v>2</v>
      </c>
      <c r="P203">
        <v>25.74</v>
      </c>
      <c r="Q203">
        <v>33.46</v>
      </c>
      <c r="R203">
        <v>0.1</v>
      </c>
      <c r="S203">
        <v>60.23</v>
      </c>
      <c r="T203" t="s">
        <v>888</v>
      </c>
      <c r="U203">
        <v>51.48</v>
      </c>
      <c r="V203">
        <v>8.75</v>
      </c>
    </row>
    <row r="204" spans="1:22" x14ac:dyDescent="0.35">
      <c r="A204" t="s">
        <v>1352</v>
      </c>
      <c r="B204" t="s">
        <v>1353</v>
      </c>
      <c r="C204" t="s">
        <v>423</v>
      </c>
      <c r="D204" t="s">
        <v>424</v>
      </c>
      <c r="E204" t="s">
        <v>674</v>
      </c>
      <c r="F204" t="s">
        <v>235</v>
      </c>
      <c r="G204" t="s">
        <v>797</v>
      </c>
      <c r="H204" t="s">
        <v>14</v>
      </c>
      <c r="I204" t="s">
        <v>209</v>
      </c>
      <c r="J204" t="s">
        <v>798</v>
      </c>
      <c r="K204" t="s">
        <v>799</v>
      </c>
      <c r="L204" t="s">
        <v>800</v>
      </c>
      <c r="M204" s="5">
        <v>45608</v>
      </c>
      <c r="N204" s="5">
        <v>45610</v>
      </c>
      <c r="O204">
        <v>1</v>
      </c>
      <c r="P204">
        <v>24.18</v>
      </c>
      <c r="Q204">
        <v>33.85</v>
      </c>
      <c r="R204">
        <v>0.1</v>
      </c>
      <c r="S204">
        <v>30.47</v>
      </c>
      <c r="T204" t="s">
        <v>892</v>
      </c>
      <c r="U204">
        <v>24.18</v>
      </c>
      <c r="V204">
        <v>6.29</v>
      </c>
    </row>
    <row r="205" spans="1:22" x14ac:dyDescent="0.35">
      <c r="A205" t="s">
        <v>1355</v>
      </c>
      <c r="B205" t="s">
        <v>1356</v>
      </c>
      <c r="C205" t="s">
        <v>354</v>
      </c>
      <c r="D205" t="s">
        <v>321</v>
      </c>
      <c r="E205" t="s">
        <v>254</v>
      </c>
      <c r="F205" t="s">
        <v>243</v>
      </c>
      <c r="G205" t="s">
        <v>797</v>
      </c>
      <c r="H205" t="s">
        <v>38</v>
      </c>
      <c r="I205" t="s">
        <v>156</v>
      </c>
      <c r="J205" t="s">
        <v>798</v>
      </c>
      <c r="K205" t="s">
        <v>787</v>
      </c>
      <c r="L205" t="s">
        <v>800</v>
      </c>
      <c r="M205" s="5">
        <v>45883</v>
      </c>
      <c r="O205">
        <v>1</v>
      </c>
      <c r="P205">
        <v>20.81</v>
      </c>
      <c r="Q205">
        <v>29.13</v>
      </c>
      <c r="R205">
        <v>0.1</v>
      </c>
      <c r="S205">
        <v>26.22</v>
      </c>
      <c r="T205" t="s">
        <v>794</v>
      </c>
      <c r="U205">
        <v>20.81</v>
      </c>
      <c r="V205">
        <v>5.41</v>
      </c>
    </row>
    <row r="206" spans="1:22" x14ac:dyDescent="0.35">
      <c r="A206" t="s">
        <v>1357</v>
      </c>
      <c r="B206" t="s">
        <v>979</v>
      </c>
      <c r="C206" t="s">
        <v>423</v>
      </c>
      <c r="D206" t="s">
        <v>424</v>
      </c>
      <c r="E206" t="s">
        <v>254</v>
      </c>
      <c r="F206" t="s">
        <v>235</v>
      </c>
      <c r="G206" t="s">
        <v>14</v>
      </c>
      <c r="H206" t="s">
        <v>14</v>
      </c>
      <c r="I206" t="s">
        <v>25</v>
      </c>
      <c r="J206" t="s">
        <v>798</v>
      </c>
      <c r="K206" t="s">
        <v>793</v>
      </c>
      <c r="L206" t="s">
        <v>842</v>
      </c>
      <c r="M206" s="5">
        <v>45537</v>
      </c>
      <c r="O206">
        <v>10</v>
      </c>
      <c r="P206">
        <v>18.95</v>
      </c>
      <c r="Q206">
        <v>25.58</v>
      </c>
      <c r="R206">
        <v>0.15</v>
      </c>
      <c r="S206">
        <v>217.43</v>
      </c>
      <c r="T206" t="s">
        <v>1134</v>
      </c>
      <c r="U206">
        <v>189.5</v>
      </c>
      <c r="V206">
        <v>27.93</v>
      </c>
    </row>
    <row r="207" spans="1:22" x14ac:dyDescent="0.35">
      <c r="A207" t="s">
        <v>1358</v>
      </c>
      <c r="B207" t="s">
        <v>882</v>
      </c>
      <c r="C207" t="s">
        <v>504</v>
      </c>
      <c r="D207" t="s">
        <v>505</v>
      </c>
      <c r="E207" t="s">
        <v>637</v>
      </c>
      <c r="F207" t="s">
        <v>264</v>
      </c>
      <c r="G207" t="s">
        <v>20</v>
      </c>
      <c r="H207" t="s">
        <v>29</v>
      </c>
      <c r="I207" t="s">
        <v>32</v>
      </c>
      <c r="J207" t="s">
        <v>798</v>
      </c>
      <c r="K207" t="s">
        <v>799</v>
      </c>
      <c r="L207" t="s">
        <v>842</v>
      </c>
      <c r="M207" s="5">
        <v>45793</v>
      </c>
      <c r="N207" s="5">
        <v>45791</v>
      </c>
      <c r="O207">
        <v>5</v>
      </c>
      <c r="P207">
        <v>18.989999999999998</v>
      </c>
      <c r="Q207">
        <v>25.64</v>
      </c>
      <c r="R207">
        <v>0.1</v>
      </c>
      <c r="S207">
        <v>115.38</v>
      </c>
      <c r="T207" t="s">
        <v>869</v>
      </c>
      <c r="U207">
        <v>94.95</v>
      </c>
      <c r="V207">
        <v>20.43</v>
      </c>
    </row>
    <row r="208" spans="1:22" x14ac:dyDescent="0.35">
      <c r="A208" t="s">
        <v>1360</v>
      </c>
      <c r="B208" t="s">
        <v>1361</v>
      </c>
      <c r="C208" t="s">
        <v>459</v>
      </c>
      <c r="D208" t="s">
        <v>460</v>
      </c>
      <c r="E208" t="s">
        <v>254</v>
      </c>
      <c r="F208" t="s">
        <v>264</v>
      </c>
      <c r="G208" t="s">
        <v>20</v>
      </c>
      <c r="H208" t="s">
        <v>79</v>
      </c>
      <c r="I208" t="s">
        <v>166</v>
      </c>
      <c r="J208" t="s">
        <v>786</v>
      </c>
      <c r="K208" t="s">
        <v>793</v>
      </c>
      <c r="L208" t="s">
        <v>818</v>
      </c>
      <c r="M208" s="5">
        <v>45344</v>
      </c>
      <c r="O208">
        <v>3</v>
      </c>
      <c r="P208">
        <v>15.73</v>
      </c>
      <c r="Q208">
        <v>19.66</v>
      </c>
      <c r="R208">
        <v>0.05</v>
      </c>
      <c r="S208">
        <v>56.03</v>
      </c>
      <c r="T208" t="s">
        <v>919</v>
      </c>
      <c r="U208">
        <v>47.19</v>
      </c>
      <c r="V208">
        <v>8.84</v>
      </c>
    </row>
    <row r="209" spans="1:22" x14ac:dyDescent="0.35">
      <c r="A209" t="s">
        <v>1362</v>
      </c>
      <c r="B209" t="s">
        <v>1282</v>
      </c>
      <c r="C209" t="s">
        <v>554</v>
      </c>
      <c r="D209" t="s">
        <v>445</v>
      </c>
      <c r="E209" t="s">
        <v>254</v>
      </c>
      <c r="F209" t="s">
        <v>235</v>
      </c>
      <c r="G209" t="s">
        <v>14</v>
      </c>
      <c r="H209" t="s">
        <v>20</v>
      </c>
      <c r="I209" t="s">
        <v>163</v>
      </c>
      <c r="J209" t="s">
        <v>798</v>
      </c>
      <c r="K209" t="s">
        <v>787</v>
      </c>
      <c r="L209" t="s">
        <v>842</v>
      </c>
      <c r="M209" s="5">
        <v>45531</v>
      </c>
      <c r="O209">
        <v>1</v>
      </c>
      <c r="P209">
        <v>55.3</v>
      </c>
      <c r="Q209">
        <v>74.66</v>
      </c>
      <c r="R209">
        <v>0</v>
      </c>
      <c r="S209">
        <v>74.66</v>
      </c>
      <c r="T209" t="s">
        <v>790</v>
      </c>
      <c r="U209">
        <v>55.3</v>
      </c>
      <c r="V209">
        <v>19.36</v>
      </c>
    </row>
    <row r="210" spans="1:22" x14ac:dyDescent="0.35">
      <c r="A210" t="s">
        <v>1363</v>
      </c>
      <c r="B210" t="s">
        <v>1253</v>
      </c>
      <c r="C210" t="s">
        <v>436</v>
      </c>
      <c r="D210" t="s">
        <v>396</v>
      </c>
      <c r="E210" t="s">
        <v>627</v>
      </c>
      <c r="F210" t="s">
        <v>235</v>
      </c>
      <c r="G210" t="s">
        <v>14</v>
      </c>
      <c r="H210" t="s">
        <v>43</v>
      </c>
      <c r="I210" t="s">
        <v>53</v>
      </c>
      <c r="J210" t="s">
        <v>813</v>
      </c>
      <c r="K210" t="s">
        <v>799</v>
      </c>
      <c r="L210" t="s">
        <v>818</v>
      </c>
      <c r="M210" s="5">
        <v>45873</v>
      </c>
      <c r="N210" s="5">
        <v>45880</v>
      </c>
      <c r="O210">
        <v>20</v>
      </c>
      <c r="P210">
        <v>54.93</v>
      </c>
      <c r="Q210">
        <v>79.650000000000006</v>
      </c>
      <c r="R210">
        <v>0.05</v>
      </c>
      <c r="S210">
        <v>1513.35</v>
      </c>
      <c r="T210" t="s">
        <v>946</v>
      </c>
      <c r="U210">
        <v>1098.5999999999999</v>
      </c>
      <c r="V210">
        <v>414.75</v>
      </c>
    </row>
    <row r="211" spans="1:22" x14ac:dyDescent="0.35">
      <c r="A211" t="s">
        <v>1365</v>
      </c>
      <c r="B211" t="s">
        <v>1366</v>
      </c>
      <c r="C211" t="s">
        <v>386</v>
      </c>
      <c r="D211" t="s">
        <v>387</v>
      </c>
      <c r="E211" t="s">
        <v>696</v>
      </c>
      <c r="F211" t="s">
        <v>243</v>
      </c>
      <c r="G211" t="s">
        <v>797</v>
      </c>
      <c r="H211" t="s">
        <v>14</v>
      </c>
      <c r="I211" t="s">
        <v>67</v>
      </c>
      <c r="J211" t="s">
        <v>798</v>
      </c>
      <c r="K211" t="s">
        <v>787</v>
      </c>
      <c r="L211" t="s">
        <v>842</v>
      </c>
      <c r="M211" s="5">
        <v>45815</v>
      </c>
      <c r="O211">
        <v>12</v>
      </c>
      <c r="P211">
        <v>17.63</v>
      </c>
      <c r="Q211">
        <v>22.92</v>
      </c>
      <c r="R211">
        <v>0.05</v>
      </c>
      <c r="S211">
        <v>261.29000000000002</v>
      </c>
      <c r="T211" t="s">
        <v>803</v>
      </c>
      <c r="U211">
        <v>211.56</v>
      </c>
      <c r="V211">
        <v>49.73</v>
      </c>
    </row>
    <row r="212" spans="1:22" x14ac:dyDescent="0.35">
      <c r="A212" t="s">
        <v>1368</v>
      </c>
      <c r="B212" t="s">
        <v>1297</v>
      </c>
      <c r="C212" t="s">
        <v>467</v>
      </c>
      <c r="D212" t="s">
        <v>468</v>
      </c>
      <c r="E212" t="s">
        <v>633</v>
      </c>
      <c r="F212" t="s">
        <v>235</v>
      </c>
      <c r="G212" t="s">
        <v>797</v>
      </c>
      <c r="H212" t="s">
        <v>48</v>
      </c>
      <c r="I212" t="s">
        <v>190</v>
      </c>
      <c r="J212" t="s">
        <v>798</v>
      </c>
      <c r="K212" t="s">
        <v>799</v>
      </c>
      <c r="L212" t="s">
        <v>788</v>
      </c>
      <c r="M212" s="5">
        <v>45349</v>
      </c>
      <c r="N212" s="5">
        <v>45351</v>
      </c>
      <c r="O212">
        <v>3</v>
      </c>
      <c r="P212">
        <v>21.56</v>
      </c>
      <c r="Q212">
        <v>31.26</v>
      </c>
      <c r="R212">
        <v>0</v>
      </c>
      <c r="S212">
        <v>93.78</v>
      </c>
      <c r="T212" t="s">
        <v>819</v>
      </c>
      <c r="U212">
        <v>64.680000000000007</v>
      </c>
      <c r="V212">
        <v>29.1</v>
      </c>
    </row>
    <row r="213" spans="1:22" x14ac:dyDescent="0.35">
      <c r="A213" t="s">
        <v>1369</v>
      </c>
      <c r="B213" t="s">
        <v>1370</v>
      </c>
      <c r="C213" t="s">
        <v>466</v>
      </c>
      <c r="D213" t="s">
        <v>441</v>
      </c>
      <c r="E213" t="s">
        <v>681</v>
      </c>
      <c r="F213" t="s">
        <v>235</v>
      </c>
      <c r="G213" t="s">
        <v>14</v>
      </c>
      <c r="H213" t="s">
        <v>8</v>
      </c>
      <c r="I213" t="s">
        <v>181</v>
      </c>
      <c r="J213" t="s">
        <v>798</v>
      </c>
      <c r="K213" t="s">
        <v>817</v>
      </c>
      <c r="L213" t="s">
        <v>788</v>
      </c>
      <c r="M213" s="5">
        <v>45501</v>
      </c>
      <c r="O213">
        <v>1</v>
      </c>
      <c r="P213">
        <v>20.49</v>
      </c>
      <c r="Q213">
        <v>29.71</v>
      </c>
      <c r="R213">
        <v>0</v>
      </c>
      <c r="S213">
        <v>29.71</v>
      </c>
      <c r="T213" t="s">
        <v>834</v>
      </c>
      <c r="U213">
        <v>20.49</v>
      </c>
      <c r="V213">
        <v>9.2200000000000006</v>
      </c>
    </row>
    <row r="214" spans="1:22" x14ac:dyDescent="0.35">
      <c r="A214" t="s">
        <v>1372</v>
      </c>
      <c r="B214" t="s">
        <v>1373</v>
      </c>
      <c r="C214" t="s">
        <v>434</v>
      </c>
      <c r="D214" t="s">
        <v>435</v>
      </c>
      <c r="E214" t="s">
        <v>681</v>
      </c>
      <c r="F214" t="s">
        <v>264</v>
      </c>
      <c r="G214" t="s">
        <v>48</v>
      </c>
      <c r="H214" t="s">
        <v>20</v>
      </c>
      <c r="I214" t="s">
        <v>97</v>
      </c>
      <c r="J214" t="s">
        <v>813</v>
      </c>
      <c r="K214" t="s">
        <v>799</v>
      </c>
      <c r="L214" t="s">
        <v>818</v>
      </c>
      <c r="M214" s="5">
        <v>45567</v>
      </c>
      <c r="N214" s="5">
        <v>45568</v>
      </c>
      <c r="O214">
        <v>5</v>
      </c>
      <c r="P214">
        <v>20.79</v>
      </c>
      <c r="Q214">
        <v>28.07</v>
      </c>
      <c r="R214">
        <v>0</v>
      </c>
      <c r="S214">
        <v>140.35</v>
      </c>
      <c r="T214" t="s">
        <v>814</v>
      </c>
      <c r="U214">
        <v>103.95</v>
      </c>
      <c r="V214">
        <v>36.4</v>
      </c>
    </row>
    <row r="215" spans="1:22" x14ac:dyDescent="0.35">
      <c r="A215" t="s">
        <v>1375</v>
      </c>
      <c r="B215" t="s">
        <v>1376</v>
      </c>
      <c r="C215" t="s">
        <v>551</v>
      </c>
      <c r="D215" t="s">
        <v>304</v>
      </c>
      <c r="E215" t="s">
        <v>681</v>
      </c>
      <c r="F215" t="s">
        <v>264</v>
      </c>
      <c r="G215" t="s">
        <v>797</v>
      </c>
      <c r="H215" t="s">
        <v>38</v>
      </c>
      <c r="I215" t="s">
        <v>126</v>
      </c>
      <c r="J215" t="s">
        <v>798</v>
      </c>
      <c r="K215" t="s">
        <v>817</v>
      </c>
      <c r="L215" t="s">
        <v>818</v>
      </c>
      <c r="M215" s="5">
        <v>45627</v>
      </c>
      <c r="O215">
        <v>1</v>
      </c>
      <c r="P215">
        <v>41.95</v>
      </c>
      <c r="Q215">
        <v>58.73</v>
      </c>
      <c r="R215">
        <v>0.1</v>
      </c>
      <c r="S215">
        <v>52.86</v>
      </c>
      <c r="T215" t="s">
        <v>888</v>
      </c>
      <c r="U215">
        <v>41.95</v>
      </c>
      <c r="V215">
        <v>10.91</v>
      </c>
    </row>
    <row r="216" spans="1:22" x14ac:dyDescent="0.35">
      <c r="A216" t="s">
        <v>1377</v>
      </c>
      <c r="B216" t="s">
        <v>1318</v>
      </c>
      <c r="C216" t="s">
        <v>394</v>
      </c>
      <c r="D216" t="s">
        <v>356</v>
      </c>
      <c r="E216" t="s">
        <v>674</v>
      </c>
      <c r="F216" t="s">
        <v>264</v>
      </c>
      <c r="G216" t="s">
        <v>14</v>
      </c>
      <c r="H216" t="s">
        <v>8</v>
      </c>
      <c r="I216" t="s">
        <v>192</v>
      </c>
      <c r="J216" t="s">
        <v>813</v>
      </c>
      <c r="K216" t="s">
        <v>799</v>
      </c>
      <c r="L216" t="s">
        <v>842</v>
      </c>
      <c r="M216" s="5">
        <v>45746</v>
      </c>
      <c r="N216" s="5">
        <v>45747</v>
      </c>
      <c r="O216">
        <v>1</v>
      </c>
      <c r="P216">
        <v>19.47</v>
      </c>
      <c r="Q216">
        <v>28.23</v>
      </c>
      <c r="R216">
        <v>0</v>
      </c>
      <c r="S216">
        <v>28.23</v>
      </c>
      <c r="T216" t="s">
        <v>829</v>
      </c>
      <c r="U216">
        <v>19.47</v>
      </c>
      <c r="V216">
        <v>8.76</v>
      </c>
    </row>
    <row r="217" spans="1:22" x14ac:dyDescent="0.35">
      <c r="A217" t="s">
        <v>1380</v>
      </c>
      <c r="B217" t="s">
        <v>1084</v>
      </c>
      <c r="C217" t="s">
        <v>418</v>
      </c>
      <c r="D217" t="s">
        <v>253</v>
      </c>
      <c r="E217" t="s">
        <v>254</v>
      </c>
      <c r="F217" t="s">
        <v>264</v>
      </c>
      <c r="G217" t="s">
        <v>797</v>
      </c>
      <c r="H217" t="s">
        <v>8</v>
      </c>
      <c r="I217" t="s">
        <v>198</v>
      </c>
      <c r="J217" t="s">
        <v>786</v>
      </c>
      <c r="K217" t="s">
        <v>793</v>
      </c>
      <c r="L217" t="s">
        <v>818</v>
      </c>
      <c r="M217" s="5">
        <v>45941</v>
      </c>
      <c r="O217">
        <v>1</v>
      </c>
      <c r="P217">
        <v>30.64</v>
      </c>
      <c r="Q217">
        <v>42.9</v>
      </c>
      <c r="R217">
        <v>0</v>
      </c>
      <c r="S217">
        <v>42.9</v>
      </c>
      <c r="T217" t="s">
        <v>1134</v>
      </c>
      <c r="U217">
        <v>30.64</v>
      </c>
      <c r="V217">
        <v>12.26</v>
      </c>
    </row>
    <row r="218" spans="1:22" x14ac:dyDescent="0.35">
      <c r="A218" t="s">
        <v>1382</v>
      </c>
      <c r="B218" t="s">
        <v>841</v>
      </c>
      <c r="C218" t="s">
        <v>382</v>
      </c>
      <c r="D218" t="s">
        <v>383</v>
      </c>
      <c r="E218" t="s">
        <v>674</v>
      </c>
      <c r="F218" t="s">
        <v>264</v>
      </c>
      <c r="G218" t="s">
        <v>14</v>
      </c>
      <c r="H218" t="s">
        <v>48</v>
      </c>
      <c r="I218" t="s">
        <v>139</v>
      </c>
      <c r="J218" t="s">
        <v>786</v>
      </c>
      <c r="K218" t="s">
        <v>799</v>
      </c>
      <c r="L218" t="s">
        <v>788</v>
      </c>
      <c r="M218" s="5">
        <v>45520</v>
      </c>
      <c r="N218" s="5">
        <v>45507</v>
      </c>
      <c r="O218">
        <v>1</v>
      </c>
      <c r="P218">
        <v>29.93</v>
      </c>
      <c r="Q218">
        <v>41.9</v>
      </c>
      <c r="R218">
        <v>0.15</v>
      </c>
      <c r="S218">
        <v>35.61</v>
      </c>
      <c r="T218" t="s">
        <v>1001</v>
      </c>
      <c r="U218">
        <v>29.93</v>
      </c>
      <c r="V218">
        <v>5.68</v>
      </c>
    </row>
    <row r="219" spans="1:22" x14ac:dyDescent="0.35">
      <c r="A219" t="s">
        <v>1383</v>
      </c>
      <c r="B219" t="s">
        <v>1348</v>
      </c>
      <c r="C219" t="s">
        <v>574</v>
      </c>
      <c r="D219" t="s">
        <v>458</v>
      </c>
      <c r="E219" t="s">
        <v>627</v>
      </c>
      <c r="G219" t="s">
        <v>797</v>
      </c>
      <c r="H219" t="s">
        <v>43</v>
      </c>
      <c r="I219" t="s">
        <v>146</v>
      </c>
      <c r="J219" t="s">
        <v>813</v>
      </c>
      <c r="K219" t="s">
        <v>793</v>
      </c>
      <c r="L219" t="s">
        <v>800</v>
      </c>
      <c r="M219" s="5">
        <v>45680</v>
      </c>
      <c r="O219">
        <v>10</v>
      </c>
      <c r="P219">
        <v>24.05</v>
      </c>
      <c r="Q219">
        <v>31.27</v>
      </c>
      <c r="R219">
        <v>0</v>
      </c>
      <c r="S219">
        <v>312.7</v>
      </c>
      <c r="T219" t="s">
        <v>845</v>
      </c>
      <c r="U219">
        <v>240.5</v>
      </c>
      <c r="V219">
        <v>72.2</v>
      </c>
    </row>
    <row r="220" spans="1:22" x14ac:dyDescent="0.35">
      <c r="A220" t="s">
        <v>1384</v>
      </c>
      <c r="B220" t="s">
        <v>1040</v>
      </c>
      <c r="C220" t="s">
        <v>299</v>
      </c>
      <c r="D220" t="s">
        <v>300</v>
      </c>
      <c r="E220" t="s">
        <v>696</v>
      </c>
      <c r="F220" t="s">
        <v>264</v>
      </c>
      <c r="G220" t="s">
        <v>14</v>
      </c>
      <c r="H220" t="s">
        <v>8</v>
      </c>
      <c r="I220" t="s">
        <v>65</v>
      </c>
      <c r="J220" t="s">
        <v>798</v>
      </c>
      <c r="K220" t="s">
        <v>822</v>
      </c>
      <c r="L220" t="s">
        <v>800</v>
      </c>
      <c r="M220" s="5">
        <v>45969</v>
      </c>
      <c r="N220" s="5">
        <v>45967</v>
      </c>
      <c r="O220">
        <v>1</v>
      </c>
      <c r="P220">
        <v>30.16</v>
      </c>
      <c r="Q220">
        <v>40.72</v>
      </c>
      <c r="R220">
        <v>0</v>
      </c>
      <c r="S220">
        <v>40.72</v>
      </c>
      <c r="T220" t="s">
        <v>839</v>
      </c>
      <c r="U220">
        <v>30.16</v>
      </c>
      <c r="V220">
        <v>10.56</v>
      </c>
    </row>
    <row r="221" spans="1:22" x14ac:dyDescent="0.35">
      <c r="A221" t="s">
        <v>1387</v>
      </c>
      <c r="B221" t="s">
        <v>821</v>
      </c>
      <c r="C221" t="s">
        <v>394</v>
      </c>
      <c r="D221" t="s">
        <v>356</v>
      </c>
      <c r="E221" t="s">
        <v>696</v>
      </c>
      <c r="F221" t="s">
        <v>264</v>
      </c>
      <c r="G221" t="s">
        <v>14</v>
      </c>
      <c r="H221" t="s">
        <v>29</v>
      </c>
      <c r="I221" t="s">
        <v>27</v>
      </c>
      <c r="J221" t="s">
        <v>798</v>
      </c>
      <c r="K221" t="s">
        <v>822</v>
      </c>
      <c r="L221" t="s">
        <v>818</v>
      </c>
      <c r="M221" s="5">
        <v>45963</v>
      </c>
      <c r="N221" s="5">
        <v>45958</v>
      </c>
      <c r="O221">
        <v>10</v>
      </c>
      <c r="P221">
        <v>33.06</v>
      </c>
      <c r="Q221">
        <v>47.94</v>
      </c>
      <c r="R221">
        <v>0.1</v>
      </c>
      <c r="S221">
        <v>431.46</v>
      </c>
      <c r="T221" t="s">
        <v>790</v>
      </c>
      <c r="U221">
        <v>330.6</v>
      </c>
      <c r="V221">
        <v>100.86</v>
      </c>
    </row>
    <row r="222" spans="1:22" x14ac:dyDescent="0.35">
      <c r="A222" t="s">
        <v>1389</v>
      </c>
      <c r="B222" t="s">
        <v>1390</v>
      </c>
      <c r="C222" t="s">
        <v>511</v>
      </c>
      <c r="D222" t="s">
        <v>512</v>
      </c>
      <c r="E222" t="s">
        <v>696</v>
      </c>
      <c r="F222" t="s">
        <v>264</v>
      </c>
      <c r="G222" t="s">
        <v>14</v>
      </c>
      <c r="H222" t="s">
        <v>29</v>
      </c>
      <c r="I222" t="s">
        <v>154</v>
      </c>
      <c r="J222" t="s">
        <v>798</v>
      </c>
      <c r="K222" t="s">
        <v>787</v>
      </c>
      <c r="L222" t="s">
        <v>800</v>
      </c>
      <c r="M222" s="5">
        <v>45489</v>
      </c>
      <c r="O222">
        <v>1</v>
      </c>
      <c r="P222">
        <v>25.74</v>
      </c>
      <c r="Q222">
        <v>33.46</v>
      </c>
      <c r="R222">
        <v>0</v>
      </c>
      <c r="S222">
        <v>33.46</v>
      </c>
      <c r="T222" t="s">
        <v>819</v>
      </c>
      <c r="U222">
        <v>25.74</v>
      </c>
      <c r="V222">
        <v>7.72</v>
      </c>
    </row>
    <row r="223" spans="1:22" x14ac:dyDescent="0.35">
      <c r="A223" t="s">
        <v>1392</v>
      </c>
      <c r="B223" t="s">
        <v>1393</v>
      </c>
      <c r="C223" t="s">
        <v>252</v>
      </c>
      <c r="D223" t="s">
        <v>253</v>
      </c>
      <c r="E223" t="s">
        <v>633</v>
      </c>
      <c r="F223" t="s">
        <v>243</v>
      </c>
      <c r="G223" t="s">
        <v>14</v>
      </c>
      <c r="H223" t="s">
        <v>43</v>
      </c>
      <c r="I223" t="s">
        <v>222</v>
      </c>
      <c r="J223" t="s">
        <v>798</v>
      </c>
      <c r="K223" t="s">
        <v>793</v>
      </c>
      <c r="L223" t="s">
        <v>800</v>
      </c>
      <c r="M223" s="5">
        <v>45701</v>
      </c>
      <c r="O223">
        <v>2</v>
      </c>
      <c r="P223">
        <v>37.1</v>
      </c>
      <c r="Q223">
        <v>48.23</v>
      </c>
      <c r="R223">
        <v>0</v>
      </c>
      <c r="S223">
        <v>96.46</v>
      </c>
      <c r="T223" t="s">
        <v>869</v>
      </c>
      <c r="U223">
        <v>74.2</v>
      </c>
      <c r="V223">
        <v>22.26</v>
      </c>
    </row>
    <row r="224" spans="1:22" x14ac:dyDescent="0.35">
      <c r="A224" t="s">
        <v>1395</v>
      </c>
      <c r="B224" t="s">
        <v>1396</v>
      </c>
      <c r="C224" t="s">
        <v>266</v>
      </c>
      <c r="D224" t="s">
        <v>267</v>
      </c>
      <c r="E224" t="s">
        <v>627</v>
      </c>
      <c r="F224" t="s">
        <v>243</v>
      </c>
      <c r="G224" t="s">
        <v>48</v>
      </c>
      <c r="H224" t="s">
        <v>20</v>
      </c>
      <c r="I224" t="s">
        <v>159</v>
      </c>
      <c r="J224" t="s">
        <v>798</v>
      </c>
      <c r="K224" t="s">
        <v>793</v>
      </c>
      <c r="L224" t="s">
        <v>818</v>
      </c>
      <c r="M224" s="5">
        <v>45562</v>
      </c>
      <c r="O224">
        <v>2</v>
      </c>
      <c r="P224">
        <v>8.2200000000000006</v>
      </c>
      <c r="Q224">
        <v>11.1</v>
      </c>
      <c r="R224">
        <v>0.15</v>
      </c>
      <c r="S224">
        <v>18.87</v>
      </c>
      <c r="T224" t="s">
        <v>888</v>
      </c>
      <c r="U224">
        <v>16.440000000000001</v>
      </c>
      <c r="V224">
        <v>2.4300000000000002</v>
      </c>
    </row>
    <row r="225" spans="1:22" x14ac:dyDescent="0.35">
      <c r="A225" t="s">
        <v>1397</v>
      </c>
      <c r="B225" t="s">
        <v>864</v>
      </c>
      <c r="C225" t="s">
        <v>520</v>
      </c>
      <c r="D225" t="s">
        <v>521</v>
      </c>
      <c r="E225" t="s">
        <v>681</v>
      </c>
      <c r="F225" t="s">
        <v>243</v>
      </c>
      <c r="G225" t="s">
        <v>14</v>
      </c>
      <c r="H225" t="s">
        <v>43</v>
      </c>
      <c r="I225" t="s">
        <v>171</v>
      </c>
      <c r="J225" t="s">
        <v>798</v>
      </c>
      <c r="K225" t="s">
        <v>793</v>
      </c>
      <c r="L225" t="s">
        <v>788</v>
      </c>
      <c r="M225" s="5">
        <v>45388</v>
      </c>
      <c r="O225">
        <v>2</v>
      </c>
      <c r="P225">
        <v>29.39</v>
      </c>
      <c r="Q225">
        <v>39.68</v>
      </c>
      <c r="R225">
        <v>0.1</v>
      </c>
      <c r="S225">
        <v>71.42</v>
      </c>
      <c r="T225" t="s">
        <v>888</v>
      </c>
      <c r="U225">
        <v>58.78</v>
      </c>
      <c r="V225">
        <v>12.64</v>
      </c>
    </row>
    <row r="226" spans="1:22" x14ac:dyDescent="0.35">
      <c r="A226" t="s">
        <v>1398</v>
      </c>
      <c r="B226" t="s">
        <v>1013</v>
      </c>
      <c r="C226" t="s">
        <v>554</v>
      </c>
      <c r="D226" t="s">
        <v>445</v>
      </c>
      <c r="E226" t="s">
        <v>633</v>
      </c>
      <c r="F226" t="s">
        <v>235</v>
      </c>
      <c r="G226" t="s">
        <v>797</v>
      </c>
      <c r="H226" t="s">
        <v>8</v>
      </c>
      <c r="I226" t="s">
        <v>21</v>
      </c>
      <c r="J226" t="s">
        <v>813</v>
      </c>
      <c r="K226" t="s">
        <v>799</v>
      </c>
      <c r="L226" t="s">
        <v>788</v>
      </c>
      <c r="M226" s="5">
        <v>45731</v>
      </c>
      <c r="N226" s="5">
        <v>45737</v>
      </c>
      <c r="O226">
        <v>20</v>
      </c>
      <c r="P226">
        <v>21.57</v>
      </c>
      <c r="Q226">
        <v>26.96</v>
      </c>
      <c r="R226">
        <v>0</v>
      </c>
      <c r="S226">
        <v>539.20000000000005</v>
      </c>
      <c r="T226" t="s">
        <v>859</v>
      </c>
      <c r="U226">
        <v>431.4</v>
      </c>
      <c r="V226">
        <v>107.8</v>
      </c>
    </row>
    <row r="227" spans="1:22" x14ac:dyDescent="0.35">
      <c r="A227" t="s">
        <v>1399</v>
      </c>
      <c r="B227" t="s">
        <v>1400</v>
      </c>
      <c r="C227" t="s">
        <v>613</v>
      </c>
      <c r="D227" t="s">
        <v>304</v>
      </c>
      <c r="E227" t="s">
        <v>674</v>
      </c>
      <c r="F227" t="s">
        <v>243</v>
      </c>
      <c r="G227" t="s">
        <v>14</v>
      </c>
      <c r="H227" t="s">
        <v>20</v>
      </c>
      <c r="I227" t="s">
        <v>119</v>
      </c>
      <c r="J227" t="s">
        <v>798</v>
      </c>
      <c r="K227" t="s">
        <v>787</v>
      </c>
      <c r="L227" t="s">
        <v>842</v>
      </c>
      <c r="M227" s="5">
        <v>45437</v>
      </c>
      <c r="O227">
        <v>20</v>
      </c>
      <c r="P227">
        <v>40.94</v>
      </c>
      <c r="Q227">
        <v>53.22</v>
      </c>
      <c r="R227">
        <v>0.1</v>
      </c>
      <c r="S227">
        <v>957.96</v>
      </c>
      <c r="T227" t="s">
        <v>790</v>
      </c>
      <c r="U227">
        <v>818.8</v>
      </c>
      <c r="V227">
        <v>139.16</v>
      </c>
    </row>
    <row r="228" spans="1:22" x14ac:dyDescent="0.35">
      <c r="A228" t="s">
        <v>1401</v>
      </c>
      <c r="B228" t="s">
        <v>1402</v>
      </c>
      <c r="C228" t="s">
        <v>369</v>
      </c>
      <c r="D228" t="s">
        <v>282</v>
      </c>
      <c r="E228" t="s">
        <v>633</v>
      </c>
      <c r="F228" t="s">
        <v>243</v>
      </c>
      <c r="G228" t="s">
        <v>20</v>
      </c>
      <c r="H228" t="s">
        <v>8</v>
      </c>
      <c r="I228" t="s">
        <v>21</v>
      </c>
      <c r="J228" t="s">
        <v>813</v>
      </c>
      <c r="K228" t="s">
        <v>787</v>
      </c>
      <c r="L228" t="s">
        <v>800</v>
      </c>
      <c r="M228" s="5">
        <v>46031</v>
      </c>
      <c r="O228">
        <v>5</v>
      </c>
      <c r="P228">
        <v>21.57</v>
      </c>
      <c r="Q228">
        <v>26.96</v>
      </c>
      <c r="R228">
        <v>0.05</v>
      </c>
      <c r="S228">
        <v>128.06</v>
      </c>
      <c r="T228" t="s">
        <v>876</v>
      </c>
      <c r="U228">
        <v>107.85</v>
      </c>
      <c r="V228">
        <v>20.21</v>
      </c>
    </row>
    <row r="229" spans="1:22" x14ac:dyDescent="0.35">
      <c r="A229" t="s">
        <v>1403</v>
      </c>
      <c r="B229" t="s">
        <v>1404</v>
      </c>
      <c r="C229" t="s">
        <v>604</v>
      </c>
      <c r="D229" t="s">
        <v>431</v>
      </c>
      <c r="E229" t="s">
        <v>637</v>
      </c>
      <c r="F229" t="s">
        <v>243</v>
      </c>
      <c r="G229" t="s">
        <v>20</v>
      </c>
      <c r="H229" t="s">
        <v>20</v>
      </c>
      <c r="I229" t="s">
        <v>196</v>
      </c>
      <c r="J229" t="s">
        <v>786</v>
      </c>
      <c r="K229" t="s">
        <v>793</v>
      </c>
      <c r="L229" t="s">
        <v>788</v>
      </c>
      <c r="M229" s="5">
        <v>45616</v>
      </c>
      <c r="O229">
        <v>3</v>
      </c>
      <c r="P229">
        <v>15.78</v>
      </c>
      <c r="Q229">
        <v>19.72</v>
      </c>
      <c r="R229">
        <v>0</v>
      </c>
      <c r="S229">
        <v>59.16</v>
      </c>
      <c r="T229" t="s">
        <v>888</v>
      </c>
      <c r="U229">
        <v>47.34</v>
      </c>
      <c r="V229">
        <v>11.82</v>
      </c>
    </row>
    <row r="230" spans="1:22" x14ac:dyDescent="0.35">
      <c r="A230" t="s">
        <v>1406</v>
      </c>
      <c r="B230" t="s">
        <v>1407</v>
      </c>
      <c r="C230" t="s">
        <v>611</v>
      </c>
      <c r="D230" t="s">
        <v>287</v>
      </c>
      <c r="E230" t="s">
        <v>627</v>
      </c>
      <c r="F230" t="s">
        <v>235</v>
      </c>
      <c r="G230" t="s">
        <v>14</v>
      </c>
      <c r="H230" t="s">
        <v>20</v>
      </c>
      <c r="I230" t="s">
        <v>137</v>
      </c>
      <c r="J230" t="s">
        <v>798</v>
      </c>
      <c r="K230" t="s">
        <v>799</v>
      </c>
      <c r="L230" t="s">
        <v>788</v>
      </c>
      <c r="M230" s="5">
        <v>45488</v>
      </c>
      <c r="N230" s="5">
        <v>45482</v>
      </c>
      <c r="O230">
        <v>10</v>
      </c>
      <c r="P230">
        <v>23.58</v>
      </c>
      <c r="Q230">
        <v>31.83</v>
      </c>
      <c r="R230">
        <v>0</v>
      </c>
      <c r="S230">
        <v>318.3</v>
      </c>
      <c r="T230" t="s">
        <v>825</v>
      </c>
      <c r="U230">
        <v>235.8</v>
      </c>
      <c r="V230">
        <v>82.5</v>
      </c>
    </row>
    <row r="231" spans="1:22" x14ac:dyDescent="0.35">
      <c r="A231" t="s">
        <v>1409</v>
      </c>
      <c r="B231" t="s">
        <v>1313</v>
      </c>
      <c r="C231" t="s">
        <v>584</v>
      </c>
      <c r="D231" t="s">
        <v>562</v>
      </c>
      <c r="E231" t="s">
        <v>637</v>
      </c>
      <c r="F231" t="s">
        <v>264</v>
      </c>
      <c r="G231" t="s">
        <v>14</v>
      </c>
      <c r="H231" t="s">
        <v>29</v>
      </c>
      <c r="I231" t="s">
        <v>86</v>
      </c>
      <c r="J231" t="s">
        <v>798</v>
      </c>
      <c r="K231" t="s">
        <v>799</v>
      </c>
      <c r="L231" t="s">
        <v>800</v>
      </c>
      <c r="M231" s="5">
        <v>45666</v>
      </c>
      <c r="N231" s="5">
        <v>45667</v>
      </c>
      <c r="O231">
        <v>2</v>
      </c>
      <c r="P231">
        <v>8.35</v>
      </c>
      <c r="Q231">
        <v>12.11</v>
      </c>
      <c r="R231">
        <v>0</v>
      </c>
      <c r="S231">
        <v>24.22</v>
      </c>
      <c r="T231" t="s">
        <v>935</v>
      </c>
      <c r="U231">
        <v>16.7</v>
      </c>
      <c r="V231">
        <v>7.52</v>
      </c>
    </row>
    <row r="232" spans="1:22" x14ac:dyDescent="0.35">
      <c r="A232" t="s">
        <v>1410</v>
      </c>
      <c r="B232" t="s">
        <v>1411</v>
      </c>
      <c r="C232" t="s">
        <v>358</v>
      </c>
      <c r="D232" t="s">
        <v>287</v>
      </c>
      <c r="E232" t="s">
        <v>674</v>
      </c>
      <c r="F232" t="s">
        <v>243</v>
      </c>
      <c r="G232" t="s">
        <v>797</v>
      </c>
      <c r="H232" t="s">
        <v>14</v>
      </c>
      <c r="I232" t="s">
        <v>214</v>
      </c>
      <c r="J232" t="s">
        <v>798</v>
      </c>
      <c r="K232" t="s">
        <v>817</v>
      </c>
      <c r="L232" t="s">
        <v>800</v>
      </c>
      <c r="M232" s="5">
        <v>45784</v>
      </c>
      <c r="O232">
        <v>2</v>
      </c>
      <c r="P232">
        <v>22.07</v>
      </c>
      <c r="Q232">
        <v>27.59</v>
      </c>
      <c r="R232">
        <v>0.05</v>
      </c>
      <c r="S232">
        <v>52.42</v>
      </c>
      <c r="T232" t="s">
        <v>794</v>
      </c>
      <c r="U232">
        <v>44.14</v>
      </c>
      <c r="V232">
        <v>8.2799999999999994</v>
      </c>
    </row>
    <row r="233" spans="1:22" x14ac:dyDescent="0.35">
      <c r="A233" t="s">
        <v>1413</v>
      </c>
      <c r="B233" t="s">
        <v>1056</v>
      </c>
      <c r="C233" t="s">
        <v>607</v>
      </c>
      <c r="D233" t="s">
        <v>608</v>
      </c>
      <c r="E233" t="s">
        <v>674</v>
      </c>
      <c r="F233" t="s">
        <v>264</v>
      </c>
      <c r="G233" t="s">
        <v>797</v>
      </c>
      <c r="H233" t="s">
        <v>8</v>
      </c>
      <c r="I233" t="s">
        <v>21</v>
      </c>
      <c r="J233" t="s">
        <v>786</v>
      </c>
      <c r="K233" t="s">
        <v>817</v>
      </c>
      <c r="L233" t="s">
        <v>818</v>
      </c>
      <c r="M233" s="5">
        <v>46066</v>
      </c>
      <c r="O233">
        <v>3</v>
      </c>
      <c r="P233">
        <v>21.57</v>
      </c>
      <c r="Q233">
        <v>26.96</v>
      </c>
      <c r="R233">
        <v>0.15</v>
      </c>
      <c r="S233">
        <v>68.75</v>
      </c>
      <c r="T233" t="s">
        <v>1134</v>
      </c>
      <c r="U233">
        <v>64.709999999999994</v>
      </c>
      <c r="V233">
        <v>4.04</v>
      </c>
    </row>
    <row r="234" spans="1:22" x14ac:dyDescent="0.35">
      <c r="A234" t="s">
        <v>1414</v>
      </c>
      <c r="B234" t="s">
        <v>1415</v>
      </c>
      <c r="C234" t="s">
        <v>479</v>
      </c>
      <c r="D234" t="s">
        <v>480</v>
      </c>
      <c r="E234" t="s">
        <v>696</v>
      </c>
      <c r="F234" t="s">
        <v>243</v>
      </c>
      <c r="G234" t="s">
        <v>20</v>
      </c>
      <c r="H234" t="s">
        <v>20</v>
      </c>
      <c r="I234" t="s">
        <v>51</v>
      </c>
      <c r="J234" t="s">
        <v>798</v>
      </c>
      <c r="K234" t="s">
        <v>799</v>
      </c>
      <c r="L234" t="s">
        <v>800</v>
      </c>
      <c r="M234" s="5">
        <v>45767</v>
      </c>
      <c r="N234" s="5">
        <v>45770</v>
      </c>
      <c r="O234">
        <v>12</v>
      </c>
      <c r="P234">
        <v>11.28</v>
      </c>
      <c r="Q234">
        <v>15.23</v>
      </c>
      <c r="R234">
        <v>0.05</v>
      </c>
      <c r="S234">
        <v>173.62</v>
      </c>
      <c r="T234" t="s">
        <v>946</v>
      </c>
      <c r="U234">
        <v>135.36000000000001</v>
      </c>
      <c r="V234">
        <v>38.26</v>
      </c>
    </row>
    <row r="235" spans="1:22" x14ac:dyDescent="0.35">
      <c r="A235" t="s">
        <v>1417</v>
      </c>
      <c r="B235" t="s">
        <v>989</v>
      </c>
      <c r="C235" t="s">
        <v>522</v>
      </c>
      <c r="D235" t="s">
        <v>523</v>
      </c>
      <c r="E235" t="s">
        <v>681</v>
      </c>
      <c r="F235" t="s">
        <v>264</v>
      </c>
      <c r="G235" t="s">
        <v>20</v>
      </c>
      <c r="H235" t="s">
        <v>29</v>
      </c>
      <c r="I235" t="s">
        <v>191</v>
      </c>
      <c r="J235" t="s">
        <v>786</v>
      </c>
      <c r="K235" t="s">
        <v>799</v>
      </c>
      <c r="L235" t="s">
        <v>818</v>
      </c>
      <c r="M235" s="5">
        <v>45914</v>
      </c>
      <c r="N235" s="5">
        <v>45904</v>
      </c>
      <c r="O235">
        <v>3</v>
      </c>
      <c r="P235">
        <v>11.26</v>
      </c>
      <c r="Q235">
        <v>15.2</v>
      </c>
      <c r="R235">
        <v>0.05</v>
      </c>
      <c r="S235">
        <v>43.32</v>
      </c>
      <c r="T235" t="s">
        <v>829</v>
      </c>
      <c r="U235">
        <v>33.78</v>
      </c>
      <c r="V235">
        <v>9.5399999999999991</v>
      </c>
    </row>
    <row r="236" spans="1:22" x14ac:dyDescent="0.35">
      <c r="A236" t="s">
        <v>1419</v>
      </c>
      <c r="B236" t="s">
        <v>1032</v>
      </c>
      <c r="C236" t="s">
        <v>466</v>
      </c>
      <c r="D236" t="s">
        <v>441</v>
      </c>
      <c r="E236" t="s">
        <v>681</v>
      </c>
      <c r="F236" t="s">
        <v>235</v>
      </c>
      <c r="G236" t="s">
        <v>797</v>
      </c>
      <c r="H236" t="s">
        <v>14</v>
      </c>
      <c r="I236" t="s">
        <v>214</v>
      </c>
      <c r="J236" t="s">
        <v>798</v>
      </c>
      <c r="K236" t="s">
        <v>799</v>
      </c>
      <c r="L236" t="s">
        <v>842</v>
      </c>
      <c r="M236" s="5">
        <v>45830</v>
      </c>
      <c r="N236" s="5">
        <v>45831</v>
      </c>
      <c r="O236">
        <v>5</v>
      </c>
      <c r="P236">
        <v>22.07</v>
      </c>
      <c r="Q236">
        <v>27.59</v>
      </c>
      <c r="R236">
        <v>0</v>
      </c>
      <c r="S236">
        <v>137.94999999999999</v>
      </c>
      <c r="T236" t="s">
        <v>859</v>
      </c>
      <c r="U236">
        <v>110.35</v>
      </c>
      <c r="V236">
        <v>27.6</v>
      </c>
    </row>
    <row r="237" spans="1:22" x14ac:dyDescent="0.35">
      <c r="A237" t="s">
        <v>1421</v>
      </c>
      <c r="B237" t="s">
        <v>1422</v>
      </c>
      <c r="C237" t="s">
        <v>614</v>
      </c>
      <c r="D237" t="s">
        <v>615</v>
      </c>
      <c r="E237" t="s">
        <v>637</v>
      </c>
      <c r="F237" t="s">
        <v>235</v>
      </c>
      <c r="G237" t="s">
        <v>797</v>
      </c>
      <c r="H237" t="s">
        <v>8</v>
      </c>
      <c r="I237" t="s">
        <v>174</v>
      </c>
      <c r="J237" t="s">
        <v>813</v>
      </c>
      <c r="K237" t="s">
        <v>793</v>
      </c>
      <c r="L237" t="s">
        <v>842</v>
      </c>
      <c r="M237" s="5">
        <v>45702</v>
      </c>
      <c r="O237">
        <v>2</v>
      </c>
      <c r="P237">
        <v>32.53</v>
      </c>
      <c r="Q237">
        <v>43.92</v>
      </c>
      <c r="R237">
        <v>0.15</v>
      </c>
      <c r="S237">
        <v>74.66</v>
      </c>
      <c r="T237" t="s">
        <v>892</v>
      </c>
      <c r="U237">
        <v>65.06</v>
      </c>
      <c r="V237">
        <v>9.6</v>
      </c>
    </row>
    <row r="238" spans="1:22" x14ac:dyDescent="0.35">
      <c r="A238" t="s">
        <v>1423</v>
      </c>
      <c r="B238" t="s">
        <v>956</v>
      </c>
      <c r="C238" t="s">
        <v>569</v>
      </c>
      <c r="D238" t="s">
        <v>535</v>
      </c>
      <c r="E238" t="s">
        <v>696</v>
      </c>
      <c r="G238" t="s">
        <v>797</v>
      </c>
      <c r="H238" t="s">
        <v>8</v>
      </c>
      <c r="I238" t="s">
        <v>174</v>
      </c>
      <c r="J238" t="s">
        <v>798</v>
      </c>
      <c r="K238" t="s">
        <v>787</v>
      </c>
      <c r="L238" t="s">
        <v>788</v>
      </c>
      <c r="M238" s="5">
        <v>45444</v>
      </c>
      <c r="O238">
        <v>10</v>
      </c>
      <c r="P238">
        <v>32.53</v>
      </c>
      <c r="Q238">
        <v>43.92</v>
      </c>
      <c r="R238">
        <v>0.05</v>
      </c>
      <c r="S238">
        <v>417.24</v>
      </c>
      <c r="T238" t="s">
        <v>876</v>
      </c>
      <c r="U238">
        <v>325.3</v>
      </c>
      <c r="V238">
        <v>91.94</v>
      </c>
    </row>
    <row r="239" spans="1:22" x14ac:dyDescent="0.35">
      <c r="A239" t="s">
        <v>1424</v>
      </c>
      <c r="B239" t="s">
        <v>1425</v>
      </c>
      <c r="C239" t="s">
        <v>260</v>
      </c>
      <c r="D239" t="s">
        <v>261</v>
      </c>
      <c r="E239" t="s">
        <v>674</v>
      </c>
      <c r="F239" t="s">
        <v>264</v>
      </c>
      <c r="G239" t="s">
        <v>14</v>
      </c>
      <c r="H239" t="s">
        <v>48</v>
      </c>
      <c r="I239" t="s">
        <v>148</v>
      </c>
      <c r="J239" t="s">
        <v>786</v>
      </c>
      <c r="K239" t="s">
        <v>822</v>
      </c>
      <c r="L239" t="s">
        <v>818</v>
      </c>
      <c r="M239" s="5">
        <v>45637</v>
      </c>
      <c r="N239" s="5">
        <v>45629</v>
      </c>
      <c r="O239">
        <v>1</v>
      </c>
      <c r="P239">
        <v>58.01</v>
      </c>
      <c r="Q239">
        <v>72.510000000000005</v>
      </c>
      <c r="R239">
        <v>0</v>
      </c>
      <c r="S239">
        <v>72.510000000000005</v>
      </c>
      <c r="T239" t="s">
        <v>1017</v>
      </c>
      <c r="U239">
        <v>58.01</v>
      </c>
      <c r="V239">
        <v>14.5</v>
      </c>
    </row>
    <row r="240" spans="1:22" x14ac:dyDescent="0.35">
      <c r="A240" t="s">
        <v>1427</v>
      </c>
      <c r="B240" t="s">
        <v>926</v>
      </c>
      <c r="C240" t="s">
        <v>592</v>
      </c>
      <c r="D240" t="s">
        <v>478</v>
      </c>
      <c r="E240" t="s">
        <v>637</v>
      </c>
      <c r="F240" t="s">
        <v>243</v>
      </c>
      <c r="G240" t="s">
        <v>797</v>
      </c>
      <c r="H240" t="s">
        <v>38</v>
      </c>
      <c r="I240" t="s">
        <v>69</v>
      </c>
      <c r="J240" t="s">
        <v>798</v>
      </c>
      <c r="K240" t="s">
        <v>787</v>
      </c>
      <c r="L240" t="s">
        <v>818</v>
      </c>
      <c r="M240" s="5">
        <v>46007</v>
      </c>
      <c r="O240">
        <v>3</v>
      </c>
      <c r="P240">
        <v>20.9</v>
      </c>
      <c r="Q240">
        <v>28.21</v>
      </c>
      <c r="R240">
        <v>0.15</v>
      </c>
      <c r="S240">
        <v>71.94</v>
      </c>
      <c r="T240" t="s">
        <v>814</v>
      </c>
      <c r="U240">
        <v>62.7</v>
      </c>
      <c r="V240">
        <v>9.24</v>
      </c>
    </row>
    <row r="241" spans="1:22" x14ac:dyDescent="0.35">
      <c r="A241" t="s">
        <v>1429</v>
      </c>
      <c r="B241" t="s">
        <v>1430</v>
      </c>
      <c r="C241" t="s">
        <v>590</v>
      </c>
      <c r="D241" t="s">
        <v>591</v>
      </c>
      <c r="E241" t="s">
        <v>696</v>
      </c>
      <c r="F241" t="s">
        <v>235</v>
      </c>
      <c r="G241" t="s">
        <v>20</v>
      </c>
      <c r="H241" t="s">
        <v>43</v>
      </c>
      <c r="I241" t="s">
        <v>113</v>
      </c>
      <c r="J241" t="s">
        <v>786</v>
      </c>
      <c r="K241" t="s">
        <v>799</v>
      </c>
      <c r="L241" t="s">
        <v>788</v>
      </c>
      <c r="M241" s="5">
        <v>45393</v>
      </c>
      <c r="N241" s="5">
        <v>45386</v>
      </c>
      <c r="O241">
        <v>5</v>
      </c>
      <c r="P241">
        <v>16.91</v>
      </c>
      <c r="Q241">
        <v>21.14</v>
      </c>
      <c r="R241">
        <v>0.05</v>
      </c>
      <c r="S241">
        <v>100.41</v>
      </c>
      <c r="T241" t="s">
        <v>790</v>
      </c>
      <c r="U241">
        <v>84.55</v>
      </c>
      <c r="V241">
        <v>15.86</v>
      </c>
    </row>
    <row r="242" spans="1:22" x14ac:dyDescent="0.35">
      <c r="A242" t="s">
        <v>1433</v>
      </c>
      <c r="B242" t="s">
        <v>1434</v>
      </c>
      <c r="C242" t="s">
        <v>438</v>
      </c>
      <c r="D242" t="s">
        <v>439</v>
      </c>
      <c r="E242" t="s">
        <v>627</v>
      </c>
      <c r="F242" t="s">
        <v>264</v>
      </c>
      <c r="G242" t="s">
        <v>20</v>
      </c>
      <c r="H242" t="s">
        <v>14</v>
      </c>
      <c r="I242" t="s">
        <v>150</v>
      </c>
      <c r="J242" t="s">
        <v>786</v>
      </c>
      <c r="K242" t="s">
        <v>787</v>
      </c>
      <c r="L242" t="s">
        <v>788</v>
      </c>
      <c r="M242" s="5">
        <v>45350</v>
      </c>
      <c r="O242">
        <v>12</v>
      </c>
      <c r="P242">
        <v>5.81</v>
      </c>
      <c r="Q242">
        <v>7.55</v>
      </c>
      <c r="R242">
        <v>0</v>
      </c>
      <c r="S242">
        <v>90.6</v>
      </c>
      <c r="T242" t="s">
        <v>1001</v>
      </c>
      <c r="U242">
        <v>69.72</v>
      </c>
      <c r="V242">
        <v>20.88</v>
      </c>
    </row>
    <row r="243" spans="1:22" x14ac:dyDescent="0.35">
      <c r="A243" t="s">
        <v>1436</v>
      </c>
      <c r="B243" t="s">
        <v>1234</v>
      </c>
      <c r="C243" t="s">
        <v>426</v>
      </c>
      <c r="D243" t="s">
        <v>427</v>
      </c>
      <c r="E243" t="s">
        <v>633</v>
      </c>
      <c r="F243" t="s">
        <v>264</v>
      </c>
      <c r="G243" t="s">
        <v>20</v>
      </c>
      <c r="H243" t="s">
        <v>43</v>
      </c>
      <c r="I243" t="s">
        <v>171</v>
      </c>
      <c r="J243" t="s">
        <v>786</v>
      </c>
      <c r="K243" t="s">
        <v>793</v>
      </c>
      <c r="L243" t="s">
        <v>788</v>
      </c>
      <c r="M243" s="5">
        <v>45358</v>
      </c>
      <c r="O243">
        <v>2</v>
      </c>
      <c r="P243">
        <v>29.39</v>
      </c>
      <c r="Q243">
        <v>39.68</v>
      </c>
      <c r="R243">
        <v>0</v>
      </c>
      <c r="S243">
        <v>79.36</v>
      </c>
      <c r="T243" t="s">
        <v>888</v>
      </c>
      <c r="U243">
        <v>58.78</v>
      </c>
      <c r="V243">
        <v>20.58</v>
      </c>
    </row>
    <row r="244" spans="1:22" x14ac:dyDescent="0.35">
      <c r="A244" t="s">
        <v>1438</v>
      </c>
      <c r="B244" t="s">
        <v>1048</v>
      </c>
      <c r="C244" t="s">
        <v>560</v>
      </c>
      <c r="D244" t="s">
        <v>292</v>
      </c>
      <c r="E244" t="s">
        <v>637</v>
      </c>
      <c r="F244" t="s">
        <v>264</v>
      </c>
      <c r="G244" t="s">
        <v>797</v>
      </c>
      <c r="H244" t="s">
        <v>8</v>
      </c>
      <c r="I244" t="s">
        <v>65</v>
      </c>
      <c r="J244" t="s">
        <v>798</v>
      </c>
      <c r="K244" t="s">
        <v>799</v>
      </c>
      <c r="L244" t="s">
        <v>842</v>
      </c>
      <c r="M244" s="5">
        <v>45506</v>
      </c>
      <c r="N244" s="5">
        <v>45503</v>
      </c>
      <c r="O244">
        <v>12</v>
      </c>
      <c r="P244">
        <v>30.16</v>
      </c>
      <c r="Q244">
        <v>40.72</v>
      </c>
      <c r="R244">
        <v>0.1</v>
      </c>
      <c r="S244">
        <v>439.78</v>
      </c>
      <c r="T244" t="s">
        <v>819</v>
      </c>
      <c r="U244">
        <v>361.92</v>
      </c>
      <c r="V244">
        <v>77.86</v>
      </c>
    </row>
    <row r="245" spans="1:22" x14ac:dyDescent="0.35">
      <c r="A245" t="s">
        <v>1440</v>
      </c>
      <c r="B245" t="s">
        <v>1108</v>
      </c>
      <c r="C245" t="s">
        <v>573</v>
      </c>
      <c r="D245" t="s">
        <v>277</v>
      </c>
      <c r="E245" t="s">
        <v>696</v>
      </c>
      <c r="F245" t="s">
        <v>235</v>
      </c>
      <c r="G245" t="s">
        <v>14</v>
      </c>
      <c r="H245" t="s">
        <v>20</v>
      </c>
      <c r="I245" t="s">
        <v>34</v>
      </c>
      <c r="J245" t="s">
        <v>798</v>
      </c>
      <c r="K245" t="s">
        <v>799</v>
      </c>
      <c r="L245" t="s">
        <v>842</v>
      </c>
      <c r="M245" s="5">
        <v>45521</v>
      </c>
      <c r="N245" s="5">
        <v>45519</v>
      </c>
      <c r="O245">
        <v>5</v>
      </c>
      <c r="P245">
        <v>28.02</v>
      </c>
      <c r="Q245">
        <v>36.43</v>
      </c>
      <c r="R245">
        <v>0</v>
      </c>
      <c r="S245">
        <v>182.15</v>
      </c>
      <c r="T245" t="s">
        <v>790</v>
      </c>
      <c r="U245">
        <v>140.1</v>
      </c>
      <c r="V245">
        <v>42.05</v>
      </c>
    </row>
    <row r="246" spans="1:22" x14ac:dyDescent="0.35">
      <c r="A246" t="s">
        <v>1442</v>
      </c>
      <c r="B246" t="s">
        <v>1443</v>
      </c>
      <c r="C246" t="s">
        <v>534</v>
      </c>
      <c r="D246" t="s">
        <v>535</v>
      </c>
      <c r="E246" t="s">
        <v>637</v>
      </c>
      <c r="G246" t="s">
        <v>20</v>
      </c>
      <c r="H246" t="s">
        <v>20</v>
      </c>
      <c r="I246" t="s">
        <v>39</v>
      </c>
      <c r="J246" t="s">
        <v>813</v>
      </c>
      <c r="K246" t="s">
        <v>787</v>
      </c>
      <c r="L246" t="s">
        <v>800</v>
      </c>
      <c r="M246" s="5">
        <v>45929</v>
      </c>
      <c r="O246">
        <v>1</v>
      </c>
      <c r="P246">
        <v>9.5</v>
      </c>
      <c r="Q246">
        <v>12.83</v>
      </c>
      <c r="R246">
        <v>0</v>
      </c>
      <c r="S246">
        <v>12.83</v>
      </c>
      <c r="T246" t="s">
        <v>888</v>
      </c>
      <c r="U246">
        <v>9.5</v>
      </c>
      <c r="V246">
        <v>3.33</v>
      </c>
    </row>
    <row r="247" spans="1:22" x14ac:dyDescent="0.35">
      <c r="A247" t="s">
        <v>1444</v>
      </c>
      <c r="B247" t="s">
        <v>917</v>
      </c>
      <c r="C247" t="s">
        <v>554</v>
      </c>
      <c r="D247" t="s">
        <v>445</v>
      </c>
      <c r="E247" t="s">
        <v>633</v>
      </c>
      <c r="F247" t="s">
        <v>235</v>
      </c>
      <c r="G247" t="s">
        <v>797</v>
      </c>
      <c r="H247" t="s">
        <v>48</v>
      </c>
      <c r="I247" t="s">
        <v>179</v>
      </c>
      <c r="J247" t="s">
        <v>813</v>
      </c>
      <c r="K247" t="s">
        <v>787</v>
      </c>
      <c r="L247" t="s">
        <v>788</v>
      </c>
      <c r="M247" s="5">
        <v>45328</v>
      </c>
      <c r="O247">
        <v>20</v>
      </c>
      <c r="P247">
        <v>16.670000000000002</v>
      </c>
      <c r="Q247">
        <v>22.5</v>
      </c>
      <c r="R247">
        <v>0</v>
      </c>
      <c r="S247">
        <v>450</v>
      </c>
      <c r="T247" t="s">
        <v>825</v>
      </c>
      <c r="U247">
        <v>333.4</v>
      </c>
      <c r="V247">
        <v>116.6</v>
      </c>
    </row>
    <row r="248" spans="1:22" x14ac:dyDescent="0.35">
      <c r="A248" t="s">
        <v>1446</v>
      </c>
      <c r="B248" t="s">
        <v>1447</v>
      </c>
      <c r="C248" t="s">
        <v>574</v>
      </c>
      <c r="D248" t="s">
        <v>458</v>
      </c>
      <c r="E248" t="s">
        <v>681</v>
      </c>
      <c r="G248" t="s">
        <v>14</v>
      </c>
      <c r="H248" t="s">
        <v>14</v>
      </c>
      <c r="I248" t="s">
        <v>12</v>
      </c>
      <c r="J248" t="s">
        <v>798</v>
      </c>
      <c r="K248" t="s">
        <v>799</v>
      </c>
      <c r="L248" t="s">
        <v>818</v>
      </c>
      <c r="M248" s="5">
        <v>45590</v>
      </c>
      <c r="N248" s="5">
        <v>45589</v>
      </c>
      <c r="O248">
        <v>10</v>
      </c>
      <c r="P248">
        <v>35.03</v>
      </c>
      <c r="Q248">
        <v>50.79</v>
      </c>
      <c r="R248">
        <v>0.15</v>
      </c>
      <c r="S248">
        <v>431.71</v>
      </c>
      <c r="T248" t="s">
        <v>803</v>
      </c>
      <c r="U248">
        <v>350.3</v>
      </c>
      <c r="V248">
        <v>81.41</v>
      </c>
    </row>
    <row r="249" spans="1:22" x14ac:dyDescent="0.35">
      <c r="A249" t="s">
        <v>1449</v>
      </c>
      <c r="B249" t="s">
        <v>1445</v>
      </c>
      <c r="C249" t="s">
        <v>612</v>
      </c>
      <c r="D249" t="s">
        <v>447</v>
      </c>
      <c r="E249" t="s">
        <v>633</v>
      </c>
      <c r="F249" t="s">
        <v>235</v>
      </c>
      <c r="G249" t="s">
        <v>797</v>
      </c>
      <c r="H249" t="s">
        <v>43</v>
      </c>
      <c r="I249" t="s">
        <v>44</v>
      </c>
      <c r="J249" t="s">
        <v>786</v>
      </c>
      <c r="K249" t="s">
        <v>799</v>
      </c>
      <c r="L249" t="s">
        <v>818</v>
      </c>
      <c r="M249" s="5">
        <v>45342</v>
      </c>
      <c r="N249" s="5">
        <v>45333</v>
      </c>
      <c r="O249">
        <v>12</v>
      </c>
      <c r="P249">
        <v>14.05</v>
      </c>
      <c r="Q249">
        <v>19.670000000000002</v>
      </c>
      <c r="R249">
        <v>0.1</v>
      </c>
      <c r="S249">
        <v>212.44</v>
      </c>
      <c r="T249" t="s">
        <v>834</v>
      </c>
      <c r="U249">
        <v>168.6</v>
      </c>
      <c r="V249">
        <v>43.84</v>
      </c>
    </row>
    <row r="250" spans="1:22" x14ac:dyDescent="0.35">
      <c r="A250" t="s">
        <v>1451</v>
      </c>
      <c r="B250" t="s">
        <v>1452</v>
      </c>
      <c r="C250" t="s">
        <v>337</v>
      </c>
      <c r="D250" t="s">
        <v>338</v>
      </c>
      <c r="E250" t="s">
        <v>681</v>
      </c>
      <c r="F250" t="s">
        <v>243</v>
      </c>
      <c r="G250" t="s">
        <v>20</v>
      </c>
      <c r="H250" t="s">
        <v>20</v>
      </c>
      <c r="I250" t="s">
        <v>159</v>
      </c>
      <c r="J250" t="s">
        <v>798</v>
      </c>
      <c r="K250" t="s">
        <v>793</v>
      </c>
      <c r="L250" t="s">
        <v>788</v>
      </c>
      <c r="M250" s="5">
        <v>45781</v>
      </c>
      <c r="O250">
        <v>1</v>
      </c>
      <c r="P250">
        <v>8.2200000000000006</v>
      </c>
      <c r="Q250">
        <v>11.1</v>
      </c>
      <c r="R250">
        <v>0.15</v>
      </c>
      <c r="S250">
        <v>9.43</v>
      </c>
      <c r="T250" t="s">
        <v>963</v>
      </c>
      <c r="U250">
        <v>8.2200000000000006</v>
      </c>
      <c r="V250">
        <v>1.21</v>
      </c>
    </row>
    <row r="251" spans="1:22" x14ac:dyDescent="0.35">
      <c r="A251" t="s">
        <v>1453</v>
      </c>
      <c r="B251" t="s">
        <v>1454</v>
      </c>
      <c r="C251" t="s">
        <v>327</v>
      </c>
      <c r="D251" t="s">
        <v>328</v>
      </c>
      <c r="E251" t="s">
        <v>627</v>
      </c>
      <c r="F251" t="s">
        <v>264</v>
      </c>
      <c r="G251" t="s">
        <v>20</v>
      </c>
      <c r="H251" t="s">
        <v>8</v>
      </c>
      <c r="I251" t="s">
        <v>181</v>
      </c>
      <c r="J251" t="s">
        <v>798</v>
      </c>
      <c r="K251" t="s">
        <v>817</v>
      </c>
      <c r="L251" t="s">
        <v>818</v>
      </c>
      <c r="M251" s="5">
        <v>45925</v>
      </c>
      <c r="O251">
        <v>20</v>
      </c>
      <c r="P251">
        <v>20.49</v>
      </c>
      <c r="Q251">
        <v>29.71</v>
      </c>
      <c r="R251">
        <v>0.15</v>
      </c>
      <c r="S251">
        <v>505.07</v>
      </c>
      <c r="T251" t="s">
        <v>1001</v>
      </c>
      <c r="U251">
        <v>409.8</v>
      </c>
      <c r="V251">
        <v>95.27</v>
      </c>
    </row>
    <row r="252" spans="1:22" x14ac:dyDescent="0.35">
      <c r="A252" t="s">
        <v>1455</v>
      </c>
      <c r="B252" t="s">
        <v>832</v>
      </c>
      <c r="C252" t="s">
        <v>479</v>
      </c>
      <c r="D252" t="s">
        <v>480</v>
      </c>
      <c r="E252" t="s">
        <v>627</v>
      </c>
      <c r="F252" t="s">
        <v>243</v>
      </c>
      <c r="G252" t="s">
        <v>20</v>
      </c>
      <c r="H252" t="s">
        <v>48</v>
      </c>
      <c r="I252" t="s">
        <v>54</v>
      </c>
      <c r="J252" t="s">
        <v>798</v>
      </c>
      <c r="K252" t="s">
        <v>799</v>
      </c>
      <c r="L252" t="s">
        <v>800</v>
      </c>
      <c r="M252" s="5">
        <v>45918</v>
      </c>
      <c r="N252" s="5">
        <v>45921</v>
      </c>
      <c r="O252">
        <v>2</v>
      </c>
      <c r="P252">
        <v>21.67</v>
      </c>
      <c r="Q252">
        <v>28.17</v>
      </c>
      <c r="R252">
        <v>0</v>
      </c>
      <c r="S252">
        <v>56.34</v>
      </c>
      <c r="T252" t="s">
        <v>946</v>
      </c>
      <c r="U252">
        <v>43.34</v>
      </c>
      <c r="V252">
        <v>13</v>
      </c>
    </row>
    <row r="253" spans="1:22" x14ac:dyDescent="0.35">
      <c r="A253" t="s">
        <v>1456</v>
      </c>
      <c r="B253" t="s">
        <v>1457</v>
      </c>
      <c r="C253" t="s">
        <v>597</v>
      </c>
      <c r="D253" t="s">
        <v>598</v>
      </c>
      <c r="E253" t="s">
        <v>681</v>
      </c>
      <c r="F253" t="s">
        <v>235</v>
      </c>
      <c r="G253" t="s">
        <v>14</v>
      </c>
      <c r="H253" t="s">
        <v>29</v>
      </c>
      <c r="I253" t="s">
        <v>27</v>
      </c>
      <c r="J253" t="s">
        <v>786</v>
      </c>
      <c r="K253" t="s">
        <v>822</v>
      </c>
      <c r="L253" t="s">
        <v>788</v>
      </c>
      <c r="M253" s="5">
        <v>45814</v>
      </c>
      <c r="N253" s="5">
        <v>45804</v>
      </c>
      <c r="O253">
        <v>5</v>
      </c>
      <c r="P253">
        <v>33.06</v>
      </c>
      <c r="Q253">
        <v>47.94</v>
      </c>
      <c r="R253">
        <v>0.15</v>
      </c>
      <c r="S253">
        <v>203.74</v>
      </c>
      <c r="T253" t="s">
        <v>859</v>
      </c>
      <c r="U253">
        <v>165.3</v>
      </c>
      <c r="V253">
        <v>38.44</v>
      </c>
    </row>
    <row r="254" spans="1:22" x14ac:dyDescent="0.35">
      <c r="A254" t="s">
        <v>1459</v>
      </c>
      <c r="B254" t="s">
        <v>1460</v>
      </c>
      <c r="C254" t="s">
        <v>260</v>
      </c>
      <c r="D254" t="s">
        <v>261</v>
      </c>
      <c r="E254" t="s">
        <v>696</v>
      </c>
      <c r="F254" t="s">
        <v>264</v>
      </c>
      <c r="G254" t="s">
        <v>14</v>
      </c>
      <c r="H254" t="s">
        <v>29</v>
      </c>
      <c r="I254" t="s">
        <v>106</v>
      </c>
      <c r="J254" t="s">
        <v>813</v>
      </c>
      <c r="K254" t="s">
        <v>799</v>
      </c>
      <c r="L254" t="s">
        <v>818</v>
      </c>
      <c r="M254" s="5">
        <v>45296</v>
      </c>
      <c r="N254" s="5">
        <v>45299</v>
      </c>
      <c r="O254">
        <v>1</v>
      </c>
      <c r="P254">
        <v>29.64</v>
      </c>
      <c r="Q254">
        <v>41.5</v>
      </c>
      <c r="R254">
        <v>0.05</v>
      </c>
      <c r="S254">
        <v>39.42</v>
      </c>
      <c r="T254" t="s">
        <v>829</v>
      </c>
      <c r="U254">
        <v>29.64</v>
      </c>
      <c r="V254">
        <v>9.7799999999999994</v>
      </c>
    </row>
    <row r="255" spans="1:22" x14ac:dyDescent="0.35">
      <c r="A255" t="s">
        <v>1463</v>
      </c>
      <c r="B255" t="s">
        <v>837</v>
      </c>
      <c r="C255" t="s">
        <v>565</v>
      </c>
      <c r="D255" t="s">
        <v>566</v>
      </c>
      <c r="E255" t="s">
        <v>674</v>
      </c>
      <c r="G255" t="s">
        <v>797</v>
      </c>
      <c r="H255" t="s">
        <v>8</v>
      </c>
      <c r="I255" t="s">
        <v>204</v>
      </c>
      <c r="J255" t="s">
        <v>798</v>
      </c>
      <c r="K255" t="s">
        <v>793</v>
      </c>
      <c r="L255" t="s">
        <v>842</v>
      </c>
      <c r="M255" s="5">
        <v>45657</v>
      </c>
      <c r="O255">
        <v>20</v>
      </c>
      <c r="P255">
        <v>28.27</v>
      </c>
      <c r="Q255">
        <v>40.99</v>
      </c>
      <c r="R255">
        <v>0</v>
      </c>
      <c r="S255">
        <v>819.8</v>
      </c>
      <c r="T255" t="s">
        <v>859</v>
      </c>
      <c r="U255">
        <v>565.4</v>
      </c>
      <c r="V255">
        <v>254.4</v>
      </c>
    </row>
    <row r="256" spans="1:22" x14ac:dyDescent="0.35">
      <c r="A256" t="s">
        <v>1465</v>
      </c>
      <c r="B256" t="s">
        <v>1466</v>
      </c>
      <c r="C256" t="s">
        <v>434</v>
      </c>
      <c r="D256" t="s">
        <v>435</v>
      </c>
      <c r="E256" t="s">
        <v>637</v>
      </c>
      <c r="F256" t="s">
        <v>264</v>
      </c>
      <c r="G256" t="s">
        <v>797</v>
      </c>
      <c r="H256" t="s">
        <v>14</v>
      </c>
      <c r="I256" t="s">
        <v>12</v>
      </c>
      <c r="J256" t="s">
        <v>798</v>
      </c>
      <c r="K256" t="s">
        <v>793</v>
      </c>
      <c r="L256" t="s">
        <v>842</v>
      </c>
      <c r="M256" s="5">
        <v>45817</v>
      </c>
      <c r="O256">
        <v>10</v>
      </c>
      <c r="P256">
        <v>35.03</v>
      </c>
      <c r="Q256">
        <v>50.79</v>
      </c>
      <c r="R256">
        <v>0</v>
      </c>
      <c r="S256">
        <v>507.9</v>
      </c>
      <c r="T256" t="s">
        <v>963</v>
      </c>
      <c r="U256">
        <v>350.3</v>
      </c>
      <c r="V256">
        <v>157.6</v>
      </c>
    </row>
    <row r="257" spans="1:22" x14ac:dyDescent="0.35">
      <c r="A257" t="s">
        <v>1468</v>
      </c>
      <c r="B257" t="s">
        <v>1469</v>
      </c>
      <c r="C257" t="s">
        <v>578</v>
      </c>
      <c r="D257" t="s">
        <v>368</v>
      </c>
      <c r="E257" t="s">
        <v>696</v>
      </c>
      <c r="F257" t="s">
        <v>235</v>
      </c>
      <c r="G257" t="s">
        <v>48</v>
      </c>
      <c r="H257" t="s">
        <v>29</v>
      </c>
      <c r="I257" t="s">
        <v>123</v>
      </c>
      <c r="J257" t="s">
        <v>786</v>
      </c>
      <c r="K257" t="s">
        <v>799</v>
      </c>
      <c r="L257" t="s">
        <v>818</v>
      </c>
      <c r="M257" s="5">
        <v>45644</v>
      </c>
      <c r="N257" s="5">
        <v>45638</v>
      </c>
      <c r="O257">
        <v>3</v>
      </c>
      <c r="P257">
        <v>20.7</v>
      </c>
      <c r="Q257">
        <v>30.01</v>
      </c>
      <c r="R257">
        <v>0</v>
      </c>
      <c r="S257">
        <v>90.03</v>
      </c>
      <c r="T257" t="s">
        <v>869</v>
      </c>
      <c r="U257">
        <v>62.1</v>
      </c>
      <c r="V257">
        <v>27.93</v>
      </c>
    </row>
    <row r="258" spans="1:22" x14ac:dyDescent="0.35">
      <c r="A258" t="s">
        <v>1471</v>
      </c>
      <c r="B258" t="s">
        <v>1472</v>
      </c>
      <c r="C258" t="s">
        <v>495</v>
      </c>
      <c r="D258" t="s">
        <v>496</v>
      </c>
      <c r="E258" t="s">
        <v>637</v>
      </c>
      <c r="F258" t="s">
        <v>264</v>
      </c>
      <c r="G258" t="s">
        <v>20</v>
      </c>
      <c r="H258" t="s">
        <v>48</v>
      </c>
      <c r="I258" t="s">
        <v>217</v>
      </c>
      <c r="J258" t="s">
        <v>786</v>
      </c>
      <c r="K258" t="s">
        <v>787</v>
      </c>
      <c r="L258" t="s">
        <v>800</v>
      </c>
      <c r="M258" s="5">
        <v>45855</v>
      </c>
      <c r="O258">
        <v>12</v>
      </c>
      <c r="P258">
        <v>24.07</v>
      </c>
      <c r="Q258">
        <v>34.9</v>
      </c>
      <c r="R258">
        <v>0.1</v>
      </c>
      <c r="S258">
        <v>376.92</v>
      </c>
      <c r="T258" t="s">
        <v>825</v>
      </c>
      <c r="U258">
        <v>288.83999999999997</v>
      </c>
      <c r="V258">
        <v>88.08</v>
      </c>
    </row>
    <row r="259" spans="1:22" x14ac:dyDescent="0.35">
      <c r="A259" t="s">
        <v>1473</v>
      </c>
      <c r="B259" t="s">
        <v>971</v>
      </c>
      <c r="C259" t="s">
        <v>527</v>
      </c>
      <c r="D259" t="s">
        <v>282</v>
      </c>
      <c r="E259" t="s">
        <v>254</v>
      </c>
      <c r="F259" t="s">
        <v>235</v>
      </c>
      <c r="G259" t="s">
        <v>797</v>
      </c>
      <c r="H259" t="s">
        <v>48</v>
      </c>
      <c r="I259" t="s">
        <v>143</v>
      </c>
      <c r="J259" t="s">
        <v>798</v>
      </c>
      <c r="K259" t="s">
        <v>799</v>
      </c>
      <c r="L259" t="s">
        <v>800</v>
      </c>
      <c r="M259" s="5">
        <v>45622</v>
      </c>
      <c r="N259" s="5">
        <v>45620</v>
      </c>
      <c r="O259">
        <v>2</v>
      </c>
      <c r="P259">
        <v>29.93</v>
      </c>
      <c r="Q259">
        <v>38.909999999999997</v>
      </c>
      <c r="R259">
        <v>0</v>
      </c>
      <c r="S259">
        <v>77.819999999999993</v>
      </c>
      <c r="T259" t="s">
        <v>888</v>
      </c>
      <c r="U259">
        <v>59.86</v>
      </c>
      <c r="V259">
        <v>17.96</v>
      </c>
    </row>
    <row r="260" spans="1:22" x14ac:dyDescent="0.35">
      <c r="A260" t="s">
        <v>1474</v>
      </c>
      <c r="B260" t="s">
        <v>1475</v>
      </c>
      <c r="C260" t="s">
        <v>457</v>
      </c>
      <c r="D260" t="s">
        <v>458</v>
      </c>
      <c r="E260" t="s">
        <v>681</v>
      </c>
      <c r="F260" t="s">
        <v>243</v>
      </c>
      <c r="G260" t="s">
        <v>14</v>
      </c>
      <c r="H260" t="s">
        <v>38</v>
      </c>
      <c r="I260" t="s">
        <v>130</v>
      </c>
      <c r="J260" t="s">
        <v>813</v>
      </c>
      <c r="K260" t="s">
        <v>799</v>
      </c>
      <c r="L260" t="s">
        <v>788</v>
      </c>
      <c r="M260" s="5">
        <v>45326</v>
      </c>
      <c r="N260" s="5">
        <v>45328</v>
      </c>
      <c r="O260">
        <v>10</v>
      </c>
      <c r="P260">
        <v>13.35</v>
      </c>
      <c r="Q260">
        <v>17.36</v>
      </c>
      <c r="R260">
        <v>0.1</v>
      </c>
      <c r="S260">
        <v>156.24</v>
      </c>
      <c r="T260" t="s">
        <v>919</v>
      </c>
      <c r="U260">
        <v>133.5</v>
      </c>
      <c r="V260">
        <v>22.74</v>
      </c>
    </row>
    <row r="261" spans="1:22" x14ac:dyDescent="0.35">
      <c r="A261" t="s">
        <v>1476</v>
      </c>
      <c r="B261" t="s">
        <v>1477</v>
      </c>
      <c r="C261" t="s">
        <v>590</v>
      </c>
      <c r="D261" t="s">
        <v>591</v>
      </c>
      <c r="E261" t="s">
        <v>254</v>
      </c>
      <c r="F261" t="s">
        <v>235</v>
      </c>
      <c r="G261" t="s">
        <v>797</v>
      </c>
      <c r="H261" t="s">
        <v>43</v>
      </c>
      <c r="I261" t="s">
        <v>141</v>
      </c>
      <c r="J261" t="s">
        <v>813</v>
      </c>
      <c r="K261" t="s">
        <v>799</v>
      </c>
      <c r="L261" t="s">
        <v>800</v>
      </c>
      <c r="M261" s="5">
        <v>46017</v>
      </c>
      <c r="N261" s="5">
        <v>46018</v>
      </c>
      <c r="O261">
        <v>5</v>
      </c>
      <c r="P261">
        <v>17.2</v>
      </c>
      <c r="Q261">
        <v>22.36</v>
      </c>
      <c r="R261">
        <v>0.05</v>
      </c>
      <c r="S261">
        <v>106.21</v>
      </c>
      <c r="T261" t="s">
        <v>859</v>
      </c>
      <c r="U261">
        <v>86</v>
      </c>
      <c r="V261">
        <v>20.21</v>
      </c>
    </row>
    <row r="262" spans="1:22" x14ac:dyDescent="0.35">
      <c r="A262" t="s">
        <v>1479</v>
      </c>
      <c r="B262" t="s">
        <v>1480</v>
      </c>
      <c r="C262" t="s">
        <v>364</v>
      </c>
      <c r="D262" t="s">
        <v>365</v>
      </c>
      <c r="E262" t="s">
        <v>254</v>
      </c>
      <c r="F262" t="s">
        <v>243</v>
      </c>
      <c r="G262" t="s">
        <v>797</v>
      </c>
      <c r="H262" t="s">
        <v>20</v>
      </c>
      <c r="I262" t="s">
        <v>119</v>
      </c>
      <c r="J262" t="s">
        <v>813</v>
      </c>
      <c r="K262" t="s">
        <v>793</v>
      </c>
      <c r="L262" t="s">
        <v>842</v>
      </c>
      <c r="M262" s="5">
        <v>45832</v>
      </c>
      <c r="O262">
        <v>3</v>
      </c>
      <c r="P262">
        <v>40.94</v>
      </c>
      <c r="Q262">
        <v>53.22</v>
      </c>
      <c r="R262">
        <v>0.05</v>
      </c>
      <c r="S262">
        <v>151.68</v>
      </c>
      <c r="T262" t="s">
        <v>892</v>
      </c>
      <c r="U262">
        <v>122.82</v>
      </c>
      <c r="V262">
        <v>28.86</v>
      </c>
    </row>
    <row r="263" spans="1:22" x14ac:dyDescent="0.35">
      <c r="A263" t="s">
        <v>1482</v>
      </c>
      <c r="B263" t="s">
        <v>1483</v>
      </c>
      <c r="C263" t="s">
        <v>511</v>
      </c>
      <c r="D263" t="s">
        <v>512</v>
      </c>
      <c r="E263" t="s">
        <v>674</v>
      </c>
      <c r="F263" t="s">
        <v>264</v>
      </c>
      <c r="G263" t="s">
        <v>797</v>
      </c>
      <c r="H263" t="s">
        <v>48</v>
      </c>
      <c r="I263" t="s">
        <v>202</v>
      </c>
      <c r="J263" t="s">
        <v>786</v>
      </c>
      <c r="K263" t="s">
        <v>799</v>
      </c>
      <c r="L263" t="s">
        <v>800</v>
      </c>
      <c r="M263" s="5">
        <v>45331</v>
      </c>
      <c r="N263" s="5">
        <v>45319</v>
      </c>
      <c r="O263">
        <v>5</v>
      </c>
      <c r="P263">
        <v>27</v>
      </c>
      <c r="Q263">
        <v>39.15</v>
      </c>
      <c r="R263">
        <v>0</v>
      </c>
      <c r="S263">
        <v>195.75</v>
      </c>
      <c r="T263" t="s">
        <v>888</v>
      </c>
      <c r="U263">
        <v>135</v>
      </c>
      <c r="V263">
        <v>60.75</v>
      </c>
    </row>
    <row r="264" spans="1:22" x14ac:dyDescent="0.35">
      <c r="A264" t="s">
        <v>1485</v>
      </c>
      <c r="B264" t="s">
        <v>1151</v>
      </c>
      <c r="C264" t="s">
        <v>377</v>
      </c>
      <c r="D264" t="s">
        <v>378</v>
      </c>
      <c r="E264" t="s">
        <v>681</v>
      </c>
      <c r="F264" t="s">
        <v>243</v>
      </c>
      <c r="G264" t="s">
        <v>797</v>
      </c>
      <c r="H264" t="s">
        <v>14</v>
      </c>
      <c r="I264" t="s">
        <v>24</v>
      </c>
      <c r="J264" t="s">
        <v>798</v>
      </c>
      <c r="K264" t="s">
        <v>799</v>
      </c>
      <c r="L264" t="s">
        <v>842</v>
      </c>
      <c r="M264" s="5">
        <v>45827</v>
      </c>
      <c r="N264" s="5">
        <v>45821</v>
      </c>
      <c r="O264">
        <v>2</v>
      </c>
      <c r="P264">
        <v>37.42</v>
      </c>
      <c r="Q264">
        <v>50.52</v>
      </c>
      <c r="R264">
        <v>0</v>
      </c>
      <c r="S264">
        <v>101.04</v>
      </c>
      <c r="T264" t="s">
        <v>859</v>
      </c>
      <c r="U264">
        <v>74.84</v>
      </c>
      <c r="V264">
        <v>26.2</v>
      </c>
    </row>
    <row r="265" spans="1:22" x14ac:dyDescent="0.35">
      <c r="A265" t="s">
        <v>1487</v>
      </c>
      <c r="B265" t="s">
        <v>1260</v>
      </c>
      <c r="C265" t="s">
        <v>315</v>
      </c>
      <c r="D265" t="s">
        <v>316</v>
      </c>
      <c r="E265" t="s">
        <v>633</v>
      </c>
      <c r="F265" t="s">
        <v>235</v>
      </c>
      <c r="G265" t="s">
        <v>14</v>
      </c>
      <c r="H265" t="s">
        <v>48</v>
      </c>
      <c r="I265" t="s">
        <v>179</v>
      </c>
      <c r="J265" t="s">
        <v>813</v>
      </c>
      <c r="K265" t="s">
        <v>799</v>
      </c>
      <c r="L265" t="s">
        <v>800</v>
      </c>
      <c r="M265" s="5">
        <v>45998</v>
      </c>
      <c r="N265" s="5">
        <v>46000</v>
      </c>
      <c r="O265">
        <v>20</v>
      </c>
      <c r="P265">
        <v>16.670000000000002</v>
      </c>
      <c r="Q265">
        <v>22.5</v>
      </c>
      <c r="R265">
        <v>0</v>
      </c>
      <c r="S265">
        <v>450</v>
      </c>
      <c r="T265" t="s">
        <v>803</v>
      </c>
      <c r="U265">
        <v>333.4</v>
      </c>
      <c r="V265">
        <v>116.6</v>
      </c>
    </row>
    <row r="266" spans="1:22" x14ac:dyDescent="0.35">
      <c r="A266" t="s">
        <v>1489</v>
      </c>
      <c r="B266" t="s">
        <v>1490</v>
      </c>
      <c r="C266" t="s">
        <v>434</v>
      </c>
      <c r="D266" t="s">
        <v>435</v>
      </c>
      <c r="E266" t="s">
        <v>674</v>
      </c>
      <c r="F266" t="s">
        <v>264</v>
      </c>
      <c r="G266" t="s">
        <v>797</v>
      </c>
      <c r="H266" t="s">
        <v>14</v>
      </c>
      <c r="I266" t="s">
        <v>152</v>
      </c>
      <c r="J266" t="s">
        <v>798</v>
      </c>
      <c r="K266" t="s">
        <v>793</v>
      </c>
      <c r="L266" t="s">
        <v>818</v>
      </c>
      <c r="M266" s="5">
        <v>45953</v>
      </c>
      <c r="O266">
        <v>12</v>
      </c>
      <c r="P266">
        <v>38.549999999999997</v>
      </c>
      <c r="Q266">
        <v>53.97</v>
      </c>
      <c r="R266">
        <v>0.15</v>
      </c>
      <c r="S266">
        <v>550.49</v>
      </c>
      <c r="T266" t="s">
        <v>919</v>
      </c>
      <c r="U266">
        <v>462.6</v>
      </c>
      <c r="V266">
        <v>87.89</v>
      </c>
    </row>
    <row r="267" spans="1:22" x14ac:dyDescent="0.35">
      <c r="A267" t="s">
        <v>1491</v>
      </c>
      <c r="B267" t="s">
        <v>1492</v>
      </c>
      <c r="C267" t="s">
        <v>355</v>
      </c>
      <c r="D267" t="s">
        <v>356</v>
      </c>
      <c r="E267" t="s">
        <v>633</v>
      </c>
      <c r="F267" t="s">
        <v>264</v>
      </c>
      <c r="G267" t="s">
        <v>797</v>
      </c>
      <c r="H267" t="s">
        <v>79</v>
      </c>
      <c r="I267" t="s">
        <v>184</v>
      </c>
      <c r="J267" t="s">
        <v>786</v>
      </c>
      <c r="K267" t="s">
        <v>799</v>
      </c>
      <c r="L267" t="s">
        <v>842</v>
      </c>
      <c r="M267" s="5">
        <v>45585</v>
      </c>
      <c r="N267" s="5">
        <v>45577</v>
      </c>
      <c r="O267">
        <v>12</v>
      </c>
      <c r="P267">
        <v>28.87</v>
      </c>
      <c r="Q267">
        <v>40.42</v>
      </c>
      <c r="R267">
        <v>0</v>
      </c>
      <c r="S267">
        <v>485.04</v>
      </c>
      <c r="T267" t="s">
        <v>790</v>
      </c>
      <c r="U267">
        <v>346.44</v>
      </c>
      <c r="V267">
        <v>138.6</v>
      </c>
    </row>
    <row r="268" spans="1:22" x14ac:dyDescent="0.35">
      <c r="A268" t="s">
        <v>1494</v>
      </c>
      <c r="B268" t="s">
        <v>994</v>
      </c>
      <c r="C268" t="s">
        <v>409</v>
      </c>
      <c r="D268" t="s">
        <v>410</v>
      </c>
      <c r="E268" t="s">
        <v>674</v>
      </c>
      <c r="F268" t="s">
        <v>235</v>
      </c>
      <c r="G268" t="s">
        <v>48</v>
      </c>
      <c r="H268" t="s">
        <v>14</v>
      </c>
      <c r="I268" t="s">
        <v>138</v>
      </c>
      <c r="J268" t="s">
        <v>786</v>
      </c>
      <c r="K268" t="s">
        <v>799</v>
      </c>
      <c r="L268" t="s">
        <v>788</v>
      </c>
      <c r="M268" s="5">
        <v>45868</v>
      </c>
      <c r="N268" s="5">
        <v>45864</v>
      </c>
      <c r="O268">
        <v>20</v>
      </c>
      <c r="P268">
        <v>42.6</v>
      </c>
      <c r="Q268">
        <v>59.64</v>
      </c>
      <c r="R268">
        <v>0</v>
      </c>
      <c r="S268">
        <v>1192.8</v>
      </c>
      <c r="T268" t="s">
        <v>859</v>
      </c>
      <c r="U268">
        <v>852</v>
      </c>
      <c r="V268">
        <v>340.8</v>
      </c>
    </row>
    <row r="269" spans="1:22" x14ac:dyDescent="0.35">
      <c r="A269" t="s">
        <v>1496</v>
      </c>
      <c r="B269" t="s">
        <v>1470</v>
      </c>
      <c r="C269" t="s">
        <v>487</v>
      </c>
      <c r="D269" t="s">
        <v>488</v>
      </c>
      <c r="E269" t="s">
        <v>254</v>
      </c>
      <c r="F269" t="s">
        <v>243</v>
      </c>
      <c r="G269" t="s">
        <v>797</v>
      </c>
      <c r="H269" t="s">
        <v>48</v>
      </c>
      <c r="I269" t="s">
        <v>217</v>
      </c>
      <c r="J269" t="s">
        <v>798</v>
      </c>
      <c r="K269" t="s">
        <v>799</v>
      </c>
      <c r="L269" t="s">
        <v>842</v>
      </c>
      <c r="M269" s="5">
        <v>45645</v>
      </c>
      <c r="N269" s="5">
        <v>45640</v>
      </c>
      <c r="O269">
        <v>5</v>
      </c>
      <c r="P269">
        <v>24.07</v>
      </c>
      <c r="Q269">
        <v>34.9</v>
      </c>
      <c r="R269">
        <v>0.05</v>
      </c>
      <c r="S269">
        <v>165.78</v>
      </c>
      <c r="T269" t="s">
        <v>829</v>
      </c>
      <c r="U269">
        <v>120.35</v>
      </c>
      <c r="V269">
        <v>45.43</v>
      </c>
    </row>
    <row r="270" spans="1:22" x14ac:dyDescent="0.35">
      <c r="A270" t="s">
        <v>1499</v>
      </c>
      <c r="B270" t="s">
        <v>1013</v>
      </c>
      <c r="C270" t="s">
        <v>366</v>
      </c>
      <c r="D270" t="s">
        <v>245</v>
      </c>
      <c r="E270" t="s">
        <v>681</v>
      </c>
      <c r="F270" t="s">
        <v>243</v>
      </c>
      <c r="G270" t="s">
        <v>14</v>
      </c>
      <c r="H270" t="s">
        <v>20</v>
      </c>
      <c r="I270" t="s">
        <v>102</v>
      </c>
      <c r="J270" t="s">
        <v>798</v>
      </c>
      <c r="K270" t="s">
        <v>799</v>
      </c>
      <c r="L270" t="s">
        <v>818</v>
      </c>
      <c r="M270" s="5">
        <v>45735</v>
      </c>
      <c r="N270" s="5">
        <v>45733</v>
      </c>
      <c r="O270">
        <v>5</v>
      </c>
      <c r="P270">
        <v>19.04</v>
      </c>
      <c r="Q270">
        <v>25.7</v>
      </c>
      <c r="R270">
        <v>0.1</v>
      </c>
      <c r="S270">
        <v>115.65</v>
      </c>
      <c r="T270" t="s">
        <v>814</v>
      </c>
      <c r="U270">
        <v>95.2</v>
      </c>
      <c r="V270">
        <v>20.45</v>
      </c>
    </row>
    <row r="271" spans="1:22" x14ac:dyDescent="0.35">
      <c r="A271" t="s">
        <v>1502</v>
      </c>
      <c r="B271" t="s">
        <v>1277</v>
      </c>
      <c r="C271" t="s">
        <v>592</v>
      </c>
      <c r="D271" t="s">
        <v>478</v>
      </c>
      <c r="E271" t="s">
        <v>637</v>
      </c>
      <c r="F271" t="s">
        <v>243</v>
      </c>
      <c r="G271" t="s">
        <v>14</v>
      </c>
      <c r="H271" t="s">
        <v>43</v>
      </c>
      <c r="I271" t="s">
        <v>171</v>
      </c>
      <c r="J271" t="s">
        <v>798</v>
      </c>
      <c r="K271" t="s">
        <v>817</v>
      </c>
      <c r="L271" t="s">
        <v>818</v>
      </c>
      <c r="M271" s="5">
        <v>45639</v>
      </c>
      <c r="O271">
        <v>20</v>
      </c>
      <c r="P271">
        <v>29.39</v>
      </c>
      <c r="Q271">
        <v>39.68</v>
      </c>
      <c r="R271">
        <v>0.1</v>
      </c>
      <c r="S271">
        <v>714.24</v>
      </c>
      <c r="T271" t="s">
        <v>888</v>
      </c>
      <c r="U271">
        <v>587.79999999999995</v>
      </c>
      <c r="V271">
        <v>126.44</v>
      </c>
    </row>
    <row r="272" spans="1:22" x14ac:dyDescent="0.35">
      <c r="A272" t="s">
        <v>1503</v>
      </c>
      <c r="B272" t="s">
        <v>1504</v>
      </c>
      <c r="C272" t="s">
        <v>320</v>
      </c>
      <c r="D272" t="s">
        <v>321</v>
      </c>
      <c r="E272" t="s">
        <v>696</v>
      </c>
      <c r="F272" t="s">
        <v>235</v>
      </c>
      <c r="G272" t="s">
        <v>797</v>
      </c>
      <c r="H272" t="s">
        <v>38</v>
      </c>
      <c r="I272" t="s">
        <v>156</v>
      </c>
      <c r="J272" t="s">
        <v>798</v>
      </c>
      <c r="K272" t="s">
        <v>799</v>
      </c>
      <c r="L272" t="s">
        <v>818</v>
      </c>
      <c r="M272" s="5">
        <v>45394</v>
      </c>
      <c r="N272" s="5">
        <v>45390</v>
      </c>
      <c r="O272">
        <v>3</v>
      </c>
      <c r="P272">
        <v>20.81</v>
      </c>
      <c r="Q272">
        <v>29.13</v>
      </c>
      <c r="R272">
        <v>0</v>
      </c>
      <c r="S272">
        <v>87.39</v>
      </c>
      <c r="T272" t="s">
        <v>794</v>
      </c>
      <c r="U272">
        <v>62.43</v>
      </c>
      <c r="V272">
        <v>24.96</v>
      </c>
    </row>
    <row r="273" spans="1:22" x14ac:dyDescent="0.35">
      <c r="A273" t="s">
        <v>1506</v>
      </c>
      <c r="B273" t="s">
        <v>1136</v>
      </c>
      <c r="C273" t="s">
        <v>452</v>
      </c>
      <c r="D273" t="s">
        <v>420</v>
      </c>
      <c r="E273" t="s">
        <v>696</v>
      </c>
      <c r="F273" t="s">
        <v>264</v>
      </c>
      <c r="G273" t="s">
        <v>797</v>
      </c>
      <c r="H273" t="s">
        <v>8</v>
      </c>
      <c r="I273" t="s">
        <v>174</v>
      </c>
      <c r="J273" t="s">
        <v>786</v>
      </c>
      <c r="K273" t="s">
        <v>793</v>
      </c>
      <c r="L273" t="s">
        <v>800</v>
      </c>
      <c r="M273" s="5">
        <v>45937</v>
      </c>
      <c r="O273">
        <v>5</v>
      </c>
      <c r="P273">
        <v>32.53</v>
      </c>
      <c r="Q273">
        <v>43.92</v>
      </c>
      <c r="R273">
        <v>0.05</v>
      </c>
      <c r="S273">
        <v>208.62</v>
      </c>
      <c r="T273" t="s">
        <v>819</v>
      </c>
      <c r="U273">
        <v>162.65</v>
      </c>
      <c r="V273">
        <v>45.97</v>
      </c>
    </row>
    <row r="274" spans="1:22" x14ac:dyDescent="0.35">
      <c r="A274" t="s">
        <v>1507</v>
      </c>
      <c r="B274" t="s">
        <v>1508</v>
      </c>
      <c r="C274" t="s">
        <v>500</v>
      </c>
      <c r="D274" t="s">
        <v>447</v>
      </c>
      <c r="E274" t="s">
        <v>254</v>
      </c>
      <c r="F274" t="s">
        <v>235</v>
      </c>
      <c r="G274" t="s">
        <v>797</v>
      </c>
      <c r="H274" t="s">
        <v>29</v>
      </c>
      <c r="I274" t="s">
        <v>121</v>
      </c>
      <c r="J274" t="s">
        <v>798</v>
      </c>
      <c r="K274" t="s">
        <v>787</v>
      </c>
      <c r="L274" t="s">
        <v>800</v>
      </c>
      <c r="M274" s="5">
        <v>45329</v>
      </c>
      <c r="O274">
        <v>3</v>
      </c>
      <c r="P274">
        <v>15.46</v>
      </c>
      <c r="Q274">
        <v>22.42</v>
      </c>
      <c r="R274">
        <v>0.1</v>
      </c>
      <c r="S274">
        <v>60.53</v>
      </c>
      <c r="T274" t="s">
        <v>803</v>
      </c>
      <c r="U274">
        <v>46.38</v>
      </c>
      <c r="V274">
        <v>14.15</v>
      </c>
    </row>
    <row r="275" spans="1:22" x14ac:dyDescent="0.35">
      <c r="A275" t="s">
        <v>1509</v>
      </c>
      <c r="B275" t="s">
        <v>1258</v>
      </c>
      <c r="C275" t="s">
        <v>324</v>
      </c>
      <c r="D275" t="s">
        <v>296</v>
      </c>
      <c r="E275" t="s">
        <v>696</v>
      </c>
      <c r="F275" t="s">
        <v>264</v>
      </c>
      <c r="G275" t="s">
        <v>20</v>
      </c>
      <c r="H275" t="s">
        <v>20</v>
      </c>
      <c r="I275" t="s">
        <v>159</v>
      </c>
      <c r="J275" t="s">
        <v>786</v>
      </c>
      <c r="K275" t="s">
        <v>793</v>
      </c>
      <c r="L275" t="s">
        <v>842</v>
      </c>
      <c r="M275" s="5">
        <v>45436</v>
      </c>
      <c r="O275">
        <v>2</v>
      </c>
      <c r="P275">
        <v>8.2200000000000006</v>
      </c>
      <c r="Q275">
        <v>11.1</v>
      </c>
      <c r="R275">
        <v>0</v>
      </c>
      <c r="S275">
        <v>22.2</v>
      </c>
      <c r="T275" t="s">
        <v>790</v>
      </c>
      <c r="U275">
        <v>16.440000000000001</v>
      </c>
      <c r="V275">
        <v>5.76</v>
      </c>
    </row>
    <row r="276" spans="1:22" x14ac:dyDescent="0.35">
      <c r="A276" t="s">
        <v>1511</v>
      </c>
      <c r="B276" t="s">
        <v>1160</v>
      </c>
      <c r="C276" t="s">
        <v>550</v>
      </c>
      <c r="D276" t="s">
        <v>408</v>
      </c>
      <c r="E276" t="s">
        <v>696</v>
      </c>
      <c r="F276" t="s">
        <v>243</v>
      </c>
      <c r="G276" t="s">
        <v>797</v>
      </c>
      <c r="H276" t="s">
        <v>48</v>
      </c>
      <c r="I276" t="s">
        <v>135</v>
      </c>
      <c r="J276" t="s">
        <v>798</v>
      </c>
      <c r="K276" t="s">
        <v>787</v>
      </c>
      <c r="L276" t="s">
        <v>818</v>
      </c>
      <c r="M276" s="5">
        <v>45771</v>
      </c>
      <c r="O276">
        <v>5</v>
      </c>
      <c r="P276">
        <v>51.72</v>
      </c>
      <c r="Q276">
        <v>67.239999999999995</v>
      </c>
      <c r="R276">
        <v>0.05</v>
      </c>
      <c r="S276">
        <v>319.39</v>
      </c>
      <c r="T276" t="s">
        <v>834</v>
      </c>
      <c r="U276">
        <v>258.60000000000002</v>
      </c>
      <c r="V276">
        <v>60.79</v>
      </c>
    </row>
    <row r="277" spans="1:22" x14ac:dyDescent="0.35">
      <c r="A277" t="s">
        <v>1512</v>
      </c>
      <c r="B277" t="s">
        <v>1498</v>
      </c>
      <c r="C277" t="s">
        <v>585</v>
      </c>
      <c r="D277" t="s">
        <v>586</v>
      </c>
      <c r="E277" t="s">
        <v>627</v>
      </c>
      <c r="F277" t="s">
        <v>235</v>
      </c>
      <c r="G277" t="s">
        <v>797</v>
      </c>
      <c r="H277" t="s">
        <v>14</v>
      </c>
      <c r="I277" t="s">
        <v>169</v>
      </c>
      <c r="J277" t="s">
        <v>786</v>
      </c>
      <c r="K277" t="s">
        <v>799</v>
      </c>
      <c r="L277" t="s">
        <v>800</v>
      </c>
      <c r="M277" s="5">
        <v>45654</v>
      </c>
      <c r="N277" s="5">
        <v>45644</v>
      </c>
      <c r="O277">
        <v>3</v>
      </c>
      <c r="P277">
        <v>40.590000000000003</v>
      </c>
      <c r="Q277">
        <v>58.86</v>
      </c>
      <c r="R277">
        <v>0.1</v>
      </c>
      <c r="S277">
        <v>158.91999999999999</v>
      </c>
      <c r="T277" t="s">
        <v>1001</v>
      </c>
      <c r="U277">
        <v>121.77</v>
      </c>
      <c r="V277">
        <v>37.15</v>
      </c>
    </row>
    <row r="278" spans="1:22" x14ac:dyDescent="0.35">
      <c r="A278" t="s">
        <v>1514</v>
      </c>
      <c r="B278" t="s">
        <v>848</v>
      </c>
      <c r="C278" t="s">
        <v>603</v>
      </c>
      <c r="D278" t="s">
        <v>508</v>
      </c>
      <c r="E278" t="s">
        <v>681</v>
      </c>
      <c r="F278" t="s">
        <v>264</v>
      </c>
      <c r="G278" t="s">
        <v>14</v>
      </c>
      <c r="H278" t="s">
        <v>20</v>
      </c>
      <c r="I278" t="s">
        <v>188</v>
      </c>
      <c r="J278" t="s">
        <v>798</v>
      </c>
      <c r="K278" t="s">
        <v>799</v>
      </c>
      <c r="L278" t="s">
        <v>818</v>
      </c>
      <c r="M278" s="5">
        <v>45476</v>
      </c>
      <c r="N278" s="5">
        <v>45471</v>
      </c>
      <c r="O278">
        <v>20</v>
      </c>
      <c r="P278">
        <v>24.6</v>
      </c>
      <c r="Q278">
        <v>35.67</v>
      </c>
      <c r="R278">
        <v>0</v>
      </c>
      <c r="S278">
        <v>713.4</v>
      </c>
      <c r="T278" t="s">
        <v>790</v>
      </c>
      <c r="U278">
        <v>492</v>
      </c>
      <c r="V278">
        <v>221.4</v>
      </c>
    </row>
    <row r="279" spans="1:22" x14ac:dyDescent="0.35">
      <c r="A279" t="s">
        <v>1515</v>
      </c>
      <c r="B279" t="s">
        <v>1379</v>
      </c>
      <c r="C279" t="s">
        <v>426</v>
      </c>
      <c r="D279" t="s">
        <v>427</v>
      </c>
      <c r="E279" t="s">
        <v>696</v>
      </c>
      <c r="F279" t="s">
        <v>264</v>
      </c>
      <c r="G279" t="s">
        <v>797</v>
      </c>
      <c r="H279" t="s">
        <v>43</v>
      </c>
      <c r="I279" t="s">
        <v>161</v>
      </c>
      <c r="J279" t="s">
        <v>813</v>
      </c>
      <c r="K279" t="s">
        <v>799</v>
      </c>
      <c r="L279" t="s">
        <v>818</v>
      </c>
      <c r="M279" s="5">
        <v>45750</v>
      </c>
      <c r="N279" s="5">
        <v>45748</v>
      </c>
      <c r="O279">
        <v>5</v>
      </c>
      <c r="P279">
        <v>21.74</v>
      </c>
      <c r="Q279">
        <v>30.44</v>
      </c>
      <c r="R279">
        <v>0</v>
      </c>
      <c r="S279">
        <v>152.19999999999999</v>
      </c>
      <c r="T279" t="s">
        <v>819</v>
      </c>
      <c r="U279">
        <v>108.7</v>
      </c>
      <c r="V279">
        <v>43.5</v>
      </c>
    </row>
    <row r="280" spans="1:22" x14ac:dyDescent="0.35">
      <c r="A280" t="s">
        <v>1516</v>
      </c>
      <c r="B280" t="s">
        <v>865</v>
      </c>
      <c r="C280" t="s">
        <v>345</v>
      </c>
      <c r="D280" t="s">
        <v>346</v>
      </c>
      <c r="E280" t="s">
        <v>627</v>
      </c>
      <c r="F280" t="s">
        <v>264</v>
      </c>
      <c r="G280" t="s">
        <v>48</v>
      </c>
      <c r="H280" t="s">
        <v>8</v>
      </c>
      <c r="I280" t="s">
        <v>181</v>
      </c>
      <c r="J280" t="s">
        <v>798</v>
      </c>
      <c r="K280" t="s">
        <v>787</v>
      </c>
      <c r="L280" t="s">
        <v>788</v>
      </c>
      <c r="M280" s="5">
        <v>45391</v>
      </c>
      <c r="O280">
        <v>12</v>
      </c>
      <c r="P280">
        <v>20.49</v>
      </c>
      <c r="Q280">
        <v>29.71</v>
      </c>
      <c r="R280">
        <v>0.15</v>
      </c>
      <c r="S280">
        <v>303.04000000000002</v>
      </c>
      <c r="T280" t="s">
        <v>888</v>
      </c>
      <c r="U280">
        <v>245.88</v>
      </c>
      <c r="V280">
        <v>57.16</v>
      </c>
    </row>
    <row r="281" spans="1:22" x14ac:dyDescent="0.35">
      <c r="A281" t="s">
        <v>1517</v>
      </c>
      <c r="B281" t="s">
        <v>1518</v>
      </c>
      <c r="C281" t="s">
        <v>419</v>
      </c>
      <c r="D281" t="s">
        <v>420</v>
      </c>
      <c r="E281" t="s">
        <v>696</v>
      </c>
      <c r="F281" t="s">
        <v>243</v>
      </c>
      <c r="G281" t="s">
        <v>14</v>
      </c>
      <c r="H281" t="s">
        <v>14</v>
      </c>
      <c r="I281" t="s">
        <v>186</v>
      </c>
      <c r="J281" t="s">
        <v>798</v>
      </c>
      <c r="K281" t="s">
        <v>793</v>
      </c>
      <c r="L281" t="s">
        <v>800</v>
      </c>
      <c r="M281" s="5">
        <v>45762</v>
      </c>
      <c r="O281">
        <v>1</v>
      </c>
      <c r="P281">
        <v>28.32</v>
      </c>
      <c r="Q281">
        <v>35.4</v>
      </c>
      <c r="R281">
        <v>0</v>
      </c>
      <c r="S281">
        <v>35.4</v>
      </c>
      <c r="T281" t="s">
        <v>803</v>
      </c>
      <c r="U281">
        <v>28.32</v>
      </c>
      <c r="V281">
        <v>7.08</v>
      </c>
    </row>
    <row r="282" spans="1:22" x14ac:dyDescent="0.35">
      <c r="A282" t="s">
        <v>1519</v>
      </c>
      <c r="B282" t="s">
        <v>1116</v>
      </c>
      <c r="C282" t="s">
        <v>483</v>
      </c>
      <c r="D282" t="s">
        <v>484</v>
      </c>
      <c r="E282" t="s">
        <v>681</v>
      </c>
      <c r="F282" t="s">
        <v>264</v>
      </c>
      <c r="G282" t="s">
        <v>48</v>
      </c>
      <c r="H282" t="s">
        <v>43</v>
      </c>
      <c r="I282" t="s">
        <v>53</v>
      </c>
      <c r="J282" t="s">
        <v>798</v>
      </c>
      <c r="K282" t="s">
        <v>787</v>
      </c>
      <c r="L282" t="s">
        <v>842</v>
      </c>
      <c r="M282" s="5">
        <v>45994</v>
      </c>
      <c r="O282">
        <v>5</v>
      </c>
      <c r="P282">
        <v>54.93</v>
      </c>
      <c r="Q282">
        <v>79.650000000000006</v>
      </c>
      <c r="R282">
        <v>0.1</v>
      </c>
      <c r="S282">
        <v>358.43</v>
      </c>
      <c r="T282" t="s">
        <v>892</v>
      </c>
      <c r="U282">
        <v>274.64999999999998</v>
      </c>
      <c r="V282">
        <v>83.78</v>
      </c>
    </row>
    <row r="283" spans="1:22" x14ac:dyDescent="0.35">
      <c r="A283" t="s">
        <v>1520</v>
      </c>
      <c r="B283" t="s">
        <v>915</v>
      </c>
      <c r="C283" t="s">
        <v>421</v>
      </c>
      <c r="D283" t="s">
        <v>422</v>
      </c>
      <c r="E283" t="s">
        <v>254</v>
      </c>
      <c r="F283" t="s">
        <v>235</v>
      </c>
      <c r="G283" t="s">
        <v>797</v>
      </c>
      <c r="H283" t="s">
        <v>43</v>
      </c>
      <c r="I283" t="s">
        <v>58</v>
      </c>
      <c r="J283" t="s">
        <v>798</v>
      </c>
      <c r="K283" t="s">
        <v>787</v>
      </c>
      <c r="L283" t="s">
        <v>800</v>
      </c>
      <c r="M283" s="5">
        <v>45712</v>
      </c>
      <c r="O283">
        <v>10</v>
      </c>
      <c r="P283">
        <v>11.21</v>
      </c>
      <c r="Q283">
        <v>15.13</v>
      </c>
      <c r="R283">
        <v>0</v>
      </c>
      <c r="S283">
        <v>151.30000000000001</v>
      </c>
      <c r="T283" t="s">
        <v>859</v>
      </c>
      <c r="U283">
        <v>112.1</v>
      </c>
      <c r="V283">
        <v>39.200000000000003</v>
      </c>
    </row>
    <row r="284" spans="1:22" x14ac:dyDescent="0.35">
      <c r="A284" t="s">
        <v>1521</v>
      </c>
      <c r="B284" t="s">
        <v>1475</v>
      </c>
      <c r="C284" t="s">
        <v>481</v>
      </c>
      <c r="D284" t="s">
        <v>482</v>
      </c>
      <c r="E284" t="s">
        <v>681</v>
      </c>
      <c r="F284" t="s">
        <v>264</v>
      </c>
      <c r="G284" t="s">
        <v>14</v>
      </c>
      <c r="H284" t="s">
        <v>14</v>
      </c>
      <c r="I284" t="s">
        <v>24</v>
      </c>
      <c r="J284" t="s">
        <v>798</v>
      </c>
      <c r="K284" t="s">
        <v>799</v>
      </c>
      <c r="L284" t="s">
        <v>818</v>
      </c>
      <c r="M284" s="5">
        <v>45330</v>
      </c>
      <c r="N284" s="5">
        <v>45332</v>
      </c>
      <c r="O284">
        <v>12</v>
      </c>
      <c r="P284">
        <v>37.42</v>
      </c>
      <c r="Q284">
        <v>50.52</v>
      </c>
      <c r="R284">
        <v>0.05</v>
      </c>
      <c r="S284">
        <v>575.92999999999995</v>
      </c>
      <c r="T284" t="s">
        <v>876</v>
      </c>
      <c r="U284">
        <v>449.04</v>
      </c>
      <c r="V284">
        <v>126.89</v>
      </c>
    </row>
    <row r="285" spans="1:22" x14ac:dyDescent="0.35">
      <c r="A285" t="s">
        <v>1522</v>
      </c>
      <c r="B285" t="s">
        <v>1330</v>
      </c>
      <c r="C285" t="s">
        <v>500</v>
      </c>
      <c r="D285" t="s">
        <v>447</v>
      </c>
      <c r="E285" t="s">
        <v>674</v>
      </c>
      <c r="F285" t="s">
        <v>235</v>
      </c>
      <c r="G285" t="s">
        <v>797</v>
      </c>
      <c r="H285" t="s">
        <v>20</v>
      </c>
      <c r="I285" t="s">
        <v>163</v>
      </c>
      <c r="J285" t="s">
        <v>798</v>
      </c>
      <c r="K285" t="s">
        <v>822</v>
      </c>
      <c r="L285" t="s">
        <v>818</v>
      </c>
      <c r="M285" s="5">
        <v>45515</v>
      </c>
      <c r="N285" s="5">
        <v>45511</v>
      </c>
      <c r="O285">
        <v>5</v>
      </c>
      <c r="P285">
        <v>55.3</v>
      </c>
      <c r="Q285">
        <v>74.66</v>
      </c>
      <c r="R285">
        <v>0</v>
      </c>
      <c r="S285">
        <v>373.3</v>
      </c>
      <c r="T285" t="s">
        <v>859</v>
      </c>
      <c r="U285">
        <v>276.5</v>
      </c>
      <c r="V285">
        <v>96.8</v>
      </c>
    </row>
    <row r="286" spans="1:22" x14ac:dyDescent="0.35">
      <c r="A286" t="s">
        <v>1525</v>
      </c>
      <c r="B286" t="s">
        <v>1526</v>
      </c>
      <c r="C286" t="s">
        <v>303</v>
      </c>
      <c r="D286" t="s">
        <v>304</v>
      </c>
      <c r="E286" t="s">
        <v>681</v>
      </c>
      <c r="F286" t="s">
        <v>243</v>
      </c>
      <c r="G286" t="s">
        <v>797</v>
      </c>
      <c r="H286" t="s">
        <v>38</v>
      </c>
      <c r="I286" t="s">
        <v>165</v>
      </c>
      <c r="J286" t="s">
        <v>798</v>
      </c>
      <c r="K286" t="s">
        <v>799</v>
      </c>
      <c r="L286" t="s">
        <v>818</v>
      </c>
      <c r="M286" s="5">
        <v>45436</v>
      </c>
      <c r="N286" s="5">
        <v>45432</v>
      </c>
      <c r="O286">
        <v>3</v>
      </c>
      <c r="P286">
        <v>18.45</v>
      </c>
      <c r="Q286">
        <v>25.83</v>
      </c>
      <c r="R286">
        <v>0</v>
      </c>
      <c r="S286">
        <v>77.489999999999995</v>
      </c>
      <c r="T286" t="s">
        <v>834</v>
      </c>
      <c r="U286">
        <v>55.35</v>
      </c>
      <c r="V286">
        <v>22.14</v>
      </c>
    </row>
    <row r="287" spans="1:22" x14ac:dyDescent="0.35">
      <c r="A287" t="s">
        <v>1528</v>
      </c>
      <c r="B287" t="s">
        <v>1053</v>
      </c>
      <c r="C287" t="s">
        <v>493</v>
      </c>
      <c r="D287" t="s">
        <v>311</v>
      </c>
      <c r="E287" t="s">
        <v>637</v>
      </c>
      <c r="F287" t="s">
        <v>243</v>
      </c>
      <c r="G287" t="s">
        <v>14</v>
      </c>
      <c r="H287" t="s">
        <v>8</v>
      </c>
      <c r="I287" t="s">
        <v>73</v>
      </c>
      <c r="J287" t="s">
        <v>786</v>
      </c>
      <c r="K287" t="s">
        <v>799</v>
      </c>
      <c r="L287" t="s">
        <v>818</v>
      </c>
      <c r="M287" s="5">
        <v>45963</v>
      </c>
      <c r="N287" s="5">
        <v>45958</v>
      </c>
      <c r="O287">
        <v>5</v>
      </c>
      <c r="P287">
        <v>67.95</v>
      </c>
      <c r="Q287">
        <v>88.34</v>
      </c>
      <c r="R287">
        <v>0.1</v>
      </c>
      <c r="S287">
        <v>397.53</v>
      </c>
      <c r="T287" t="s">
        <v>876</v>
      </c>
      <c r="U287">
        <v>339.75</v>
      </c>
      <c r="V287">
        <v>57.78</v>
      </c>
    </row>
    <row r="288" spans="1:22" x14ac:dyDescent="0.35">
      <c r="A288" t="s">
        <v>1529</v>
      </c>
      <c r="B288" t="s">
        <v>1530</v>
      </c>
      <c r="C288" t="s">
        <v>448</v>
      </c>
      <c r="D288" t="s">
        <v>427</v>
      </c>
      <c r="E288" t="s">
        <v>674</v>
      </c>
      <c r="F288" t="s">
        <v>243</v>
      </c>
      <c r="G288" t="s">
        <v>797</v>
      </c>
      <c r="H288" t="s">
        <v>43</v>
      </c>
      <c r="I288" t="s">
        <v>161</v>
      </c>
      <c r="J288" t="s">
        <v>798</v>
      </c>
      <c r="K288" t="s">
        <v>799</v>
      </c>
      <c r="L288" t="s">
        <v>788</v>
      </c>
      <c r="M288" s="5">
        <v>45759</v>
      </c>
      <c r="N288" s="5">
        <v>45757</v>
      </c>
      <c r="O288">
        <v>1</v>
      </c>
      <c r="P288">
        <v>21.74</v>
      </c>
      <c r="Q288">
        <v>30.44</v>
      </c>
      <c r="R288">
        <v>0.15</v>
      </c>
      <c r="S288">
        <v>25.87</v>
      </c>
      <c r="T288" t="s">
        <v>892</v>
      </c>
      <c r="U288">
        <v>21.74</v>
      </c>
      <c r="V288">
        <v>4.13</v>
      </c>
    </row>
    <row r="289" spans="1:22" x14ac:dyDescent="0.35">
      <c r="A289" t="s">
        <v>1532</v>
      </c>
      <c r="B289" t="s">
        <v>899</v>
      </c>
      <c r="C289" t="s">
        <v>543</v>
      </c>
      <c r="D289" t="s">
        <v>544</v>
      </c>
      <c r="E289" t="s">
        <v>633</v>
      </c>
      <c r="F289" t="s">
        <v>243</v>
      </c>
      <c r="G289" t="s">
        <v>797</v>
      </c>
      <c r="H289" t="s">
        <v>79</v>
      </c>
      <c r="I289" t="s">
        <v>77</v>
      </c>
      <c r="J289" t="s">
        <v>813</v>
      </c>
      <c r="K289" t="s">
        <v>799</v>
      </c>
      <c r="L289" t="s">
        <v>800</v>
      </c>
      <c r="M289" s="5">
        <v>45715</v>
      </c>
      <c r="N289" s="5">
        <v>45720</v>
      </c>
      <c r="O289">
        <v>20</v>
      </c>
      <c r="P289">
        <v>13.71</v>
      </c>
      <c r="Q289">
        <v>17.82</v>
      </c>
      <c r="R289">
        <v>0</v>
      </c>
      <c r="S289">
        <v>356.4</v>
      </c>
      <c r="T289" t="s">
        <v>803</v>
      </c>
      <c r="U289">
        <v>274.2</v>
      </c>
      <c r="V289">
        <v>82.2</v>
      </c>
    </row>
    <row r="290" spans="1:22" x14ac:dyDescent="0.35">
      <c r="A290" t="s">
        <v>1534</v>
      </c>
      <c r="B290" t="s">
        <v>1535</v>
      </c>
      <c r="C290" t="s">
        <v>347</v>
      </c>
      <c r="D290" t="s">
        <v>348</v>
      </c>
      <c r="E290" t="s">
        <v>681</v>
      </c>
      <c r="F290" t="s">
        <v>243</v>
      </c>
      <c r="G290" t="s">
        <v>20</v>
      </c>
      <c r="H290" t="s">
        <v>8</v>
      </c>
      <c r="I290" t="s">
        <v>6</v>
      </c>
      <c r="J290" t="s">
        <v>786</v>
      </c>
      <c r="K290" t="s">
        <v>817</v>
      </c>
      <c r="L290" t="s">
        <v>800</v>
      </c>
      <c r="M290" s="5">
        <v>46013</v>
      </c>
      <c r="O290">
        <v>2</v>
      </c>
      <c r="P290">
        <v>32.24</v>
      </c>
      <c r="Q290">
        <v>41.91</v>
      </c>
      <c r="R290">
        <v>0.05</v>
      </c>
      <c r="S290">
        <v>79.63</v>
      </c>
      <c r="T290" t="s">
        <v>892</v>
      </c>
      <c r="U290">
        <v>64.48</v>
      </c>
      <c r="V290">
        <v>15.15</v>
      </c>
    </row>
    <row r="291" spans="1:22" x14ac:dyDescent="0.35">
      <c r="A291" t="s">
        <v>1536</v>
      </c>
      <c r="B291" t="s">
        <v>1537</v>
      </c>
      <c r="C291" t="s">
        <v>556</v>
      </c>
      <c r="D291" t="s">
        <v>472</v>
      </c>
      <c r="E291" t="s">
        <v>254</v>
      </c>
      <c r="F291" t="s">
        <v>235</v>
      </c>
      <c r="G291" t="s">
        <v>797</v>
      </c>
      <c r="H291" t="s">
        <v>14</v>
      </c>
      <c r="I291" t="s">
        <v>24</v>
      </c>
      <c r="J291" t="s">
        <v>798</v>
      </c>
      <c r="K291" t="s">
        <v>799</v>
      </c>
      <c r="L291" t="s">
        <v>842</v>
      </c>
      <c r="M291" s="5">
        <v>45379</v>
      </c>
      <c r="N291" s="5">
        <v>45381</v>
      </c>
      <c r="O291">
        <v>1</v>
      </c>
      <c r="P291">
        <v>37.42</v>
      </c>
      <c r="Q291">
        <v>50.52</v>
      </c>
      <c r="R291">
        <v>0.15</v>
      </c>
      <c r="S291">
        <v>42.94</v>
      </c>
      <c r="T291" t="s">
        <v>869</v>
      </c>
      <c r="U291">
        <v>37.42</v>
      </c>
      <c r="V291">
        <v>5.52</v>
      </c>
    </row>
    <row r="292" spans="1:22" x14ac:dyDescent="0.35">
      <c r="A292" t="s">
        <v>1538</v>
      </c>
      <c r="B292" t="s">
        <v>1194</v>
      </c>
      <c r="C292" t="s">
        <v>556</v>
      </c>
      <c r="D292" t="s">
        <v>472</v>
      </c>
      <c r="E292" t="s">
        <v>254</v>
      </c>
      <c r="F292" t="s">
        <v>235</v>
      </c>
      <c r="G292" t="s">
        <v>48</v>
      </c>
      <c r="H292" t="s">
        <v>38</v>
      </c>
      <c r="I292" t="s">
        <v>117</v>
      </c>
      <c r="J292" t="s">
        <v>798</v>
      </c>
      <c r="K292" t="s">
        <v>787</v>
      </c>
      <c r="L292" t="s">
        <v>818</v>
      </c>
      <c r="M292" s="5">
        <v>45892</v>
      </c>
      <c r="O292">
        <v>20</v>
      </c>
      <c r="P292">
        <v>43.25</v>
      </c>
      <c r="Q292">
        <v>60.55</v>
      </c>
      <c r="R292">
        <v>0.1</v>
      </c>
      <c r="S292">
        <v>1089.9000000000001</v>
      </c>
      <c r="T292" t="s">
        <v>819</v>
      </c>
      <c r="U292">
        <v>865</v>
      </c>
      <c r="V292">
        <v>224.9</v>
      </c>
    </row>
    <row r="293" spans="1:22" x14ac:dyDescent="0.35">
      <c r="A293" t="s">
        <v>1539</v>
      </c>
      <c r="B293" t="s">
        <v>1540</v>
      </c>
      <c r="C293" t="s">
        <v>475</v>
      </c>
      <c r="D293" t="s">
        <v>476</v>
      </c>
      <c r="E293" t="s">
        <v>633</v>
      </c>
      <c r="F293" t="s">
        <v>243</v>
      </c>
      <c r="G293" t="s">
        <v>48</v>
      </c>
      <c r="H293" t="s">
        <v>14</v>
      </c>
      <c r="I293" t="s">
        <v>194</v>
      </c>
      <c r="J293" t="s">
        <v>786</v>
      </c>
      <c r="K293" t="s">
        <v>793</v>
      </c>
      <c r="L293" t="s">
        <v>842</v>
      </c>
      <c r="M293" s="5">
        <v>45893</v>
      </c>
      <c r="O293">
        <v>1</v>
      </c>
      <c r="P293">
        <v>20.32</v>
      </c>
      <c r="Q293">
        <v>25.4</v>
      </c>
      <c r="R293">
        <v>0.15</v>
      </c>
      <c r="S293">
        <v>21.59</v>
      </c>
      <c r="T293" t="s">
        <v>946</v>
      </c>
      <c r="U293">
        <v>20.32</v>
      </c>
      <c r="V293">
        <v>1.27</v>
      </c>
    </row>
    <row r="294" spans="1:22" x14ac:dyDescent="0.35">
      <c r="A294" t="s">
        <v>1541</v>
      </c>
      <c r="B294" t="s">
        <v>862</v>
      </c>
      <c r="C294" t="s">
        <v>405</v>
      </c>
      <c r="D294" t="s">
        <v>404</v>
      </c>
      <c r="E294" t="s">
        <v>254</v>
      </c>
      <c r="F294" t="s">
        <v>264</v>
      </c>
      <c r="G294" t="s">
        <v>14</v>
      </c>
      <c r="H294" t="s">
        <v>8</v>
      </c>
      <c r="I294" t="s">
        <v>6</v>
      </c>
      <c r="J294" t="s">
        <v>798</v>
      </c>
      <c r="K294" t="s">
        <v>799</v>
      </c>
      <c r="L294" t="s">
        <v>800</v>
      </c>
      <c r="M294" s="5">
        <v>45610</v>
      </c>
      <c r="N294" s="5">
        <v>45604</v>
      </c>
      <c r="O294">
        <v>5</v>
      </c>
      <c r="P294">
        <v>32.24</v>
      </c>
      <c r="Q294">
        <v>41.91</v>
      </c>
      <c r="R294">
        <v>0.15</v>
      </c>
      <c r="S294">
        <v>178.12</v>
      </c>
      <c r="T294" t="s">
        <v>946</v>
      </c>
      <c r="U294">
        <v>161.19999999999999</v>
      </c>
      <c r="V294">
        <v>16.920000000000002</v>
      </c>
    </row>
    <row r="295" spans="1:22" x14ac:dyDescent="0.35">
      <c r="A295" t="s">
        <v>1542</v>
      </c>
      <c r="B295" t="s">
        <v>1176</v>
      </c>
      <c r="C295" t="s">
        <v>312</v>
      </c>
      <c r="D295" t="s">
        <v>313</v>
      </c>
      <c r="E295" t="s">
        <v>674</v>
      </c>
      <c r="F295" t="s">
        <v>235</v>
      </c>
      <c r="G295" t="s">
        <v>14</v>
      </c>
      <c r="H295" t="s">
        <v>48</v>
      </c>
      <c r="I295" t="s">
        <v>148</v>
      </c>
      <c r="J295" t="s">
        <v>786</v>
      </c>
      <c r="K295" t="s">
        <v>793</v>
      </c>
      <c r="L295" t="s">
        <v>788</v>
      </c>
      <c r="M295" s="5">
        <v>45599</v>
      </c>
      <c r="O295">
        <v>3</v>
      </c>
      <c r="P295">
        <v>58.01</v>
      </c>
      <c r="Q295">
        <v>72.510000000000005</v>
      </c>
      <c r="R295">
        <v>0.1</v>
      </c>
      <c r="S295">
        <v>195.78</v>
      </c>
      <c r="T295" t="s">
        <v>1017</v>
      </c>
      <c r="U295">
        <v>174.03</v>
      </c>
      <c r="V295">
        <v>21.75</v>
      </c>
    </row>
    <row r="296" spans="1:22" x14ac:dyDescent="0.35">
      <c r="A296" t="s">
        <v>1544</v>
      </c>
      <c r="B296" t="s">
        <v>1320</v>
      </c>
      <c r="C296" t="s">
        <v>248</v>
      </c>
      <c r="D296" t="s">
        <v>249</v>
      </c>
      <c r="E296" t="s">
        <v>681</v>
      </c>
      <c r="G296" t="s">
        <v>797</v>
      </c>
      <c r="H296" t="s">
        <v>20</v>
      </c>
      <c r="I296" t="s">
        <v>97</v>
      </c>
      <c r="J296" t="s">
        <v>813</v>
      </c>
      <c r="K296" t="s">
        <v>799</v>
      </c>
      <c r="L296" t="s">
        <v>788</v>
      </c>
      <c r="M296" s="5">
        <v>45576</v>
      </c>
      <c r="N296" s="5">
        <v>45579</v>
      </c>
      <c r="O296">
        <v>5</v>
      </c>
      <c r="P296">
        <v>20.79</v>
      </c>
      <c r="Q296">
        <v>28.07</v>
      </c>
      <c r="R296">
        <v>0.15</v>
      </c>
      <c r="S296">
        <v>119.3</v>
      </c>
      <c r="T296" t="s">
        <v>845</v>
      </c>
      <c r="U296">
        <v>103.95</v>
      </c>
      <c r="V296">
        <v>15.35</v>
      </c>
    </row>
    <row r="297" spans="1:22" x14ac:dyDescent="0.35">
      <c r="A297" t="s">
        <v>1546</v>
      </c>
      <c r="B297" t="s">
        <v>827</v>
      </c>
      <c r="C297" t="s">
        <v>588</v>
      </c>
      <c r="D297" t="s">
        <v>435</v>
      </c>
      <c r="E297" t="s">
        <v>674</v>
      </c>
      <c r="F297" t="s">
        <v>264</v>
      </c>
      <c r="G297" t="s">
        <v>14</v>
      </c>
      <c r="H297" t="s">
        <v>14</v>
      </c>
      <c r="I297" t="s">
        <v>90</v>
      </c>
      <c r="J297" t="s">
        <v>786</v>
      </c>
      <c r="K297" t="s">
        <v>799</v>
      </c>
      <c r="L297" t="s">
        <v>800</v>
      </c>
      <c r="M297" s="5">
        <v>45485</v>
      </c>
      <c r="N297" s="5">
        <v>45481</v>
      </c>
      <c r="O297">
        <v>1</v>
      </c>
      <c r="P297">
        <v>27.34</v>
      </c>
      <c r="Q297">
        <v>39.64</v>
      </c>
      <c r="R297">
        <v>0</v>
      </c>
      <c r="S297">
        <v>39.64</v>
      </c>
      <c r="T297" t="s">
        <v>888</v>
      </c>
      <c r="U297">
        <v>27.34</v>
      </c>
      <c r="V297">
        <v>12.3</v>
      </c>
    </row>
    <row r="298" spans="1:22" x14ac:dyDescent="0.35">
      <c r="A298" t="s">
        <v>1548</v>
      </c>
      <c r="B298" t="s">
        <v>1549</v>
      </c>
      <c r="C298" t="s">
        <v>606</v>
      </c>
      <c r="D298" t="s">
        <v>600</v>
      </c>
      <c r="E298" t="s">
        <v>696</v>
      </c>
      <c r="G298" t="s">
        <v>20</v>
      </c>
      <c r="H298" t="s">
        <v>20</v>
      </c>
      <c r="I298" t="s">
        <v>196</v>
      </c>
      <c r="J298" t="s">
        <v>798</v>
      </c>
      <c r="K298" t="s">
        <v>799</v>
      </c>
      <c r="L298" t="s">
        <v>788</v>
      </c>
      <c r="M298" s="5">
        <v>45456</v>
      </c>
      <c r="N298" s="5">
        <v>45455</v>
      </c>
      <c r="O298">
        <v>10</v>
      </c>
      <c r="P298">
        <v>15.78</v>
      </c>
      <c r="Q298">
        <v>19.72</v>
      </c>
      <c r="R298">
        <v>0</v>
      </c>
      <c r="S298">
        <v>197.2</v>
      </c>
      <c r="T298" t="s">
        <v>803</v>
      </c>
      <c r="U298">
        <v>157.80000000000001</v>
      </c>
      <c r="V298">
        <v>39.4</v>
      </c>
    </row>
    <row r="299" spans="1:22" x14ac:dyDescent="0.35">
      <c r="A299" t="s">
        <v>1551</v>
      </c>
      <c r="B299" t="s">
        <v>1552</v>
      </c>
      <c r="C299" t="s">
        <v>406</v>
      </c>
      <c r="D299" t="s">
        <v>287</v>
      </c>
      <c r="E299" t="s">
        <v>637</v>
      </c>
      <c r="F299" t="s">
        <v>243</v>
      </c>
      <c r="G299" t="s">
        <v>20</v>
      </c>
      <c r="H299" t="s">
        <v>20</v>
      </c>
      <c r="I299" t="s">
        <v>163</v>
      </c>
      <c r="J299" t="s">
        <v>813</v>
      </c>
      <c r="K299" t="s">
        <v>799</v>
      </c>
      <c r="L299" t="s">
        <v>818</v>
      </c>
      <c r="M299" s="5">
        <v>45350</v>
      </c>
      <c r="N299" s="5">
        <v>45356</v>
      </c>
      <c r="O299">
        <v>1</v>
      </c>
      <c r="P299">
        <v>55.3</v>
      </c>
      <c r="Q299">
        <v>74.66</v>
      </c>
      <c r="R299">
        <v>0</v>
      </c>
      <c r="S299">
        <v>74.66</v>
      </c>
      <c r="T299" t="s">
        <v>819</v>
      </c>
      <c r="U299">
        <v>55.3</v>
      </c>
      <c r="V299">
        <v>19.36</v>
      </c>
    </row>
    <row r="300" spans="1:22" x14ac:dyDescent="0.35">
      <c r="A300" t="s">
        <v>1553</v>
      </c>
      <c r="B300" t="s">
        <v>1283</v>
      </c>
      <c r="C300" t="s">
        <v>580</v>
      </c>
      <c r="D300" t="s">
        <v>581</v>
      </c>
      <c r="E300" t="s">
        <v>681</v>
      </c>
      <c r="F300" t="s">
        <v>235</v>
      </c>
      <c r="G300" t="s">
        <v>797</v>
      </c>
      <c r="H300" t="s">
        <v>48</v>
      </c>
      <c r="I300" t="s">
        <v>177</v>
      </c>
      <c r="J300" t="s">
        <v>798</v>
      </c>
      <c r="K300" t="s">
        <v>799</v>
      </c>
      <c r="L300" t="s">
        <v>818</v>
      </c>
      <c r="M300" s="5">
        <v>45538</v>
      </c>
      <c r="N300" s="5">
        <v>45539</v>
      </c>
      <c r="O300">
        <v>5</v>
      </c>
      <c r="P300">
        <v>41.79</v>
      </c>
      <c r="Q300">
        <v>60.6</v>
      </c>
      <c r="R300">
        <v>0</v>
      </c>
      <c r="S300">
        <v>303</v>
      </c>
      <c r="T300" t="s">
        <v>859</v>
      </c>
      <c r="U300">
        <v>208.95</v>
      </c>
      <c r="V300">
        <v>94.05</v>
      </c>
    </row>
    <row r="301" spans="1:22" x14ac:dyDescent="0.35">
      <c r="A301" t="s">
        <v>1555</v>
      </c>
      <c r="B301" t="s">
        <v>1556</v>
      </c>
      <c r="C301" t="s">
        <v>524</v>
      </c>
      <c r="D301" t="s">
        <v>484</v>
      </c>
      <c r="E301" t="s">
        <v>681</v>
      </c>
      <c r="G301" t="s">
        <v>48</v>
      </c>
      <c r="H301" t="s">
        <v>29</v>
      </c>
      <c r="I301" t="s">
        <v>32</v>
      </c>
      <c r="J301" t="s">
        <v>813</v>
      </c>
      <c r="K301" t="s">
        <v>799</v>
      </c>
      <c r="L301" t="s">
        <v>800</v>
      </c>
      <c r="M301" s="5">
        <v>45686</v>
      </c>
      <c r="N301" s="5">
        <v>45688</v>
      </c>
      <c r="O301">
        <v>5</v>
      </c>
      <c r="P301">
        <v>18.989999999999998</v>
      </c>
      <c r="Q301">
        <v>25.64</v>
      </c>
      <c r="R301">
        <v>0.05</v>
      </c>
      <c r="S301">
        <v>121.79</v>
      </c>
      <c r="T301" t="s">
        <v>946</v>
      </c>
      <c r="U301">
        <v>94.95</v>
      </c>
      <c r="V301">
        <v>26.84</v>
      </c>
    </row>
    <row r="302" spans="1:22" x14ac:dyDescent="0.35">
      <c r="A302" t="s">
        <v>1557</v>
      </c>
      <c r="B302" t="s">
        <v>1558</v>
      </c>
      <c r="C302" t="s">
        <v>407</v>
      </c>
      <c r="D302" t="s">
        <v>408</v>
      </c>
      <c r="E302" t="s">
        <v>637</v>
      </c>
      <c r="F302" t="s">
        <v>235</v>
      </c>
      <c r="G302" t="s">
        <v>797</v>
      </c>
      <c r="H302" t="s">
        <v>43</v>
      </c>
      <c r="I302" t="s">
        <v>53</v>
      </c>
      <c r="J302" t="s">
        <v>798</v>
      </c>
      <c r="K302" t="s">
        <v>793</v>
      </c>
      <c r="L302" t="s">
        <v>788</v>
      </c>
      <c r="M302" s="5">
        <v>45642</v>
      </c>
      <c r="O302">
        <v>5</v>
      </c>
      <c r="P302">
        <v>54.93</v>
      </c>
      <c r="Q302">
        <v>79.650000000000006</v>
      </c>
      <c r="R302">
        <v>0.15</v>
      </c>
      <c r="S302">
        <v>338.51</v>
      </c>
      <c r="T302" t="s">
        <v>825</v>
      </c>
      <c r="U302">
        <v>274.64999999999998</v>
      </c>
      <c r="V302">
        <v>63.86</v>
      </c>
    </row>
    <row r="303" spans="1:22" x14ac:dyDescent="0.35">
      <c r="A303" t="s">
        <v>1560</v>
      </c>
      <c r="B303" t="s">
        <v>897</v>
      </c>
      <c r="C303" t="s">
        <v>520</v>
      </c>
      <c r="D303" t="s">
        <v>521</v>
      </c>
      <c r="E303" t="s">
        <v>633</v>
      </c>
      <c r="F303" t="s">
        <v>243</v>
      </c>
      <c r="G303" t="s">
        <v>14</v>
      </c>
      <c r="H303" t="s">
        <v>8</v>
      </c>
      <c r="I303" t="s">
        <v>212</v>
      </c>
      <c r="J303" t="s">
        <v>786</v>
      </c>
      <c r="K303" t="s">
        <v>793</v>
      </c>
      <c r="L303" t="s">
        <v>842</v>
      </c>
      <c r="M303" s="5">
        <v>45908</v>
      </c>
      <c r="O303">
        <v>20</v>
      </c>
      <c r="P303">
        <v>95.09</v>
      </c>
      <c r="Q303">
        <v>133.13</v>
      </c>
      <c r="R303">
        <v>0.15</v>
      </c>
      <c r="S303">
        <v>2263.21</v>
      </c>
      <c r="T303" t="s">
        <v>839</v>
      </c>
      <c r="U303">
        <v>1901.8</v>
      </c>
      <c r="V303">
        <v>361.41</v>
      </c>
    </row>
    <row r="304" spans="1:22" x14ac:dyDescent="0.35">
      <c r="A304" t="s">
        <v>1561</v>
      </c>
      <c r="B304" t="s">
        <v>1562</v>
      </c>
      <c r="C304" t="s">
        <v>473</v>
      </c>
      <c r="D304" t="s">
        <v>368</v>
      </c>
      <c r="E304" t="s">
        <v>254</v>
      </c>
      <c r="F304" t="s">
        <v>235</v>
      </c>
      <c r="G304" t="s">
        <v>14</v>
      </c>
      <c r="H304" t="s">
        <v>8</v>
      </c>
      <c r="I304" t="s">
        <v>204</v>
      </c>
      <c r="J304" t="s">
        <v>798</v>
      </c>
      <c r="K304" t="s">
        <v>793</v>
      </c>
      <c r="L304" t="s">
        <v>800</v>
      </c>
      <c r="M304" s="5">
        <v>45368</v>
      </c>
      <c r="O304">
        <v>5</v>
      </c>
      <c r="P304">
        <v>28.27</v>
      </c>
      <c r="Q304">
        <v>40.99</v>
      </c>
      <c r="R304">
        <v>0</v>
      </c>
      <c r="S304">
        <v>204.95</v>
      </c>
      <c r="T304" t="s">
        <v>963</v>
      </c>
      <c r="U304">
        <v>141.35</v>
      </c>
      <c r="V304">
        <v>63.6</v>
      </c>
    </row>
    <row r="305" spans="1:22" x14ac:dyDescent="0.35">
      <c r="A305" t="s">
        <v>1564</v>
      </c>
      <c r="B305" t="s">
        <v>850</v>
      </c>
      <c r="C305" t="s">
        <v>559</v>
      </c>
      <c r="D305" t="s">
        <v>311</v>
      </c>
      <c r="E305" t="s">
        <v>254</v>
      </c>
      <c r="F305" t="s">
        <v>235</v>
      </c>
      <c r="G305" t="s">
        <v>797</v>
      </c>
      <c r="H305" t="s">
        <v>8</v>
      </c>
      <c r="I305" t="s">
        <v>174</v>
      </c>
      <c r="J305" t="s">
        <v>798</v>
      </c>
      <c r="K305" t="s">
        <v>822</v>
      </c>
      <c r="L305" t="s">
        <v>788</v>
      </c>
      <c r="M305" s="5">
        <v>45333</v>
      </c>
      <c r="N305" s="5">
        <v>45328</v>
      </c>
      <c r="O305">
        <v>20</v>
      </c>
      <c r="P305">
        <v>32.53</v>
      </c>
      <c r="Q305">
        <v>43.92</v>
      </c>
      <c r="R305">
        <v>0.1</v>
      </c>
      <c r="S305">
        <v>790.56</v>
      </c>
      <c r="T305" t="s">
        <v>869</v>
      </c>
      <c r="U305">
        <v>650.6</v>
      </c>
      <c r="V305">
        <v>139.96</v>
      </c>
    </row>
    <row r="306" spans="1:22" x14ac:dyDescent="0.35">
      <c r="A306" t="s">
        <v>1565</v>
      </c>
      <c r="B306" t="s">
        <v>1478</v>
      </c>
      <c r="C306" t="s">
        <v>315</v>
      </c>
      <c r="D306" t="s">
        <v>316</v>
      </c>
      <c r="E306" t="s">
        <v>637</v>
      </c>
      <c r="F306" t="s">
        <v>235</v>
      </c>
      <c r="G306" t="s">
        <v>14</v>
      </c>
      <c r="H306" t="s">
        <v>14</v>
      </c>
      <c r="I306" t="s">
        <v>128</v>
      </c>
      <c r="J306" t="s">
        <v>798</v>
      </c>
      <c r="K306" t="s">
        <v>799</v>
      </c>
      <c r="L306" t="s">
        <v>788</v>
      </c>
      <c r="M306" s="5">
        <v>46024</v>
      </c>
      <c r="N306" s="5">
        <v>46020</v>
      </c>
      <c r="O306">
        <v>2</v>
      </c>
      <c r="P306">
        <v>18.850000000000001</v>
      </c>
      <c r="Q306">
        <v>27.33</v>
      </c>
      <c r="R306">
        <v>0</v>
      </c>
      <c r="S306">
        <v>54.66</v>
      </c>
      <c r="T306" t="s">
        <v>1001</v>
      </c>
      <c r="U306">
        <v>37.700000000000003</v>
      </c>
      <c r="V306">
        <v>16.96</v>
      </c>
    </row>
    <row r="307" spans="1:22" x14ac:dyDescent="0.35">
      <c r="A307" t="s">
        <v>1566</v>
      </c>
      <c r="B307" t="s">
        <v>1139</v>
      </c>
      <c r="C307" t="s">
        <v>497</v>
      </c>
      <c r="D307" t="s">
        <v>296</v>
      </c>
      <c r="E307" t="s">
        <v>681</v>
      </c>
      <c r="F307" t="s">
        <v>235</v>
      </c>
      <c r="G307" t="s">
        <v>48</v>
      </c>
      <c r="H307" t="s">
        <v>8</v>
      </c>
      <c r="I307" t="s">
        <v>181</v>
      </c>
      <c r="J307" t="s">
        <v>798</v>
      </c>
      <c r="K307" t="s">
        <v>822</v>
      </c>
      <c r="L307" t="s">
        <v>800</v>
      </c>
      <c r="M307" s="5">
        <v>45558</v>
      </c>
      <c r="N307" s="5">
        <v>45557</v>
      </c>
      <c r="O307">
        <v>3</v>
      </c>
      <c r="P307">
        <v>20.49</v>
      </c>
      <c r="Q307">
        <v>29.71</v>
      </c>
      <c r="R307">
        <v>0.05</v>
      </c>
      <c r="S307">
        <v>84.67</v>
      </c>
      <c r="T307" t="s">
        <v>1001</v>
      </c>
      <c r="U307">
        <v>61.47</v>
      </c>
      <c r="V307">
        <v>23.2</v>
      </c>
    </row>
    <row r="308" spans="1:22" x14ac:dyDescent="0.35">
      <c r="A308" t="s">
        <v>1567</v>
      </c>
      <c r="B308" t="s">
        <v>1396</v>
      </c>
      <c r="C308" t="s">
        <v>616</v>
      </c>
      <c r="D308" t="s">
        <v>231</v>
      </c>
      <c r="E308" t="s">
        <v>254</v>
      </c>
      <c r="F308" t="s">
        <v>264</v>
      </c>
      <c r="G308" t="s">
        <v>797</v>
      </c>
      <c r="H308" t="s">
        <v>14</v>
      </c>
      <c r="I308" t="s">
        <v>209</v>
      </c>
      <c r="J308" t="s">
        <v>813</v>
      </c>
      <c r="K308" t="s">
        <v>793</v>
      </c>
      <c r="L308" t="s">
        <v>842</v>
      </c>
      <c r="M308" s="5">
        <v>45558</v>
      </c>
      <c r="O308">
        <v>10</v>
      </c>
      <c r="P308">
        <v>24.18</v>
      </c>
      <c r="Q308">
        <v>33.85</v>
      </c>
      <c r="R308">
        <v>0</v>
      </c>
      <c r="S308">
        <v>338.5</v>
      </c>
      <c r="T308" t="s">
        <v>1017</v>
      </c>
      <c r="U308">
        <v>241.8</v>
      </c>
      <c r="V308">
        <v>96.7</v>
      </c>
    </row>
    <row r="309" spans="1:22" x14ac:dyDescent="0.35">
      <c r="A309" t="s">
        <v>1568</v>
      </c>
      <c r="B309" t="s">
        <v>828</v>
      </c>
      <c r="C309" t="s">
        <v>299</v>
      </c>
      <c r="D309" t="s">
        <v>300</v>
      </c>
      <c r="E309" t="s">
        <v>696</v>
      </c>
      <c r="F309" t="s">
        <v>264</v>
      </c>
      <c r="G309" t="s">
        <v>48</v>
      </c>
      <c r="H309" t="s">
        <v>14</v>
      </c>
      <c r="I309" t="s">
        <v>169</v>
      </c>
      <c r="J309" t="s">
        <v>798</v>
      </c>
      <c r="K309" t="s">
        <v>793</v>
      </c>
      <c r="L309" t="s">
        <v>818</v>
      </c>
      <c r="M309" s="5">
        <v>45481</v>
      </c>
      <c r="O309">
        <v>1</v>
      </c>
      <c r="P309">
        <v>40.590000000000003</v>
      </c>
      <c r="Q309">
        <v>58.86</v>
      </c>
      <c r="R309">
        <v>0</v>
      </c>
      <c r="S309">
        <v>58.86</v>
      </c>
      <c r="T309" t="s">
        <v>888</v>
      </c>
      <c r="U309">
        <v>40.590000000000003</v>
      </c>
      <c r="V309">
        <v>18.27</v>
      </c>
    </row>
    <row r="310" spans="1:22" x14ac:dyDescent="0.35">
      <c r="A310" t="s">
        <v>1569</v>
      </c>
      <c r="B310" t="s">
        <v>1103</v>
      </c>
      <c r="C310" t="s">
        <v>384</v>
      </c>
      <c r="D310" t="s">
        <v>385</v>
      </c>
      <c r="E310" t="s">
        <v>627</v>
      </c>
      <c r="F310" t="s">
        <v>264</v>
      </c>
      <c r="G310" t="s">
        <v>14</v>
      </c>
      <c r="H310" t="s">
        <v>8</v>
      </c>
      <c r="I310" t="s">
        <v>129</v>
      </c>
      <c r="J310" t="s">
        <v>786</v>
      </c>
      <c r="K310" t="s">
        <v>799</v>
      </c>
      <c r="L310" t="s">
        <v>842</v>
      </c>
      <c r="M310" s="5">
        <v>45859</v>
      </c>
      <c r="N310" s="5">
        <v>45847</v>
      </c>
      <c r="O310">
        <v>5</v>
      </c>
      <c r="P310">
        <v>22.15</v>
      </c>
      <c r="Q310">
        <v>31.01</v>
      </c>
      <c r="R310">
        <v>0</v>
      </c>
      <c r="S310">
        <v>155.05000000000001</v>
      </c>
      <c r="T310" t="s">
        <v>834</v>
      </c>
      <c r="U310">
        <v>110.75</v>
      </c>
      <c r="V310">
        <v>44.3</v>
      </c>
    </row>
    <row r="311" spans="1:22" x14ac:dyDescent="0.35">
      <c r="A311" t="s">
        <v>1570</v>
      </c>
      <c r="B311" t="s">
        <v>1571</v>
      </c>
      <c r="C311" t="s">
        <v>614</v>
      </c>
      <c r="D311" t="s">
        <v>615</v>
      </c>
      <c r="E311" t="s">
        <v>696</v>
      </c>
      <c r="F311" t="s">
        <v>235</v>
      </c>
      <c r="G311" t="s">
        <v>797</v>
      </c>
      <c r="H311" t="s">
        <v>14</v>
      </c>
      <c r="I311" t="s">
        <v>60</v>
      </c>
      <c r="J311" t="s">
        <v>798</v>
      </c>
      <c r="K311" t="s">
        <v>799</v>
      </c>
      <c r="L311" t="s">
        <v>842</v>
      </c>
      <c r="M311" s="5">
        <v>45884</v>
      </c>
      <c r="N311" s="5">
        <v>45884</v>
      </c>
      <c r="O311">
        <v>3</v>
      </c>
      <c r="P311">
        <v>18.18</v>
      </c>
      <c r="Q311">
        <v>24.54</v>
      </c>
      <c r="R311">
        <v>0</v>
      </c>
      <c r="S311">
        <v>73.62</v>
      </c>
      <c r="T311" t="s">
        <v>825</v>
      </c>
      <c r="U311">
        <v>54.54</v>
      </c>
      <c r="V311">
        <v>19.079999999999998</v>
      </c>
    </row>
    <row r="312" spans="1:22" x14ac:dyDescent="0.35">
      <c r="A312" t="s">
        <v>1573</v>
      </c>
      <c r="B312" t="s">
        <v>1373</v>
      </c>
      <c r="C312" t="s">
        <v>588</v>
      </c>
      <c r="D312" t="s">
        <v>435</v>
      </c>
      <c r="E312" t="s">
        <v>633</v>
      </c>
      <c r="F312" t="s">
        <v>264</v>
      </c>
      <c r="G312" t="s">
        <v>48</v>
      </c>
      <c r="H312" t="s">
        <v>38</v>
      </c>
      <c r="I312" t="s">
        <v>126</v>
      </c>
      <c r="J312" t="s">
        <v>798</v>
      </c>
      <c r="K312" t="s">
        <v>799</v>
      </c>
      <c r="L312" t="s">
        <v>818</v>
      </c>
      <c r="M312" s="5">
        <v>45571</v>
      </c>
      <c r="N312" s="5">
        <v>45571</v>
      </c>
      <c r="O312">
        <v>3</v>
      </c>
      <c r="P312">
        <v>41.95</v>
      </c>
      <c r="Q312">
        <v>58.73</v>
      </c>
      <c r="R312">
        <v>0.05</v>
      </c>
      <c r="S312">
        <v>167.38</v>
      </c>
      <c r="T312" t="s">
        <v>876</v>
      </c>
      <c r="U312">
        <v>125.85</v>
      </c>
      <c r="V312">
        <v>41.53</v>
      </c>
    </row>
    <row r="313" spans="1:22" x14ac:dyDescent="0.35">
      <c r="A313" t="s">
        <v>1574</v>
      </c>
      <c r="B313" t="s">
        <v>1575</v>
      </c>
      <c r="C313" t="s">
        <v>528</v>
      </c>
      <c r="D313" t="s">
        <v>433</v>
      </c>
      <c r="E313" t="s">
        <v>674</v>
      </c>
      <c r="F313" t="s">
        <v>264</v>
      </c>
      <c r="G313" t="s">
        <v>797</v>
      </c>
      <c r="H313" t="s">
        <v>8</v>
      </c>
      <c r="I313" t="s">
        <v>73</v>
      </c>
      <c r="J313" t="s">
        <v>786</v>
      </c>
      <c r="K313" t="s">
        <v>799</v>
      </c>
      <c r="L313" t="s">
        <v>818</v>
      </c>
      <c r="M313" s="5">
        <v>46051</v>
      </c>
      <c r="N313" s="5">
        <v>46046</v>
      </c>
      <c r="O313">
        <v>3</v>
      </c>
      <c r="P313">
        <v>67.95</v>
      </c>
      <c r="Q313">
        <v>88.34</v>
      </c>
      <c r="R313">
        <v>0</v>
      </c>
      <c r="S313">
        <v>265.02</v>
      </c>
      <c r="T313" t="s">
        <v>803</v>
      </c>
      <c r="U313">
        <v>203.85</v>
      </c>
      <c r="V313">
        <v>61.17</v>
      </c>
    </row>
    <row r="314" spans="1:22" x14ac:dyDescent="0.35">
      <c r="A314" t="s">
        <v>1577</v>
      </c>
      <c r="B314" t="s">
        <v>1313</v>
      </c>
      <c r="C314" t="s">
        <v>580</v>
      </c>
      <c r="D314" t="s">
        <v>581</v>
      </c>
      <c r="E314" t="s">
        <v>633</v>
      </c>
      <c r="F314" t="s">
        <v>235</v>
      </c>
      <c r="G314" t="s">
        <v>797</v>
      </c>
      <c r="H314" t="s">
        <v>8</v>
      </c>
      <c r="I314" t="s">
        <v>65</v>
      </c>
      <c r="J314" t="s">
        <v>798</v>
      </c>
      <c r="K314" t="s">
        <v>822</v>
      </c>
      <c r="L314" t="s">
        <v>842</v>
      </c>
      <c r="M314" s="5">
        <v>45666</v>
      </c>
      <c r="N314" s="5">
        <v>45665</v>
      </c>
      <c r="O314">
        <v>1</v>
      </c>
      <c r="P314">
        <v>30.16</v>
      </c>
      <c r="Q314">
        <v>40.72</v>
      </c>
      <c r="R314">
        <v>0</v>
      </c>
      <c r="S314">
        <v>40.72</v>
      </c>
      <c r="T314" t="s">
        <v>790</v>
      </c>
      <c r="U314">
        <v>30.16</v>
      </c>
      <c r="V314">
        <v>10.56</v>
      </c>
    </row>
    <row r="315" spans="1:22" x14ac:dyDescent="0.35">
      <c r="A315" t="s">
        <v>1579</v>
      </c>
      <c r="B315" t="s">
        <v>1580</v>
      </c>
      <c r="C315" t="s">
        <v>609</v>
      </c>
      <c r="D315" t="s">
        <v>610</v>
      </c>
      <c r="E315" t="s">
        <v>637</v>
      </c>
      <c r="G315" t="s">
        <v>797</v>
      </c>
      <c r="H315" t="s">
        <v>20</v>
      </c>
      <c r="I315" t="s">
        <v>197</v>
      </c>
      <c r="J315" t="s">
        <v>798</v>
      </c>
      <c r="K315" t="s">
        <v>799</v>
      </c>
      <c r="L315" t="s">
        <v>818</v>
      </c>
      <c r="M315" s="5">
        <v>45381</v>
      </c>
      <c r="N315" s="5">
        <v>45379</v>
      </c>
      <c r="O315">
        <v>5</v>
      </c>
      <c r="P315">
        <v>22.45</v>
      </c>
      <c r="Q315">
        <v>29.18</v>
      </c>
      <c r="R315">
        <v>0.15</v>
      </c>
      <c r="S315">
        <v>124.02</v>
      </c>
      <c r="T315" t="s">
        <v>963</v>
      </c>
      <c r="U315">
        <v>112.25</v>
      </c>
      <c r="V315">
        <v>11.77</v>
      </c>
    </row>
    <row r="316" spans="1:22" x14ac:dyDescent="0.35">
      <c r="A316" t="s">
        <v>1581</v>
      </c>
      <c r="B316" t="s">
        <v>1582</v>
      </c>
      <c r="C316" t="s">
        <v>327</v>
      </c>
      <c r="D316" t="s">
        <v>328</v>
      </c>
      <c r="E316" t="s">
        <v>681</v>
      </c>
      <c r="F316" t="s">
        <v>264</v>
      </c>
      <c r="G316" t="s">
        <v>14</v>
      </c>
      <c r="H316" t="s">
        <v>79</v>
      </c>
      <c r="I316" t="s">
        <v>88</v>
      </c>
      <c r="J316" t="s">
        <v>798</v>
      </c>
      <c r="K316" t="s">
        <v>822</v>
      </c>
      <c r="L316" t="s">
        <v>818</v>
      </c>
      <c r="M316" s="5">
        <v>46011</v>
      </c>
      <c r="N316" s="5">
        <v>46007</v>
      </c>
      <c r="O316">
        <v>3</v>
      </c>
      <c r="P316">
        <v>11.82</v>
      </c>
      <c r="Q316">
        <v>17.14</v>
      </c>
      <c r="R316">
        <v>0.15</v>
      </c>
      <c r="S316">
        <v>43.71</v>
      </c>
      <c r="T316" t="s">
        <v>963</v>
      </c>
      <c r="U316">
        <v>35.46</v>
      </c>
      <c r="V316">
        <v>8.25</v>
      </c>
    </row>
    <row r="317" spans="1:22" x14ac:dyDescent="0.35">
      <c r="A317" t="s">
        <v>1583</v>
      </c>
      <c r="B317" t="s">
        <v>1445</v>
      </c>
      <c r="C317" t="s">
        <v>260</v>
      </c>
      <c r="D317" t="s">
        <v>261</v>
      </c>
      <c r="E317" t="s">
        <v>681</v>
      </c>
      <c r="F317" t="s">
        <v>264</v>
      </c>
      <c r="G317" t="s">
        <v>48</v>
      </c>
      <c r="H317" t="s">
        <v>8</v>
      </c>
      <c r="I317" t="s">
        <v>23</v>
      </c>
      <c r="J317" t="s">
        <v>798</v>
      </c>
      <c r="K317" t="s">
        <v>793</v>
      </c>
      <c r="L317" t="s">
        <v>800</v>
      </c>
      <c r="M317" s="5">
        <v>45335</v>
      </c>
      <c r="O317">
        <v>10</v>
      </c>
      <c r="P317">
        <v>58.47</v>
      </c>
      <c r="Q317">
        <v>84.78</v>
      </c>
      <c r="R317">
        <v>0.05</v>
      </c>
      <c r="S317">
        <v>805.41</v>
      </c>
      <c r="T317" t="s">
        <v>790</v>
      </c>
      <c r="U317">
        <v>584.70000000000005</v>
      </c>
      <c r="V317">
        <v>220.71</v>
      </c>
    </row>
    <row r="318" spans="1:22" x14ac:dyDescent="0.35">
      <c r="A318" t="s">
        <v>1584</v>
      </c>
      <c r="B318" t="s">
        <v>1530</v>
      </c>
      <c r="C318" t="s">
        <v>272</v>
      </c>
      <c r="D318" t="s">
        <v>273</v>
      </c>
      <c r="E318" t="s">
        <v>633</v>
      </c>
      <c r="F318" t="s">
        <v>243</v>
      </c>
      <c r="G318" t="s">
        <v>797</v>
      </c>
      <c r="H318" t="s">
        <v>48</v>
      </c>
      <c r="I318" t="s">
        <v>143</v>
      </c>
      <c r="J318" t="s">
        <v>786</v>
      </c>
      <c r="K318" t="s">
        <v>787</v>
      </c>
      <c r="L318" t="s">
        <v>842</v>
      </c>
      <c r="M318" s="5">
        <v>45766</v>
      </c>
      <c r="O318">
        <v>1</v>
      </c>
      <c r="P318">
        <v>29.93</v>
      </c>
      <c r="Q318">
        <v>38.909999999999997</v>
      </c>
      <c r="R318">
        <v>0</v>
      </c>
      <c r="S318">
        <v>38.909999999999997</v>
      </c>
      <c r="T318" t="s">
        <v>869</v>
      </c>
      <c r="U318">
        <v>29.93</v>
      </c>
      <c r="V318">
        <v>8.98</v>
      </c>
    </row>
    <row r="319" spans="1:22" x14ac:dyDescent="0.35">
      <c r="A319" t="s">
        <v>1585</v>
      </c>
      <c r="B319" t="s">
        <v>1586</v>
      </c>
      <c r="C319" t="s">
        <v>494</v>
      </c>
      <c r="D319" t="s">
        <v>396</v>
      </c>
      <c r="E319" t="s">
        <v>681</v>
      </c>
      <c r="F319" t="s">
        <v>243</v>
      </c>
      <c r="G319" t="s">
        <v>20</v>
      </c>
      <c r="H319" t="s">
        <v>20</v>
      </c>
      <c r="I319" t="s">
        <v>97</v>
      </c>
      <c r="J319" t="s">
        <v>798</v>
      </c>
      <c r="K319" t="s">
        <v>799</v>
      </c>
      <c r="L319" t="s">
        <v>788</v>
      </c>
      <c r="M319" s="5">
        <v>45982</v>
      </c>
      <c r="N319" s="5">
        <v>45978</v>
      </c>
      <c r="O319">
        <v>1</v>
      </c>
      <c r="P319">
        <v>20.79</v>
      </c>
      <c r="Q319">
        <v>28.07</v>
      </c>
      <c r="R319">
        <v>0</v>
      </c>
      <c r="S319">
        <v>28.07</v>
      </c>
      <c r="T319" t="s">
        <v>829</v>
      </c>
      <c r="U319">
        <v>20.79</v>
      </c>
      <c r="V319">
        <v>7.28</v>
      </c>
    </row>
    <row r="320" spans="1:22" x14ac:dyDescent="0.35">
      <c r="A320" t="s">
        <v>1589</v>
      </c>
      <c r="B320" t="s">
        <v>1590</v>
      </c>
      <c r="C320" t="s">
        <v>252</v>
      </c>
      <c r="D320" t="s">
        <v>253</v>
      </c>
      <c r="E320" t="s">
        <v>696</v>
      </c>
      <c r="F320" t="s">
        <v>243</v>
      </c>
      <c r="G320" t="s">
        <v>48</v>
      </c>
      <c r="H320" t="s">
        <v>14</v>
      </c>
      <c r="I320" t="s">
        <v>214</v>
      </c>
      <c r="J320" t="s">
        <v>798</v>
      </c>
      <c r="K320" t="s">
        <v>793</v>
      </c>
      <c r="L320" t="s">
        <v>788</v>
      </c>
      <c r="M320" s="5">
        <v>45799</v>
      </c>
      <c r="O320">
        <v>3</v>
      </c>
      <c r="P320">
        <v>22.07</v>
      </c>
      <c r="Q320">
        <v>27.59</v>
      </c>
      <c r="R320">
        <v>0</v>
      </c>
      <c r="S320">
        <v>82.77</v>
      </c>
      <c r="T320" t="s">
        <v>810</v>
      </c>
      <c r="U320">
        <v>66.209999999999994</v>
      </c>
      <c r="V320">
        <v>16.559999999999999</v>
      </c>
    </row>
    <row r="321" spans="1:22" x14ac:dyDescent="0.35">
      <c r="A321" t="s">
        <v>1592</v>
      </c>
      <c r="B321" t="s">
        <v>1231</v>
      </c>
      <c r="C321" t="s">
        <v>426</v>
      </c>
      <c r="D321" t="s">
        <v>427</v>
      </c>
      <c r="E321" t="s">
        <v>637</v>
      </c>
      <c r="F321" t="s">
        <v>264</v>
      </c>
      <c r="G321" t="s">
        <v>20</v>
      </c>
      <c r="H321" t="s">
        <v>48</v>
      </c>
      <c r="I321" t="s">
        <v>135</v>
      </c>
      <c r="J321" t="s">
        <v>798</v>
      </c>
      <c r="K321" t="s">
        <v>787</v>
      </c>
      <c r="L321" t="s">
        <v>842</v>
      </c>
      <c r="M321" s="5">
        <v>45946</v>
      </c>
      <c r="O321">
        <v>20</v>
      </c>
      <c r="P321">
        <v>51.72</v>
      </c>
      <c r="Q321">
        <v>67.239999999999995</v>
      </c>
      <c r="R321">
        <v>0</v>
      </c>
      <c r="S321">
        <v>1344.8</v>
      </c>
      <c r="T321" t="s">
        <v>919</v>
      </c>
      <c r="U321">
        <v>1034.4000000000001</v>
      </c>
      <c r="V321">
        <v>310.39999999999998</v>
      </c>
    </row>
    <row r="322" spans="1:22" x14ac:dyDescent="0.35">
      <c r="A322" t="s">
        <v>1593</v>
      </c>
      <c r="B322" t="s">
        <v>1594</v>
      </c>
      <c r="C322" t="s">
        <v>557</v>
      </c>
      <c r="D322" t="s">
        <v>558</v>
      </c>
      <c r="E322" t="s">
        <v>674</v>
      </c>
      <c r="F322" t="s">
        <v>235</v>
      </c>
      <c r="G322" t="s">
        <v>797</v>
      </c>
      <c r="H322" t="s">
        <v>38</v>
      </c>
      <c r="I322" t="s">
        <v>109</v>
      </c>
      <c r="J322" t="s">
        <v>798</v>
      </c>
      <c r="K322" t="s">
        <v>793</v>
      </c>
      <c r="L322" t="s">
        <v>818</v>
      </c>
      <c r="M322" s="5">
        <v>45808</v>
      </c>
      <c r="O322">
        <v>12</v>
      </c>
      <c r="P322">
        <v>29.32</v>
      </c>
      <c r="Q322">
        <v>36.65</v>
      </c>
      <c r="R322">
        <v>0</v>
      </c>
      <c r="S322">
        <v>439.8</v>
      </c>
      <c r="T322" t="s">
        <v>919</v>
      </c>
      <c r="U322">
        <v>351.84</v>
      </c>
      <c r="V322">
        <v>87.96</v>
      </c>
    </row>
    <row r="323" spans="1:22" x14ac:dyDescent="0.35">
      <c r="A323" t="s">
        <v>1595</v>
      </c>
      <c r="B323" t="s">
        <v>1596</v>
      </c>
      <c r="C323" t="s">
        <v>529</v>
      </c>
      <c r="D323" t="s">
        <v>253</v>
      </c>
      <c r="E323" t="s">
        <v>674</v>
      </c>
      <c r="F323" t="s">
        <v>235</v>
      </c>
      <c r="G323" t="s">
        <v>797</v>
      </c>
      <c r="H323" t="s">
        <v>8</v>
      </c>
      <c r="I323" t="s">
        <v>212</v>
      </c>
      <c r="J323" t="s">
        <v>786</v>
      </c>
      <c r="K323" t="s">
        <v>793</v>
      </c>
      <c r="L323" t="s">
        <v>842</v>
      </c>
      <c r="M323" s="5">
        <v>46006</v>
      </c>
      <c r="O323">
        <v>5</v>
      </c>
      <c r="P323">
        <v>95.09</v>
      </c>
      <c r="Q323">
        <v>133.13</v>
      </c>
      <c r="R323">
        <v>0.1</v>
      </c>
      <c r="S323">
        <v>599.09</v>
      </c>
      <c r="T323" t="s">
        <v>810</v>
      </c>
      <c r="U323">
        <v>475.45</v>
      </c>
      <c r="V323">
        <v>123.64</v>
      </c>
    </row>
    <row r="324" spans="1:22" x14ac:dyDescent="0.35">
      <c r="A324" t="s">
        <v>1598</v>
      </c>
      <c r="B324" t="s">
        <v>1558</v>
      </c>
      <c r="C324" t="s">
        <v>334</v>
      </c>
      <c r="D324" t="s">
        <v>335</v>
      </c>
      <c r="E324" t="s">
        <v>633</v>
      </c>
      <c r="F324" t="s">
        <v>243</v>
      </c>
      <c r="G324" t="s">
        <v>797</v>
      </c>
      <c r="H324" t="s">
        <v>48</v>
      </c>
      <c r="I324" t="s">
        <v>143</v>
      </c>
      <c r="J324" t="s">
        <v>798</v>
      </c>
      <c r="K324" t="s">
        <v>799</v>
      </c>
      <c r="L324" t="s">
        <v>788</v>
      </c>
      <c r="M324" s="5">
        <v>45642</v>
      </c>
      <c r="N324" s="5">
        <v>45645</v>
      </c>
      <c r="O324">
        <v>1</v>
      </c>
      <c r="P324">
        <v>29.93</v>
      </c>
      <c r="Q324">
        <v>38.909999999999997</v>
      </c>
      <c r="R324">
        <v>0.05</v>
      </c>
      <c r="S324">
        <v>36.96</v>
      </c>
      <c r="T324" t="s">
        <v>794</v>
      </c>
      <c r="U324">
        <v>29.93</v>
      </c>
      <c r="V324">
        <v>7.03</v>
      </c>
    </row>
    <row r="325" spans="1:22" x14ac:dyDescent="0.35">
      <c r="A325" t="s">
        <v>1599</v>
      </c>
      <c r="B325" t="s">
        <v>1450</v>
      </c>
      <c r="C325" t="s">
        <v>322</v>
      </c>
      <c r="D325" t="s">
        <v>245</v>
      </c>
      <c r="E325" t="s">
        <v>637</v>
      </c>
      <c r="F325" t="s">
        <v>243</v>
      </c>
      <c r="G325" t="s">
        <v>20</v>
      </c>
      <c r="H325" t="s">
        <v>29</v>
      </c>
      <c r="I325" t="s">
        <v>32</v>
      </c>
      <c r="J325" t="s">
        <v>798</v>
      </c>
      <c r="K325" t="s">
        <v>799</v>
      </c>
      <c r="L325" t="s">
        <v>842</v>
      </c>
      <c r="M325" s="5">
        <v>45340</v>
      </c>
      <c r="N325" s="5">
        <v>45334</v>
      </c>
      <c r="O325">
        <v>3</v>
      </c>
      <c r="P325">
        <v>18.989999999999998</v>
      </c>
      <c r="Q325">
        <v>25.64</v>
      </c>
      <c r="R325">
        <v>0.05</v>
      </c>
      <c r="S325">
        <v>73.069999999999993</v>
      </c>
      <c r="T325" t="s">
        <v>834</v>
      </c>
      <c r="U325">
        <v>56.97</v>
      </c>
      <c r="V325">
        <v>16.100000000000001</v>
      </c>
    </row>
    <row r="326" spans="1:22" x14ac:dyDescent="0.35">
      <c r="A326" t="s">
        <v>1602</v>
      </c>
      <c r="B326" t="s">
        <v>1462</v>
      </c>
      <c r="C326" t="s">
        <v>315</v>
      </c>
      <c r="D326" t="s">
        <v>316</v>
      </c>
      <c r="E326" t="s">
        <v>681</v>
      </c>
      <c r="F326" t="s">
        <v>235</v>
      </c>
      <c r="G326" t="s">
        <v>14</v>
      </c>
      <c r="H326" t="s">
        <v>48</v>
      </c>
      <c r="I326" t="s">
        <v>54</v>
      </c>
      <c r="J326" t="s">
        <v>786</v>
      </c>
      <c r="K326" t="s">
        <v>793</v>
      </c>
      <c r="L326" t="s">
        <v>818</v>
      </c>
      <c r="M326" s="5">
        <v>45313</v>
      </c>
      <c r="O326">
        <v>2</v>
      </c>
      <c r="P326">
        <v>21.67</v>
      </c>
      <c r="Q326">
        <v>28.17</v>
      </c>
      <c r="R326">
        <v>0.15</v>
      </c>
      <c r="S326">
        <v>47.89</v>
      </c>
      <c r="T326" t="s">
        <v>888</v>
      </c>
      <c r="U326">
        <v>43.34</v>
      </c>
      <c r="V326">
        <v>4.55</v>
      </c>
    </row>
    <row r="327" spans="1:22" x14ac:dyDescent="0.35">
      <c r="A327" t="s">
        <v>1604</v>
      </c>
      <c r="B327" t="s">
        <v>1439</v>
      </c>
      <c r="C327" t="s">
        <v>565</v>
      </c>
      <c r="D327" t="s">
        <v>566</v>
      </c>
      <c r="E327" t="s">
        <v>633</v>
      </c>
      <c r="G327" t="s">
        <v>14</v>
      </c>
      <c r="H327" t="s">
        <v>20</v>
      </c>
      <c r="I327" t="s">
        <v>163</v>
      </c>
      <c r="J327" t="s">
        <v>798</v>
      </c>
      <c r="K327" t="s">
        <v>822</v>
      </c>
      <c r="L327" t="s">
        <v>842</v>
      </c>
      <c r="M327" s="5">
        <v>45510</v>
      </c>
      <c r="N327" s="5">
        <v>45511</v>
      </c>
      <c r="O327">
        <v>2</v>
      </c>
      <c r="P327">
        <v>55.3</v>
      </c>
      <c r="Q327">
        <v>74.66</v>
      </c>
      <c r="R327">
        <v>0.1</v>
      </c>
      <c r="S327">
        <v>134.38999999999999</v>
      </c>
      <c r="T327" t="s">
        <v>810</v>
      </c>
      <c r="U327">
        <v>110.6</v>
      </c>
      <c r="V327">
        <v>23.79</v>
      </c>
    </row>
    <row r="328" spans="1:22" x14ac:dyDescent="0.35">
      <c r="A328" t="s">
        <v>1606</v>
      </c>
      <c r="B328" t="s">
        <v>1454</v>
      </c>
      <c r="C328" t="s">
        <v>561</v>
      </c>
      <c r="D328" t="s">
        <v>562</v>
      </c>
      <c r="E328" t="s">
        <v>637</v>
      </c>
      <c r="F328" t="s">
        <v>243</v>
      </c>
      <c r="G328" t="s">
        <v>20</v>
      </c>
      <c r="H328" t="s">
        <v>48</v>
      </c>
      <c r="I328" t="s">
        <v>61</v>
      </c>
      <c r="J328" t="s">
        <v>798</v>
      </c>
      <c r="K328" t="s">
        <v>787</v>
      </c>
      <c r="L328" t="s">
        <v>788</v>
      </c>
      <c r="M328" s="5">
        <v>45925</v>
      </c>
      <c r="O328">
        <v>5</v>
      </c>
      <c r="P328">
        <v>26.08</v>
      </c>
      <c r="Q328">
        <v>35.21</v>
      </c>
      <c r="R328">
        <v>0</v>
      </c>
      <c r="S328">
        <v>176.05</v>
      </c>
      <c r="T328" t="s">
        <v>919</v>
      </c>
      <c r="U328">
        <v>130.4</v>
      </c>
      <c r="V328">
        <v>45.65</v>
      </c>
    </row>
    <row r="329" spans="1:22" x14ac:dyDescent="0.35">
      <c r="A329" t="s">
        <v>1607</v>
      </c>
      <c r="B329" t="s">
        <v>785</v>
      </c>
      <c r="C329" t="s">
        <v>559</v>
      </c>
      <c r="D329" t="s">
        <v>311</v>
      </c>
      <c r="E329" t="s">
        <v>633</v>
      </c>
      <c r="F329" t="s">
        <v>235</v>
      </c>
      <c r="G329" t="s">
        <v>20</v>
      </c>
      <c r="H329" t="s">
        <v>8</v>
      </c>
      <c r="I329" t="s">
        <v>204</v>
      </c>
      <c r="J329" t="s">
        <v>786</v>
      </c>
      <c r="K329" t="s">
        <v>799</v>
      </c>
      <c r="L329" t="s">
        <v>818</v>
      </c>
      <c r="M329" s="5">
        <v>45848</v>
      </c>
      <c r="N329" s="5">
        <v>45838</v>
      </c>
      <c r="O329">
        <v>2</v>
      </c>
      <c r="P329">
        <v>28.27</v>
      </c>
      <c r="Q329">
        <v>40.99</v>
      </c>
      <c r="R329">
        <v>0.15</v>
      </c>
      <c r="S329">
        <v>69.680000000000007</v>
      </c>
      <c r="T329" t="s">
        <v>825</v>
      </c>
      <c r="U329">
        <v>56.54</v>
      </c>
      <c r="V329">
        <v>13.14</v>
      </c>
    </row>
    <row r="330" spans="1:22" x14ac:dyDescent="0.35">
      <c r="A330" t="s">
        <v>1609</v>
      </c>
      <c r="B330" t="s">
        <v>944</v>
      </c>
      <c r="C330" t="s">
        <v>372</v>
      </c>
      <c r="D330" t="s">
        <v>373</v>
      </c>
      <c r="E330" t="s">
        <v>254</v>
      </c>
      <c r="F330" t="s">
        <v>235</v>
      </c>
      <c r="G330" t="s">
        <v>20</v>
      </c>
      <c r="H330" t="s">
        <v>29</v>
      </c>
      <c r="I330" t="s">
        <v>32</v>
      </c>
      <c r="J330" t="s">
        <v>798</v>
      </c>
      <c r="K330" t="s">
        <v>817</v>
      </c>
      <c r="L330" t="s">
        <v>818</v>
      </c>
      <c r="M330" s="5">
        <v>45582</v>
      </c>
      <c r="O330">
        <v>12</v>
      </c>
      <c r="P330">
        <v>18.989999999999998</v>
      </c>
      <c r="Q330">
        <v>25.64</v>
      </c>
      <c r="R330">
        <v>0.05</v>
      </c>
      <c r="S330">
        <v>292.3</v>
      </c>
      <c r="T330" t="s">
        <v>810</v>
      </c>
      <c r="U330">
        <v>227.88</v>
      </c>
      <c r="V330">
        <v>64.42</v>
      </c>
    </row>
    <row r="331" spans="1:22" x14ac:dyDescent="0.35">
      <c r="A331" t="s">
        <v>1610</v>
      </c>
      <c r="B331" t="s">
        <v>1154</v>
      </c>
      <c r="C331" t="s">
        <v>283</v>
      </c>
      <c r="D331" t="s">
        <v>284</v>
      </c>
      <c r="E331" t="s">
        <v>681</v>
      </c>
      <c r="F331" t="s">
        <v>264</v>
      </c>
      <c r="G331" t="s">
        <v>797</v>
      </c>
      <c r="H331" t="s">
        <v>48</v>
      </c>
      <c r="I331" t="s">
        <v>84</v>
      </c>
      <c r="J331" t="s">
        <v>798</v>
      </c>
      <c r="K331" t="s">
        <v>793</v>
      </c>
      <c r="L331" t="s">
        <v>818</v>
      </c>
      <c r="M331" s="5">
        <v>45462</v>
      </c>
      <c r="O331">
        <v>1</v>
      </c>
      <c r="P331">
        <v>27.52</v>
      </c>
      <c r="Q331">
        <v>34.4</v>
      </c>
      <c r="R331">
        <v>0</v>
      </c>
      <c r="S331">
        <v>34.4</v>
      </c>
      <c r="T331" t="s">
        <v>919</v>
      </c>
      <c r="U331">
        <v>27.52</v>
      </c>
      <c r="V331">
        <v>6.88</v>
      </c>
    </row>
    <row r="332" spans="1:22" x14ac:dyDescent="0.35">
      <c r="A332" t="s">
        <v>1611</v>
      </c>
      <c r="B332" t="s">
        <v>1612</v>
      </c>
      <c r="C332" t="s">
        <v>527</v>
      </c>
      <c r="D332" t="s">
        <v>282</v>
      </c>
      <c r="E332" t="s">
        <v>674</v>
      </c>
      <c r="F332" t="s">
        <v>235</v>
      </c>
      <c r="G332" t="s">
        <v>797</v>
      </c>
      <c r="H332" t="s">
        <v>20</v>
      </c>
      <c r="I332" t="s">
        <v>104</v>
      </c>
      <c r="J332" t="s">
        <v>813</v>
      </c>
      <c r="K332" t="s">
        <v>799</v>
      </c>
      <c r="L332" t="s">
        <v>842</v>
      </c>
      <c r="M332" s="5">
        <v>46053</v>
      </c>
      <c r="N332" s="5">
        <v>46060</v>
      </c>
      <c r="O332">
        <v>2</v>
      </c>
      <c r="P332">
        <v>43.88</v>
      </c>
      <c r="Q332">
        <v>54.85</v>
      </c>
      <c r="R332">
        <v>0</v>
      </c>
      <c r="S332">
        <v>109.7</v>
      </c>
      <c r="T332" t="s">
        <v>845</v>
      </c>
      <c r="U332">
        <v>87.76</v>
      </c>
      <c r="V332">
        <v>21.94</v>
      </c>
    </row>
    <row r="333" spans="1:22" x14ac:dyDescent="0.35">
      <c r="A333" t="s">
        <v>1613</v>
      </c>
      <c r="B333" t="s">
        <v>1194</v>
      </c>
      <c r="C333" t="s">
        <v>475</v>
      </c>
      <c r="D333" t="s">
        <v>476</v>
      </c>
      <c r="E333" t="s">
        <v>674</v>
      </c>
      <c r="F333" t="s">
        <v>243</v>
      </c>
      <c r="G333" t="s">
        <v>20</v>
      </c>
      <c r="H333" t="s">
        <v>8</v>
      </c>
      <c r="I333" t="s">
        <v>6</v>
      </c>
      <c r="J333" t="s">
        <v>786</v>
      </c>
      <c r="K333" t="s">
        <v>793</v>
      </c>
      <c r="L333" t="s">
        <v>842</v>
      </c>
      <c r="M333" s="5">
        <v>45899</v>
      </c>
      <c r="O333">
        <v>3</v>
      </c>
      <c r="P333">
        <v>32.24</v>
      </c>
      <c r="Q333">
        <v>41.91</v>
      </c>
      <c r="R333">
        <v>0</v>
      </c>
      <c r="S333">
        <v>125.73</v>
      </c>
      <c r="T333" t="s">
        <v>794</v>
      </c>
      <c r="U333">
        <v>96.72</v>
      </c>
      <c r="V333">
        <v>29.01</v>
      </c>
    </row>
    <row r="334" spans="1:22" x14ac:dyDescent="0.35">
      <c r="A334" t="s">
        <v>1614</v>
      </c>
      <c r="B334" t="s">
        <v>1615</v>
      </c>
      <c r="C334" t="s">
        <v>601</v>
      </c>
      <c r="D334" t="s">
        <v>602</v>
      </c>
      <c r="E334" t="s">
        <v>696</v>
      </c>
      <c r="F334" t="s">
        <v>235</v>
      </c>
      <c r="G334" t="s">
        <v>20</v>
      </c>
      <c r="H334" t="s">
        <v>8</v>
      </c>
      <c r="I334" t="s">
        <v>207</v>
      </c>
      <c r="J334" t="s">
        <v>798</v>
      </c>
      <c r="K334" t="s">
        <v>793</v>
      </c>
      <c r="L334" t="s">
        <v>818</v>
      </c>
      <c r="M334" s="5">
        <v>45399</v>
      </c>
      <c r="O334">
        <v>2</v>
      </c>
      <c r="P334">
        <v>8.5399999999999991</v>
      </c>
      <c r="Q334">
        <v>10.67</v>
      </c>
      <c r="R334">
        <v>0.1</v>
      </c>
      <c r="S334">
        <v>19.21</v>
      </c>
      <c r="T334" t="s">
        <v>819</v>
      </c>
      <c r="U334">
        <v>17.079999999999998</v>
      </c>
      <c r="V334">
        <v>2.13</v>
      </c>
    </row>
    <row r="335" spans="1:22" x14ac:dyDescent="0.35">
      <c r="A335" t="s">
        <v>1616</v>
      </c>
      <c r="B335" t="s">
        <v>1552</v>
      </c>
      <c r="C335" t="s">
        <v>351</v>
      </c>
      <c r="D335" t="s">
        <v>352</v>
      </c>
      <c r="E335" t="s">
        <v>674</v>
      </c>
      <c r="F335" t="s">
        <v>264</v>
      </c>
      <c r="G335" t="s">
        <v>48</v>
      </c>
      <c r="H335" t="s">
        <v>20</v>
      </c>
      <c r="I335" t="s">
        <v>18</v>
      </c>
      <c r="J335" t="s">
        <v>798</v>
      </c>
      <c r="K335" t="s">
        <v>793</v>
      </c>
      <c r="L335" t="s">
        <v>788</v>
      </c>
      <c r="M335" s="5">
        <v>45354</v>
      </c>
      <c r="O335">
        <v>12</v>
      </c>
      <c r="P335">
        <v>21.57</v>
      </c>
      <c r="Q335">
        <v>26.96</v>
      </c>
      <c r="R335">
        <v>0.05</v>
      </c>
      <c r="S335">
        <v>307.33999999999997</v>
      </c>
      <c r="T335" t="s">
        <v>963</v>
      </c>
      <c r="U335">
        <v>258.83999999999997</v>
      </c>
      <c r="V335">
        <v>48.5</v>
      </c>
    </row>
    <row r="336" spans="1:22" x14ac:dyDescent="0.35">
      <c r="A336" t="s">
        <v>1618</v>
      </c>
      <c r="B336" t="s">
        <v>1231</v>
      </c>
      <c r="C336" t="s">
        <v>409</v>
      </c>
      <c r="D336" t="s">
        <v>410</v>
      </c>
      <c r="E336" t="s">
        <v>674</v>
      </c>
      <c r="F336" t="s">
        <v>235</v>
      </c>
      <c r="G336" t="s">
        <v>797</v>
      </c>
      <c r="H336" t="s">
        <v>8</v>
      </c>
      <c r="I336" t="s">
        <v>95</v>
      </c>
      <c r="J336" t="s">
        <v>813</v>
      </c>
      <c r="K336" t="s">
        <v>799</v>
      </c>
      <c r="L336" t="s">
        <v>800</v>
      </c>
      <c r="M336" s="5">
        <v>45942</v>
      </c>
      <c r="N336" s="5">
        <v>45947</v>
      </c>
      <c r="O336">
        <v>2</v>
      </c>
      <c r="P336">
        <v>23.02</v>
      </c>
      <c r="Q336">
        <v>28.77</v>
      </c>
      <c r="R336">
        <v>0</v>
      </c>
      <c r="S336">
        <v>57.54</v>
      </c>
      <c r="T336" t="s">
        <v>919</v>
      </c>
      <c r="U336">
        <v>46.04</v>
      </c>
      <c r="V336">
        <v>11.5</v>
      </c>
    </row>
    <row r="337" spans="1:22" x14ac:dyDescent="0.35">
      <c r="A337" t="s">
        <v>1620</v>
      </c>
      <c r="B337" t="s">
        <v>894</v>
      </c>
      <c r="C337" t="s">
        <v>362</v>
      </c>
      <c r="D337" t="s">
        <v>363</v>
      </c>
      <c r="E337" t="s">
        <v>637</v>
      </c>
      <c r="F337" t="s">
        <v>235</v>
      </c>
      <c r="G337" t="s">
        <v>797</v>
      </c>
      <c r="H337" t="s">
        <v>14</v>
      </c>
      <c r="I337" t="s">
        <v>93</v>
      </c>
      <c r="J337" t="s">
        <v>786</v>
      </c>
      <c r="K337" t="s">
        <v>799</v>
      </c>
      <c r="L337" t="s">
        <v>788</v>
      </c>
      <c r="M337" s="5">
        <v>45775</v>
      </c>
      <c r="N337" s="5">
        <v>45765</v>
      </c>
      <c r="O337">
        <v>1</v>
      </c>
      <c r="P337">
        <v>26.96</v>
      </c>
      <c r="Q337">
        <v>37.74</v>
      </c>
      <c r="R337">
        <v>0.1</v>
      </c>
      <c r="S337">
        <v>33.97</v>
      </c>
      <c r="T337" t="s">
        <v>790</v>
      </c>
      <c r="U337">
        <v>26.96</v>
      </c>
      <c r="V337">
        <v>7.01</v>
      </c>
    </row>
    <row r="338" spans="1:22" x14ac:dyDescent="0.35">
      <c r="A338" t="s">
        <v>1622</v>
      </c>
      <c r="B338" t="s">
        <v>1623</v>
      </c>
      <c r="C338" t="s">
        <v>520</v>
      </c>
      <c r="D338" t="s">
        <v>521</v>
      </c>
      <c r="E338" t="s">
        <v>696</v>
      </c>
      <c r="F338" t="s">
        <v>243</v>
      </c>
      <c r="G338" t="s">
        <v>20</v>
      </c>
      <c r="H338" t="s">
        <v>43</v>
      </c>
      <c r="I338" t="s">
        <v>58</v>
      </c>
      <c r="J338" t="s">
        <v>798</v>
      </c>
      <c r="K338" t="s">
        <v>799</v>
      </c>
      <c r="L338" t="s">
        <v>818</v>
      </c>
      <c r="M338" s="5">
        <v>45387</v>
      </c>
      <c r="N338" s="5">
        <v>45387</v>
      </c>
      <c r="O338">
        <v>3</v>
      </c>
      <c r="P338">
        <v>11.21</v>
      </c>
      <c r="Q338">
        <v>15.13</v>
      </c>
      <c r="R338">
        <v>0</v>
      </c>
      <c r="S338">
        <v>45.39</v>
      </c>
      <c r="T338" t="s">
        <v>839</v>
      </c>
      <c r="U338">
        <v>33.630000000000003</v>
      </c>
      <c r="V338">
        <v>11.76</v>
      </c>
    </row>
    <row r="339" spans="1:22" x14ac:dyDescent="0.35">
      <c r="A339" t="s">
        <v>1624</v>
      </c>
      <c r="B339" t="s">
        <v>1055</v>
      </c>
      <c r="C339" t="s">
        <v>400</v>
      </c>
      <c r="D339" t="s">
        <v>383</v>
      </c>
      <c r="E339" t="s">
        <v>633</v>
      </c>
      <c r="F339" t="s">
        <v>235</v>
      </c>
      <c r="G339" t="s">
        <v>797</v>
      </c>
      <c r="H339" t="s">
        <v>14</v>
      </c>
      <c r="I339" t="s">
        <v>12</v>
      </c>
      <c r="J339" t="s">
        <v>798</v>
      </c>
      <c r="K339" t="s">
        <v>822</v>
      </c>
      <c r="L339" t="s">
        <v>788</v>
      </c>
      <c r="M339" s="5">
        <v>46052</v>
      </c>
      <c r="N339" s="5">
        <v>46052</v>
      </c>
      <c r="O339">
        <v>12</v>
      </c>
      <c r="P339">
        <v>35.03</v>
      </c>
      <c r="Q339">
        <v>50.79</v>
      </c>
      <c r="R339">
        <v>0.1</v>
      </c>
      <c r="S339">
        <v>548.53</v>
      </c>
      <c r="T339" t="s">
        <v>839</v>
      </c>
      <c r="U339">
        <v>420.36</v>
      </c>
      <c r="V339">
        <v>128.16999999999999</v>
      </c>
    </row>
    <row r="340" spans="1:22" x14ac:dyDescent="0.35">
      <c r="A340" t="s">
        <v>1625</v>
      </c>
      <c r="B340" t="s">
        <v>1626</v>
      </c>
      <c r="C340" t="s">
        <v>498</v>
      </c>
      <c r="D340" t="s">
        <v>499</v>
      </c>
      <c r="E340" t="s">
        <v>681</v>
      </c>
      <c r="F340" t="s">
        <v>235</v>
      </c>
      <c r="G340" t="s">
        <v>20</v>
      </c>
      <c r="H340" t="s">
        <v>79</v>
      </c>
      <c r="I340" t="s">
        <v>108</v>
      </c>
      <c r="J340" t="s">
        <v>813</v>
      </c>
      <c r="K340" t="s">
        <v>799</v>
      </c>
      <c r="L340" t="s">
        <v>818</v>
      </c>
      <c r="M340" s="5">
        <v>45340</v>
      </c>
      <c r="N340" s="5">
        <v>45345</v>
      </c>
      <c r="O340">
        <v>2</v>
      </c>
      <c r="P340">
        <v>9.3000000000000007</v>
      </c>
      <c r="Q340">
        <v>12.56</v>
      </c>
      <c r="R340">
        <v>0.15</v>
      </c>
      <c r="S340">
        <v>21.35</v>
      </c>
      <c r="T340" t="s">
        <v>919</v>
      </c>
      <c r="U340">
        <v>18.600000000000001</v>
      </c>
      <c r="V340">
        <v>2.75</v>
      </c>
    </row>
    <row r="341" spans="1:22" x14ac:dyDescent="0.35">
      <c r="A341" t="s">
        <v>1628</v>
      </c>
      <c r="B341" t="s">
        <v>1591</v>
      </c>
      <c r="C341" t="s">
        <v>312</v>
      </c>
      <c r="D341" t="s">
        <v>313</v>
      </c>
      <c r="E341" t="s">
        <v>627</v>
      </c>
      <c r="F341" t="s">
        <v>235</v>
      </c>
      <c r="G341" t="s">
        <v>20</v>
      </c>
      <c r="H341" t="s">
        <v>20</v>
      </c>
      <c r="I341" t="s">
        <v>134</v>
      </c>
      <c r="J341" t="s">
        <v>798</v>
      </c>
      <c r="K341" t="s">
        <v>793</v>
      </c>
      <c r="L341" t="s">
        <v>788</v>
      </c>
      <c r="M341" s="5">
        <v>45806</v>
      </c>
      <c r="O341">
        <v>10</v>
      </c>
      <c r="P341">
        <v>38.36</v>
      </c>
      <c r="Q341">
        <v>53.7</v>
      </c>
      <c r="R341">
        <v>0</v>
      </c>
      <c r="S341">
        <v>537</v>
      </c>
      <c r="T341" t="s">
        <v>814</v>
      </c>
      <c r="U341">
        <v>383.6</v>
      </c>
      <c r="V341">
        <v>153.4</v>
      </c>
    </row>
    <row r="342" spans="1:22" x14ac:dyDescent="0.35">
      <c r="A342" t="s">
        <v>1629</v>
      </c>
      <c r="B342" t="s">
        <v>1630</v>
      </c>
      <c r="C342" t="s">
        <v>569</v>
      </c>
      <c r="D342" t="s">
        <v>535</v>
      </c>
      <c r="E342" t="s">
        <v>254</v>
      </c>
      <c r="G342" t="s">
        <v>797</v>
      </c>
      <c r="H342" t="s">
        <v>48</v>
      </c>
      <c r="I342" t="s">
        <v>217</v>
      </c>
      <c r="J342" t="s">
        <v>798</v>
      </c>
      <c r="K342" t="s">
        <v>787</v>
      </c>
      <c r="L342" t="s">
        <v>818</v>
      </c>
      <c r="M342" s="5">
        <v>45601</v>
      </c>
      <c r="O342">
        <v>5</v>
      </c>
      <c r="P342">
        <v>24.07</v>
      </c>
      <c r="Q342">
        <v>34.9</v>
      </c>
      <c r="R342">
        <v>0.1</v>
      </c>
      <c r="S342">
        <v>157.05000000000001</v>
      </c>
      <c r="T342" t="s">
        <v>803</v>
      </c>
      <c r="U342">
        <v>120.35</v>
      </c>
      <c r="V342">
        <v>36.700000000000003</v>
      </c>
    </row>
    <row r="343" spans="1:22" x14ac:dyDescent="0.35">
      <c r="A343" t="s">
        <v>1631</v>
      </c>
      <c r="B343" t="s">
        <v>1632</v>
      </c>
      <c r="C343" t="s">
        <v>495</v>
      </c>
      <c r="D343" t="s">
        <v>496</v>
      </c>
      <c r="E343" t="s">
        <v>637</v>
      </c>
      <c r="F343" t="s">
        <v>264</v>
      </c>
      <c r="G343" t="s">
        <v>797</v>
      </c>
      <c r="H343" t="s">
        <v>48</v>
      </c>
      <c r="I343" t="s">
        <v>135</v>
      </c>
      <c r="J343" t="s">
        <v>798</v>
      </c>
      <c r="K343" t="s">
        <v>793</v>
      </c>
      <c r="L343" t="s">
        <v>800</v>
      </c>
      <c r="M343" s="5">
        <v>45323</v>
      </c>
      <c r="O343">
        <v>3</v>
      </c>
      <c r="P343">
        <v>51.72</v>
      </c>
      <c r="Q343">
        <v>67.239999999999995</v>
      </c>
      <c r="R343">
        <v>0.15</v>
      </c>
      <c r="S343">
        <v>171.46</v>
      </c>
      <c r="T343" t="s">
        <v>845</v>
      </c>
      <c r="U343">
        <v>155.16</v>
      </c>
      <c r="V343">
        <v>16.3</v>
      </c>
    </row>
    <row r="344" spans="1:22" x14ac:dyDescent="0.35">
      <c r="A344" t="s">
        <v>1633</v>
      </c>
      <c r="B344" t="s">
        <v>1634</v>
      </c>
      <c r="C344" t="s">
        <v>230</v>
      </c>
      <c r="D344" t="s">
        <v>231</v>
      </c>
      <c r="E344" t="s">
        <v>637</v>
      </c>
      <c r="F344" t="s">
        <v>235</v>
      </c>
      <c r="G344" t="s">
        <v>14</v>
      </c>
      <c r="H344" t="s">
        <v>38</v>
      </c>
      <c r="I344" t="s">
        <v>109</v>
      </c>
      <c r="J344" t="s">
        <v>798</v>
      </c>
      <c r="K344" t="s">
        <v>799</v>
      </c>
      <c r="L344" t="s">
        <v>842</v>
      </c>
      <c r="M344" s="5">
        <v>46019</v>
      </c>
      <c r="N344" s="5">
        <v>46017</v>
      </c>
      <c r="O344">
        <v>10</v>
      </c>
      <c r="P344">
        <v>29.32</v>
      </c>
      <c r="Q344">
        <v>36.65</v>
      </c>
      <c r="R344">
        <v>0</v>
      </c>
      <c r="S344">
        <v>366.5</v>
      </c>
      <c r="T344" t="s">
        <v>876</v>
      </c>
      <c r="U344">
        <v>293.2</v>
      </c>
      <c r="V344">
        <v>73.3</v>
      </c>
    </row>
    <row r="345" spans="1:22" x14ac:dyDescent="0.35">
      <c r="A345" t="s">
        <v>1635</v>
      </c>
      <c r="B345" t="s">
        <v>1597</v>
      </c>
      <c r="C345" t="s">
        <v>528</v>
      </c>
      <c r="D345" t="s">
        <v>433</v>
      </c>
      <c r="E345" t="s">
        <v>627</v>
      </c>
      <c r="F345" t="s">
        <v>264</v>
      </c>
      <c r="G345" t="s">
        <v>20</v>
      </c>
      <c r="H345" t="s">
        <v>14</v>
      </c>
      <c r="I345" t="s">
        <v>186</v>
      </c>
      <c r="J345" t="s">
        <v>786</v>
      </c>
      <c r="K345" t="s">
        <v>787</v>
      </c>
      <c r="L345" t="s">
        <v>800</v>
      </c>
      <c r="M345" s="5">
        <v>46020</v>
      </c>
      <c r="O345">
        <v>3</v>
      </c>
      <c r="P345">
        <v>28.32</v>
      </c>
      <c r="Q345">
        <v>35.4</v>
      </c>
      <c r="R345">
        <v>0.15</v>
      </c>
      <c r="S345">
        <v>90.27</v>
      </c>
      <c r="T345" t="s">
        <v>829</v>
      </c>
      <c r="U345">
        <v>84.96</v>
      </c>
      <c r="V345">
        <v>5.31</v>
      </c>
    </row>
    <row r="346" spans="1:22" x14ac:dyDescent="0.35">
      <c r="A346" t="s">
        <v>1636</v>
      </c>
      <c r="B346" t="s">
        <v>1637</v>
      </c>
      <c r="C346" t="s">
        <v>283</v>
      </c>
      <c r="D346" t="s">
        <v>284</v>
      </c>
      <c r="E346" t="s">
        <v>254</v>
      </c>
      <c r="F346" t="s">
        <v>264</v>
      </c>
      <c r="G346" t="s">
        <v>797</v>
      </c>
      <c r="H346" t="s">
        <v>48</v>
      </c>
      <c r="I346" t="s">
        <v>61</v>
      </c>
      <c r="J346" t="s">
        <v>798</v>
      </c>
      <c r="K346" t="s">
        <v>787</v>
      </c>
      <c r="L346" t="s">
        <v>800</v>
      </c>
      <c r="M346" s="5">
        <v>45826</v>
      </c>
      <c r="O346">
        <v>10</v>
      </c>
      <c r="P346">
        <v>26.08</v>
      </c>
      <c r="Q346">
        <v>35.21</v>
      </c>
      <c r="R346">
        <v>0</v>
      </c>
      <c r="S346">
        <v>352.1</v>
      </c>
      <c r="T346" t="s">
        <v>869</v>
      </c>
      <c r="U346">
        <v>260.8</v>
      </c>
      <c r="V346">
        <v>91.3</v>
      </c>
    </row>
    <row r="347" spans="1:22" x14ac:dyDescent="0.35">
      <c r="A347" t="s">
        <v>1639</v>
      </c>
      <c r="B347" t="s">
        <v>1495</v>
      </c>
      <c r="C347" t="s">
        <v>536</v>
      </c>
      <c r="D347" t="s">
        <v>537</v>
      </c>
      <c r="E347" t="s">
        <v>681</v>
      </c>
      <c r="F347" t="s">
        <v>235</v>
      </c>
      <c r="G347" t="s">
        <v>20</v>
      </c>
      <c r="H347" t="s">
        <v>8</v>
      </c>
      <c r="I347" t="s">
        <v>212</v>
      </c>
      <c r="J347" t="s">
        <v>813</v>
      </c>
      <c r="K347" t="s">
        <v>793</v>
      </c>
      <c r="L347" t="s">
        <v>842</v>
      </c>
      <c r="M347" s="5">
        <v>45867</v>
      </c>
      <c r="O347">
        <v>5</v>
      </c>
      <c r="P347">
        <v>95.09</v>
      </c>
      <c r="Q347">
        <v>133.13</v>
      </c>
      <c r="R347">
        <v>0.15</v>
      </c>
      <c r="S347">
        <v>565.79999999999995</v>
      </c>
      <c r="T347" t="s">
        <v>819</v>
      </c>
      <c r="U347">
        <v>475.45</v>
      </c>
      <c r="V347">
        <v>90.35</v>
      </c>
    </row>
    <row r="348" spans="1:22" x14ac:dyDescent="0.35">
      <c r="A348" t="s">
        <v>1640</v>
      </c>
      <c r="B348" t="s">
        <v>976</v>
      </c>
      <c r="C348" t="s">
        <v>588</v>
      </c>
      <c r="D348" t="s">
        <v>435</v>
      </c>
      <c r="E348" t="s">
        <v>674</v>
      </c>
      <c r="F348" t="s">
        <v>264</v>
      </c>
      <c r="G348" t="s">
        <v>20</v>
      </c>
      <c r="H348" t="s">
        <v>20</v>
      </c>
      <c r="I348" t="s">
        <v>197</v>
      </c>
      <c r="J348" t="s">
        <v>786</v>
      </c>
      <c r="K348" t="s">
        <v>793</v>
      </c>
      <c r="L348" t="s">
        <v>800</v>
      </c>
      <c r="M348" s="5">
        <v>46061</v>
      </c>
      <c r="O348">
        <v>3</v>
      </c>
      <c r="P348">
        <v>22.45</v>
      </c>
      <c r="Q348">
        <v>29.18</v>
      </c>
      <c r="R348">
        <v>0.1</v>
      </c>
      <c r="S348">
        <v>78.790000000000006</v>
      </c>
      <c r="T348" t="s">
        <v>825</v>
      </c>
      <c r="U348">
        <v>67.349999999999994</v>
      </c>
      <c r="V348">
        <v>11.44</v>
      </c>
    </row>
    <row r="349" spans="1:22" x14ac:dyDescent="0.35">
      <c r="A349" t="s">
        <v>1641</v>
      </c>
      <c r="B349" t="s">
        <v>1004</v>
      </c>
      <c r="C349" t="s">
        <v>283</v>
      </c>
      <c r="D349" t="s">
        <v>284</v>
      </c>
      <c r="E349" t="s">
        <v>254</v>
      </c>
      <c r="F349" t="s">
        <v>264</v>
      </c>
      <c r="G349" t="s">
        <v>797</v>
      </c>
      <c r="H349" t="s">
        <v>43</v>
      </c>
      <c r="I349" t="s">
        <v>200</v>
      </c>
      <c r="J349" t="s">
        <v>798</v>
      </c>
      <c r="K349" t="s">
        <v>799</v>
      </c>
      <c r="L349" t="s">
        <v>842</v>
      </c>
      <c r="M349" s="5">
        <v>45732</v>
      </c>
      <c r="N349" s="5">
        <v>45734</v>
      </c>
      <c r="O349">
        <v>12</v>
      </c>
      <c r="P349">
        <v>69.23</v>
      </c>
      <c r="Q349">
        <v>86.54</v>
      </c>
      <c r="R349">
        <v>0.05</v>
      </c>
      <c r="S349">
        <v>986.56</v>
      </c>
      <c r="T349" t="s">
        <v>1001</v>
      </c>
      <c r="U349">
        <v>830.76</v>
      </c>
      <c r="V349">
        <v>155.80000000000001</v>
      </c>
    </row>
    <row r="350" spans="1:22" x14ac:dyDescent="0.35">
      <c r="A350" t="s">
        <v>1644</v>
      </c>
      <c r="B350" t="s">
        <v>1645</v>
      </c>
      <c r="C350" t="s">
        <v>419</v>
      </c>
      <c r="D350" t="s">
        <v>420</v>
      </c>
      <c r="E350" t="s">
        <v>696</v>
      </c>
      <c r="F350" t="s">
        <v>243</v>
      </c>
      <c r="G350" t="s">
        <v>14</v>
      </c>
      <c r="H350" t="s">
        <v>8</v>
      </c>
      <c r="I350" t="s">
        <v>21</v>
      </c>
      <c r="J350" t="s">
        <v>786</v>
      </c>
      <c r="K350" t="s">
        <v>822</v>
      </c>
      <c r="L350" t="s">
        <v>842</v>
      </c>
      <c r="M350" s="5">
        <v>46000</v>
      </c>
      <c r="N350" s="5">
        <v>45988</v>
      </c>
      <c r="O350">
        <v>10</v>
      </c>
      <c r="P350">
        <v>21.57</v>
      </c>
      <c r="Q350">
        <v>26.96</v>
      </c>
      <c r="R350">
        <v>0</v>
      </c>
      <c r="S350">
        <v>269.60000000000002</v>
      </c>
      <c r="T350" t="s">
        <v>845</v>
      </c>
      <c r="U350">
        <v>215.7</v>
      </c>
      <c r="V350">
        <v>53.9</v>
      </c>
    </row>
    <row r="351" spans="1:22" x14ac:dyDescent="0.35">
      <c r="A351" t="s">
        <v>1646</v>
      </c>
      <c r="B351" t="s">
        <v>1580</v>
      </c>
      <c r="C351" t="s">
        <v>366</v>
      </c>
      <c r="D351" t="s">
        <v>245</v>
      </c>
      <c r="E351" t="s">
        <v>633</v>
      </c>
      <c r="F351" t="s">
        <v>243</v>
      </c>
      <c r="G351" t="s">
        <v>48</v>
      </c>
      <c r="H351" t="s">
        <v>38</v>
      </c>
      <c r="I351" t="s">
        <v>126</v>
      </c>
      <c r="J351" t="s">
        <v>813</v>
      </c>
      <c r="K351" t="s">
        <v>787</v>
      </c>
      <c r="L351" t="s">
        <v>842</v>
      </c>
      <c r="M351" s="5">
        <v>45377</v>
      </c>
      <c r="O351">
        <v>1</v>
      </c>
      <c r="P351">
        <v>41.95</v>
      </c>
      <c r="Q351">
        <v>58.73</v>
      </c>
      <c r="R351">
        <v>0.15</v>
      </c>
      <c r="S351">
        <v>49.92</v>
      </c>
      <c r="T351" t="s">
        <v>888</v>
      </c>
      <c r="U351">
        <v>41.95</v>
      </c>
      <c r="V351">
        <v>7.97</v>
      </c>
    </row>
    <row r="352" spans="1:22" x14ac:dyDescent="0.35">
      <c r="A352" t="s">
        <v>1648</v>
      </c>
      <c r="B352" t="s">
        <v>1457</v>
      </c>
      <c r="C352" t="s">
        <v>377</v>
      </c>
      <c r="D352" t="s">
        <v>378</v>
      </c>
      <c r="E352" t="s">
        <v>627</v>
      </c>
      <c r="F352" t="s">
        <v>243</v>
      </c>
      <c r="G352" t="s">
        <v>48</v>
      </c>
      <c r="H352" t="s">
        <v>14</v>
      </c>
      <c r="I352" t="s">
        <v>209</v>
      </c>
      <c r="J352" t="s">
        <v>813</v>
      </c>
      <c r="K352" t="s">
        <v>793</v>
      </c>
      <c r="L352" t="s">
        <v>788</v>
      </c>
      <c r="M352" s="5">
        <v>45803</v>
      </c>
      <c r="O352">
        <v>20</v>
      </c>
      <c r="P352">
        <v>24.18</v>
      </c>
      <c r="Q352">
        <v>33.85</v>
      </c>
      <c r="R352">
        <v>0.05</v>
      </c>
      <c r="S352">
        <v>643.15</v>
      </c>
      <c r="T352" t="s">
        <v>814</v>
      </c>
      <c r="U352">
        <v>483.6</v>
      </c>
      <c r="V352">
        <v>159.55000000000001</v>
      </c>
    </row>
    <row r="353" spans="1:22" x14ac:dyDescent="0.35">
      <c r="A353" t="s">
        <v>1650</v>
      </c>
      <c r="B353" t="s">
        <v>912</v>
      </c>
      <c r="C353" t="s">
        <v>601</v>
      </c>
      <c r="D353" t="s">
        <v>602</v>
      </c>
      <c r="E353" t="s">
        <v>681</v>
      </c>
      <c r="F353" t="s">
        <v>235</v>
      </c>
      <c r="G353" t="s">
        <v>797</v>
      </c>
      <c r="H353" t="s">
        <v>38</v>
      </c>
      <c r="I353" t="s">
        <v>109</v>
      </c>
      <c r="J353" t="s">
        <v>813</v>
      </c>
      <c r="K353" t="s">
        <v>787</v>
      </c>
      <c r="L353" t="s">
        <v>788</v>
      </c>
      <c r="M353" s="5">
        <v>45725</v>
      </c>
      <c r="O353">
        <v>2</v>
      </c>
      <c r="P353">
        <v>29.32</v>
      </c>
      <c r="Q353">
        <v>36.65</v>
      </c>
      <c r="R353">
        <v>0.1</v>
      </c>
      <c r="S353">
        <v>65.97</v>
      </c>
      <c r="T353" t="s">
        <v>869</v>
      </c>
      <c r="U353">
        <v>58.64</v>
      </c>
      <c r="V353">
        <v>7.33</v>
      </c>
    </row>
    <row r="354" spans="1:22" x14ac:dyDescent="0.35">
      <c r="A354" t="s">
        <v>1651</v>
      </c>
      <c r="B354" t="s">
        <v>1558</v>
      </c>
      <c r="C354" t="s">
        <v>545</v>
      </c>
      <c r="D354" t="s">
        <v>546</v>
      </c>
      <c r="E354" t="s">
        <v>633</v>
      </c>
      <c r="F354" t="s">
        <v>235</v>
      </c>
      <c r="G354" t="s">
        <v>14</v>
      </c>
      <c r="H354" t="s">
        <v>20</v>
      </c>
      <c r="I354" t="s">
        <v>51</v>
      </c>
      <c r="J354" t="s">
        <v>786</v>
      </c>
      <c r="K354" t="s">
        <v>799</v>
      </c>
      <c r="L354" t="s">
        <v>818</v>
      </c>
      <c r="M354" s="5">
        <v>45649</v>
      </c>
      <c r="N354" s="5">
        <v>45645</v>
      </c>
      <c r="O354">
        <v>2</v>
      </c>
      <c r="P354">
        <v>11.28</v>
      </c>
      <c r="Q354">
        <v>15.23</v>
      </c>
      <c r="R354">
        <v>0.05</v>
      </c>
      <c r="S354">
        <v>28.94</v>
      </c>
      <c r="T354" t="s">
        <v>859</v>
      </c>
      <c r="U354">
        <v>22.56</v>
      </c>
      <c r="V354">
        <v>6.38</v>
      </c>
    </row>
    <row r="355" spans="1:22" x14ac:dyDescent="0.35">
      <c r="A355" t="s">
        <v>1652</v>
      </c>
      <c r="B355" t="s">
        <v>957</v>
      </c>
      <c r="C355" t="s">
        <v>362</v>
      </c>
      <c r="D355" t="s">
        <v>363</v>
      </c>
      <c r="E355" t="s">
        <v>637</v>
      </c>
      <c r="F355" t="s">
        <v>235</v>
      </c>
      <c r="G355" t="s">
        <v>797</v>
      </c>
      <c r="H355" t="s">
        <v>20</v>
      </c>
      <c r="I355" t="s">
        <v>159</v>
      </c>
      <c r="J355" t="s">
        <v>798</v>
      </c>
      <c r="K355" t="s">
        <v>817</v>
      </c>
      <c r="L355" t="s">
        <v>842</v>
      </c>
      <c r="M355" s="5">
        <v>45434</v>
      </c>
      <c r="O355">
        <v>3</v>
      </c>
      <c r="P355">
        <v>8.2200000000000006</v>
      </c>
      <c r="Q355">
        <v>11.1</v>
      </c>
      <c r="R355">
        <v>0</v>
      </c>
      <c r="S355">
        <v>33.299999999999997</v>
      </c>
      <c r="T355" t="s">
        <v>814</v>
      </c>
      <c r="U355">
        <v>24.66</v>
      </c>
      <c r="V355">
        <v>8.64</v>
      </c>
    </row>
    <row r="356" spans="1:22" x14ac:dyDescent="0.35">
      <c r="A356" t="s">
        <v>1654</v>
      </c>
      <c r="B356" t="s">
        <v>1447</v>
      </c>
      <c r="C356" t="s">
        <v>359</v>
      </c>
      <c r="D356" t="s">
        <v>360</v>
      </c>
      <c r="E356" t="s">
        <v>627</v>
      </c>
      <c r="F356" t="s">
        <v>235</v>
      </c>
      <c r="G356" t="s">
        <v>48</v>
      </c>
      <c r="H356" t="s">
        <v>8</v>
      </c>
      <c r="I356" t="s">
        <v>204</v>
      </c>
      <c r="J356" t="s">
        <v>798</v>
      </c>
      <c r="K356" t="s">
        <v>793</v>
      </c>
      <c r="L356" t="s">
        <v>788</v>
      </c>
      <c r="M356" s="5">
        <v>45590</v>
      </c>
      <c r="O356">
        <v>10</v>
      </c>
      <c r="P356">
        <v>28.27</v>
      </c>
      <c r="Q356">
        <v>40.99</v>
      </c>
      <c r="R356">
        <v>0.15</v>
      </c>
      <c r="S356">
        <v>348.42</v>
      </c>
      <c r="T356" t="s">
        <v>1001</v>
      </c>
      <c r="U356">
        <v>282.7</v>
      </c>
      <c r="V356">
        <v>65.72</v>
      </c>
    </row>
    <row r="357" spans="1:22" x14ac:dyDescent="0.35">
      <c r="A357" t="s">
        <v>1655</v>
      </c>
      <c r="B357" t="s">
        <v>1656</v>
      </c>
      <c r="C357" t="s">
        <v>358</v>
      </c>
      <c r="D357" t="s">
        <v>287</v>
      </c>
      <c r="E357" t="s">
        <v>674</v>
      </c>
      <c r="F357" t="s">
        <v>243</v>
      </c>
      <c r="G357" t="s">
        <v>797</v>
      </c>
      <c r="H357" t="s">
        <v>29</v>
      </c>
      <c r="I357" t="s">
        <v>158</v>
      </c>
      <c r="J357" t="s">
        <v>786</v>
      </c>
      <c r="K357" t="s">
        <v>799</v>
      </c>
      <c r="L357" t="s">
        <v>818</v>
      </c>
      <c r="M357" s="5">
        <v>45988</v>
      </c>
      <c r="N357" s="5">
        <v>45977</v>
      </c>
      <c r="O357">
        <v>10</v>
      </c>
      <c r="P357">
        <v>25.8</v>
      </c>
      <c r="Q357">
        <v>36.119999999999997</v>
      </c>
      <c r="R357">
        <v>0</v>
      </c>
      <c r="S357">
        <v>361.2</v>
      </c>
      <c r="T357" t="s">
        <v>814</v>
      </c>
      <c r="U357">
        <v>258</v>
      </c>
      <c r="V357">
        <v>103.2</v>
      </c>
    </row>
    <row r="358" spans="1:22" x14ac:dyDescent="0.35">
      <c r="A358" t="s">
        <v>1658</v>
      </c>
      <c r="B358" t="s">
        <v>1659</v>
      </c>
      <c r="C358" t="s">
        <v>590</v>
      </c>
      <c r="D358" t="s">
        <v>591</v>
      </c>
      <c r="E358" t="s">
        <v>254</v>
      </c>
      <c r="F358" t="s">
        <v>235</v>
      </c>
      <c r="G358" t="s">
        <v>14</v>
      </c>
      <c r="H358" t="s">
        <v>29</v>
      </c>
      <c r="I358" t="s">
        <v>27</v>
      </c>
      <c r="J358" t="s">
        <v>786</v>
      </c>
      <c r="K358" t="s">
        <v>787</v>
      </c>
      <c r="L358" t="s">
        <v>818</v>
      </c>
      <c r="M358" s="5">
        <v>45516</v>
      </c>
      <c r="O358">
        <v>3</v>
      </c>
      <c r="P358">
        <v>33.06</v>
      </c>
      <c r="Q358">
        <v>47.94</v>
      </c>
      <c r="R358">
        <v>0.1</v>
      </c>
      <c r="S358">
        <v>129.44</v>
      </c>
      <c r="T358" t="s">
        <v>810</v>
      </c>
      <c r="U358">
        <v>99.18</v>
      </c>
      <c r="V358">
        <v>30.26</v>
      </c>
    </row>
    <row r="359" spans="1:22" x14ac:dyDescent="0.35">
      <c r="A359" t="s">
        <v>1660</v>
      </c>
      <c r="B359" t="s">
        <v>1608</v>
      </c>
      <c r="C359" t="s">
        <v>337</v>
      </c>
      <c r="D359" t="s">
        <v>338</v>
      </c>
      <c r="E359" t="s">
        <v>254</v>
      </c>
      <c r="F359" t="s">
        <v>243</v>
      </c>
      <c r="G359" t="s">
        <v>797</v>
      </c>
      <c r="H359" t="s">
        <v>8</v>
      </c>
      <c r="I359" t="s">
        <v>73</v>
      </c>
      <c r="J359" t="s">
        <v>798</v>
      </c>
      <c r="K359" t="s">
        <v>787</v>
      </c>
      <c r="L359" t="s">
        <v>818</v>
      </c>
      <c r="M359" s="5">
        <v>45845</v>
      </c>
      <c r="O359">
        <v>1</v>
      </c>
      <c r="P359">
        <v>67.95</v>
      </c>
      <c r="Q359">
        <v>88.34</v>
      </c>
      <c r="R359">
        <v>0</v>
      </c>
      <c r="S359">
        <v>88.34</v>
      </c>
      <c r="T359" t="s">
        <v>888</v>
      </c>
      <c r="U359">
        <v>67.95</v>
      </c>
      <c r="V359">
        <v>20.39</v>
      </c>
    </row>
    <row r="360" spans="1:22" x14ac:dyDescent="0.35">
      <c r="A360" t="s">
        <v>1661</v>
      </c>
      <c r="B360" t="s">
        <v>1461</v>
      </c>
      <c r="C360" t="s">
        <v>513</v>
      </c>
      <c r="D360" t="s">
        <v>514</v>
      </c>
      <c r="E360" t="s">
        <v>633</v>
      </c>
      <c r="F360" t="s">
        <v>264</v>
      </c>
      <c r="G360" t="s">
        <v>14</v>
      </c>
      <c r="H360" t="s">
        <v>8</v>
      </c>
      <c r="I360" t="s">
        <v>181</v>
      </c>
      <c r="J360" t="s">
        <v>798</v>
      </c>
      <c r="K360" t="s">
        <v>822</v>
      </c>
      <c r="L360" t="s">
        <v>788</v>
      </c>
      <c r="M360" s="5">
        <v>45303</v>
      </c>
      <c r="N360" s="5">
        <v>45302</v>
      </c>
      <c r="O360">
        <v>12</v>
      </c>
      <c r="P360">
        <v>20.49</v>
      </c>
      <c r="Q360">
        <v>29.71</v>
      </c>
      <c r="R360">
        <v>0.1</v>
      </c>
      <c r="S360">
        <v>320.87</v>
      </c>
      <c r="T360" t="s">
        <v>845</v>
      </c>
      <c r="U360">
        <v>245.88</v>
      </c>
      <c r="V360">
        <v>74.989999999999995</v>
      </c>
    </row>
    <row r="361" spans="1:22" x14ac:dyDescent="0.35">
      <c r="A361" t="s">
        <v>1663</v>
      </c>
      <c r="B361" t="s">
        <v>925</v>
      </c>
      <c r="C361" t="s">
        <v>599</v>
      </c>
      <c r="D361" t="s">
        <v>600</v>
      </c>
      <c r="E361" t="s">
        <v>696</v>
      </c>
      <c r="F361" t="s">
        <v>243</v>
      </c>
      <c r="G361" t="s">
        <v>48</v>
      </c>
      <c r="H361" t="s">
        <v>79</v>
      </c>
      <c r="I361" t="s">
        <v>88</v>
      </c>
      <c r="J361" t="s">
        <v>813</v>
      </c>
      <c r="K361" t="s">
        <v>799</v>
      </c>
      <c r="L361" t="s">
        <v>800</v>
      </c>
      <c r="M361" s="5">
        <v>46000</v>
      </c>
      <c r="N361" s="5">
        <v>46007</v>
      </c>
      <c r="O361">
        <v>2</v>
      </c>
      <c r="P361">
        <v>11.82</v>
      </c>
      <c r="Q361">
        <v>17.14</v>
      </c>
      <c r="R361">
        <v>0</v>
      </c>
      <c r="S361">
        <v>34.28</v>
      </c>
      <c r="T361" t="s">
        <v>935</v>
      </c>
      <c r="U361">
        <v>23.64</v>
      </c>
      <c r="V361">
        <v>10.64</v>
      </c>
    </row>
    <row r="362" spans="1:22" x14ac:dyDescent="0.35">
      <c r="A362" t="s">
        <v>1664</v>
      </c>
      <c r="B362" t="s">
        <v>1665</v>
      </c>
      <c r="C362" t="s">
        <v>449</v>
      </c>
      <c r="D362" t="s">
        <v>450</v>
      </c>
      <c r="E362" t="s">
        <v>254</v>
      </c>
      <c r="F362" t="s">
        <v>235</v>
      </c>
      <c r="G362" t="s">
        <v>797</v>
      </c>
      <c r="H362" t="s">
        <v>38</v>
      </c>
      <c r="I362" t="s">
        <v>126</v>
      </c>
      <c r="J362" t="s">
        <v>798</v>
      </c>
      <c r="K362" t="s">
        <v>793</v>
      </c>
      <c r="L362" t="s">
        <v>788</v>
      </c>
      <c r="M362" s="5">
        <v>45524</v>
      </c>
      <c r="O362">
        <v>1</v>
      </c>
      <c r="P362">
        <v>41.95</v>
      </c>
      <c r="Q362">
        <v>58.73</v>
      </c>
      <c r="R362">
        <v>0</v>
      </c>
      <c r="S362">
        <v>58.73</v>
      </c>
      <c r="T362" t="s">
        <v>963</v>
      </c>
      <c r="U362">
        <v>41.95</v>
      </c>
      <c r="V362">
        <v>16.78</v>
      </c>
    </row>
    <row r="363" spans="1:22" x14ac:dyDescent="0.35">
      <c r="A363" t="s">
        <v>1666</v>
      </c>
      <c r="B363" t="s">
        <v>1667</v>
      </c>
      <c r="C363" t="s">
        <v>527</v>
      </c>
      <c r="D363" t="s">
        <v>282</v>
      </c>
      <c r="E363" t="s">
        <v>637</v>
      </c>
      <c r="F363" t="s">
        <v>235</v>
      </c>
      <c r="G363" t="s">
        <v>797</v>
      </c>
      <c r="H363" t="s">
        <v>20</v>
      </c>
      <c r="I363" t="s">
        <v>134</v>
      </c>
      <c r="J363" t="s">
        <v>798</v>
      </c>
      <c r="K363" t="s">
        <v>787</v>
      </c>
      <c r="L363" t="s">
        <v>818</v>
      </c>
      <c r="M363" s="5">
        <v>45322</v>
      </c>
      <c r="O363">
        <v>20</v>
      </c>
      <c r="P363">
        <v>38.36</v>
      </c>
      <c r="Q363">
        <v>53.7</v>
      </c>
      <c r="R363">
        <v>0</v>
      </c>
      <c r="S363">
        <v>1074</v>
      </c>
      <c r="T363" t="s">
        <v>819</v>
      </c>
      <c r="U363">
        <v>767.2</v>
      </c>
      <c r="V363">
        <v>306.8</v>
      </c>
    </row>
    <row r="364" spans="1:22" x14ac:dyDescent="0.35">
      <c r="A364" t="s">
        <v>1668</v>
      </c>
      <c r="B364" t="s">
        <v>1669</v>
      </c>
      <c r="C364" t="s">
        <v>554</v>
      </c>
      <c r="D364" t="s">
        <v>445</v>
      </c>
      <c r="E364" t="s">
        <v>627</v>
      </c>
      <c r="F364" t="s">
        <v>235</v>
      </c>
      <c r="G364" t="s">
        <v>48</v>
      </c>
      <c r="H364" t="s">
        <v>20</v>
      </c>
      <c r="I364" t="s">
        <v>159</v>
      </c>
      <c r="J364" t="s">
        <v>786</v>
      </c>
      <c r="K364" t="s">
        <v>793</v>
      </c>
      <c r="L364" t="s">
        <v>788</v>
      </c>
      <c r="M364" s="5">
        <v>45631</v>
      </c>
      <c r="O364">
        <v>20</v>
      </c>
      <c r="P364">
        <v>8.2200000000000006</v>
      </c>
      <c r="Q364">
        <v>11.1</v>
      </c>
      <c r="R364">
        <v>0.15</v>
      </c>
      <c r="S364">
        <v>188.7</v>
      </c>
      <c r="T364" t="s">
        <v>876</v>
      </c>
      <c r="U364">
        <v>164.4</v>
      </c>
      <c r="V364">
        <v>24.3</v>
      </c>
    </row>
    <row r="365" spans="1:22" x14ac:dyDescent="0.35">
      <c r="A365" t="s">
        <v>1671</v>
      </c>
      <c r="B365" t="s">
        <v>1672</v>
      </c>
      <c r="C365" t="s">
        <v>455</v>
      </c>
      <c r="D365" t="s">
        <v>456</v>
      </c>
      <c r="E365" t="s">
        <v>254</v>
      </c>
      <c r="F365" t="s">
        <v>264</v>
      </c>
      <c r="G365" t="s">
        <v>797</v>
      </c>
      <c r="H365" t="s">
        <v>43</v>
      </c>
      <c r="I365" t="s">
        <v>44</v>
      </c>
      <c r="J365" t="s">
        <v>798</v>
      </c>
      <c r="K365" t="s">
        <v>817</v>
      </c>
      <c r="L365" t="s">
        <v>842</v>
      </c>
      <c r="M365" s="5">
        <v>45677</v>
      </c>
      <c r="O365">
        <v>12</v>
      </c>
      <c r="P365">
        <v>14.05</v>
      </c>
      <c r="Q365">
        <v>19.670000000000002</v>
      </c>
      <c r="R365">
        <v>0</v>
      </c>
      <c r="S365">
        <v>236.04</v>
      </c>
      <c r="T365" t="s">
        <v>845</v>
      </c>
      <c r="U365">
        <v>168.6</v>
      </c>
      <c r="V365">
        <v>67.44</v>
      </c>
    </row>
    <row r="366" spans="1:22" x14ac:dyDescent="0.35">
      <c r="A366" t="s">
        <v>1673</v>
      </c>
      <c r="B366" t="s">
        <v>1576</v>
      </c>
      <c r="C366" t="s">
        <v>487</v>
      </c>
      <c r="D366" t="s">
        <v>488</v>
      </c>
      <c r="E366" t="s">
        <v>633</v>
      </c>
      <c r="F366" t="s">
        <v>243</v>
      </c>
      <c r="G366" t="s">
        <v>797</v>
      </c>
      <c r="H366" t="s">
        <v>20</v>
      </c>
      <c r="I366" t="s">
        <v>119</v>
      </c>
      <c r="J366" t="s">
        <v>798</v>
      </c>
      <c r="K366" t="s">
        <v>822</v>
      </c>
      <c r="L366" t="s">
        <v>818</v>
      </c>
      <c r="M366" s="5">
        <v>46058</v>
      </c>
      <c r="N366" s="5">
        <v>46061</v>
      </c>
      <c r="O366">
        <v>20</v>
      </c>
      <c r="P366">
        <v>40.94</v>
      </c>
      <c r="Q366">
        <v>53.22</v>
      </c>
      <c r="R366">
        <v>0</v>
      </c>
      <c r="S366">
        <v>1064.4000000000001</v>
      </c>
      <c r="T366" t="s">
        <v>803</v>
      </c>
      <c r="U366">
        <v>818.8</v>
      </c>
      <c r="V366">
        <v>245.6</v>
      </c>
    </row>
    <row r="367" spans="1:22" x14ac:dyDescent="0.35">
      <c r="A367" t="s">
        <v>1674</v>
      </c>
      <c r="B367" t="s">
        <v>1623</v>
      </c>
      <c r="C367" t="s">
        <v>379</v>
      </c>
      <c r="D367" t="s">
        <v>380</v>
      </c>
      <c r="E367" t="s">
        <v>633</v>
      </c>
      <c r="F367" t="s">
        <v>264</v>
      </c>
      <c r="G367" t="s">
        <v>14</v>
      </c>
      <c r="H367" t="s">
        <v>20</v>
      </c>
      <c r="I367" t="s">
        <v>34</v>
      </c>
      <c r="J367" t="s">
        <v>786</v>
      </c>
      <c r="K367" t="s">
        <v>817</v>
      </c>
      <c r="L367" t="s">
        <v>842</v>
      </c>
      <c r="M367" s="5">
        <v>45394</v>
      </c>
      <c r="O367">
        <v>5</v>
      </c>
      <c r="P367">
        <v>28.02</v>
      </c>
      <c r="Q367">
        <v>36.43</v>
      </c>
      <c r="R367">
        <v>0.1</v>
      </c>
      <c r="S367">
        <v>163.94</v>
      </c>
      <c r="T367" t="s">
        <v>935</v>
      </c>
      <c r="U367">
        <v>140.1</v>
      </c>
      <c r="V367">
        <v>23.84</v>
      </c>
    </row>
    <row r="368" spans="1:22" x14ac:dyDescent="0.35">
      <c r="A368" t="s">
        <v>1675</v>
      </c>
      <c r="B368" t="s">
        <v>868</v>
      </c>
      <c r="C368" t="s">
        <v>471</v>
      </c>
      <c r="D368" t="s">
        <v>472</v>
      </c>
      <c r="E368" t="s">
        <v>681</v>
      </c>
      <c r="F368" t="s">
        <v>235</v>
      </c>
      <c r="G368" t="s">
        <v>48</v>
      </c>
      <c r="H368" t="s">
        <v>29</v>
      </c>
      <c r="I368" t="s">
        <v>49</v>
      </c>
      <c r="J368" t="s">
        <v>798</v>
      </c>
      <c r="K368" t="s">
        <v>799</v>
      </c>
      <c r="L368" t="s">
        <v>788</v>
      </c>
      <c r="M368" s="5">
        <v>45389</v>
      </c>
      <c r="N368" s="5">
        <v>45389</v>
      </c>
      <c r="O368">
        <v>5</v>
      </c>
      <c r="P368">
        <v>14.89</v>
      </c>
      <c r="Q368">
        <v>20.85</v>
      </c>
      <c r="R368">
        <v>0</v>
      </c>
      <c r="S368">
        <v>104.25</v>
      </c>
      <c r="T368" t="s">
        <v>810</v>
      </c>
      <c r="U368">
        <v>74.45</v>
      </c>
      <c r="V368">
        <v>29.8</v>
      </c>
    </row>
    <row r="369" spans="1:22" x14ac:dyDescent="0.35">
      <c r="A369" t="s">
        <v>1676</v>
      </c>
      <c r="B369" t="s">
        <v>1295</v>
      </c>
      <c r="C369" t="s">
        <v>506</v>
      </c>
      <c r="D369" t="s">
        <v>287</v>
      </c>
      <c r="E369" t="s">
        <v>254</v>
      </c>
      <c r="F369" t="s">
        <v>243</v>
      </c>
      <c r="G369" t="s">
        <v>20</v>
      </c>
      <c r="H369" t="s">
        <v>29</v>
      </c>
      <c r="I369" t="s">
        <v>32</v>
      </c>
      <c r="J369" t="s">
        <v>798</v>
      </c>
      <c r="K369" t="s">
        <v>799</v>
      </c>
      <c r="L369" t="s">
        <v>818</v>
      </c>
      <c r="M369" s="5">
        <v>45595</v>
      </c>
      <c r="N369" s="5">
        <v>45592</v>
      </c>
      <c r="O369">
        <v>20</v>
      </c>
      <c r="P369">
        <v>18.989999999999998</v>
      </c>
      <c r="Q369">
        <v>25.64</v>
      </c>
      <c r="R369">
        <v>0.1</v>
      </c>
      <c r="S369">
        <v>461.52</v>
      </c>
      <c r="T369" t="s">
        <v>845</v>
      </c>
      <c r="U369">
        <v>379.8</v>
      </c>
      <c r="V369">
        <v>81.72</v>
      </c>
    </row>
    <row r="370" spans="1:22" x14ac:dyDescent="0.35">
      <c r="A370" t="s">
        <v>1678</v>
      </c>
      <c r="B370" t="s">
        <v>809</v>
      </c>
      <c r="C370" t="s">
        <v>354</v>
      </c>
      <c r="D370" t="s">
        <v>321</v>
      </c>
      <c r="E370" t="s">
        <v>633</v>
      </c>
      <c r="F370" t="s">
        <v>243</v>
      </c>
      <c r="G370" t="s">
        <v>797</v>
      </c>
      <c r="H370" t="s">
        <v>48</v>
      </c>
      <c r="I370" t="s">
        <v>177</v>
      </c>
      <c r="J370" t="s">
        <v>798</v>
      </c>
      <c r="K370" t="s">
        <v>799</v>
      </c>
      <c r="L370" t="s">
        <v>842</v>
      </c>
      <c r="M370" s="5">
        <v>45326</v>
      </c>
      <c r="N370" s="5">
        <v>45324</v>
      </c>
      <c r="O370">
        <v>3</v>
      </c>
      <c r="P370">
        <v>41.79</v>
      </c>
      <c r="Q370">
        <v>60.6</v>
      </c>
      <c r="R370">
        <v>0.15</v>
      </c>
      <c r="S370">
        <v>154.53</v>
      </c>
      <c r="T370" t="s">
        <v>825</v>
      </c>
      <c r="U370">
        <v>125.37</v>
      </c>
      <c r="V370">
        <v>29.16</v>
      </c>
    </row>
    <row r="371" spans="1:22" x14ac:dyDescent="0.35">
      <c r="A371" t="s">
        <v>1680</v>
      </c>
      <c r="B371" t="s">
        <v>900</v>
      </c>
      <c r="C371" t="s">
        <v>506</v>
      </c>
      <c r="D371" t="s">
        <v>287</v>
      </c>
      <c r="E371" t="s">
        <v>681</v>
      </c>
      <c r="F371" t="s">
        <v>243</v>
      </c>
      <c r="G371" t="s">
        <v>14</v>
      </c>
      <c r="H371" t="s">
        <v>14</v>
      </c>
      <c r="I371" t="s">
        <v>152</v>
      </c>
      <c r="J371" t="s">
        <v>813</v>
      </c>
      <c r="K371" t="s">
        <v>799</v>
      </c>
      <c r="L371" t="s">
        <v>818</v>
      </c>
      <c r="M371" s="5">
        <v>45722</v>
      </c>
      <c r="N371" s="5">
        <v>45725</v>
      </c>
      <c r="O371">
        <v>10</v>
      </c>
      <c r="P371">
        <v>38.549999999999997</v>
      </c>
      <c r="Q371">
        <v>53.97</v>
      </c>
      <c r="R371">
        <v>0</v>
      </c>
      <c r="S371">
        <v>539.70000000000005</v>
      </c>
      <c r="T371" t="s">
        <v>946</v>
      </c>
      <c r="U371">
        <v>385.5</v>
      </c>
      <c r="V371">
        <v>154.19999999999999</v>
      </c>
    </row>
    <row r="372" spans="1:22" x14ac:dyDescent="0.35">
      <c r="A372" t="s">
        <v>1681</v>
      </c>
      <c r="B372" t="s">
        <v>1682</v>
      </c>
      <c r="C372" t="s">
        <v>538</v>
      </c>
      <c r="D372" t="s">
        <v>539</v>
      </c>
      <c r="E372" t="s">
        <v>696</v>
      </c>
      <c r="F372" t="s">
        <v>264</v>
      </c>
      <c r="G372" t="s">
        <v>20</v>
      </c>
      <c r="H372" t="s">
        <v>38</v>
      </c>
      <c r="I372" t="s">
        <v>80</v>
      </c>
      <c r="J372" t="s">
        <v>798</v>
      </c>
      <c r="K372" t="s">
        <v>799</v>
      </c>
      <c r="L372" t="s">
        <v>842</v>
      </c>
      <c r="M372" s="5">
        <v>45894</v>
      </c>
      <c r="N372" s="5">
        <v>45897</v>
      </c>
      <c r="O372">
        <v>3</v>
      </c>
      <c r="P372">
        <v>38.57</v>
      </c>
      <c r="Q372">
        <v>48.21</v>
      </c>
      <c r="R372">
        <v>0</v>
      </c>
      <c r="S372">
        <v>144.63</v>
      </c>
      <c r="T372" t="s">
        <v>892</v>
      </c>
      <c r="U372">
        <v>115.71</v>
      </c>
      <c r="V372">
        <v>28.92</v>
      </c>
    </row>
    <row r="373" spans="1:22" x14ac:dyDescent="0.35">
      <c r="A373" t="s">
        <v>1684</v>
      </c>
      <c r="B373" t="s">
        <v>1685</v>
      </c>
      <c r="C373" t="s">
        <v>358</v>
      </c>
      <c r="D373" t="s">
        <v>287</v>
      </c>
      <c r="E373" t="s">
        <v>627</v>
      </c>
      <c r="F373" t="s">
        <v>243</v>
      </c>
      <c r="G373" t="s">
        <v>797</v>
      </c>
      <c r="H373" t="s">
        <v>8</v>
      </c>
      <c r="I373" t="s">
        <v>101</v>
      </c>
      <c r="J373" t="s">
        <v>798</v>
      </c>
      <c r="K373" t="s">
        <v>799</v>
      </c>
      <c r="L373" t="s">
        <v>788</v>
      </c>
      <c r="M373" s="5">
        <v>45316</v>
      </c>
      <c r="N373" s="5">
        <v>45310</v>
      </c>
      <c r="O373">
        <v>10</v>
      </c>
      <c r="P373">
        <v>16.510000000000002</v>
      </c>
      <c r="Q373">
        <v>23.94</v>
      </c>
      <c r="R373">
        <v>0</v>
      </c>
      <c r="S373">
        <v>239.4</v>
      </c>
      <c r="T373" t="s">
        <v>810</v>
      </c>
      <c r="U373">
        <v>165.1</v>
      </c>
      <c r="V373">
        <v>74.3</v>
      </c>
    </row>
    <row r="374" spans="1:22" x14ac:dyDescent="0.35">
      <c r="A374" t="s">
        <v>1686</v>
      </c>
      <c r="B374" t="s">
        <v>1492</v>
      </c>
      <c r="C374" t="s">
        <v>475</v>
      </c>
      <c r="D374" t="s">
        <v>476</v>
      </c>
      <c r="E374" t="s">
        <v>681</v>
      </c>
      <c r="F374" t="s">
        <v>243</v>
      </c>
      <c r="G374" t="s">
        <v>48</v>
      </c>
      <c r="H374" t="s">
        <v>14</v>
      </c>
      <c r="I374" t="s">
        <v>67</v>
      </c>
      <c r="J374" t="s">
        <v>798</v>
      </c>
      <c r="K374" t="s">
        <v>793</v>
      </c>
      <c r="L374" t="s">
        <v>842</v>
      </c>
      <c r="M374" s="5">
        <v>45578</v>
      </c>
      <c r="O374">
        <v>12</v>
      </c>
      <c r="P374">
        <v>17.63</v>
      </c>
      <c r="Q374">
        <v>22.92</v>
      </c>
      <c r="R374">
        <v>0.1</v>
      </c>
      <c r="S374">
        <v>247.54</v>
      </c>
      <c r="T374" t="s">
        <v>963</v>
      </c>
      <c r="U374">
        <v>211.56</v>
      </c>
      <c r="V374">
        <v>35.979999999999997</v>
      </c>
    </row>
    <row r="375" spans="1:22" x14ac:dyDescent="0.35">
      <c r="A375" t="s">
        <v>1687</v>
      </c>
      <c r="B375" t="s">
        <v>973</v>
      </c>
      <c r="C375" t="s">
        <v>611</v>
      </c>
      <c r="D375" t="s">
        <v>287</v>
      </c>
      <c r="E375" t="s">
        <v>254</v>
      </c>
      <c r="F375" t="s">
        <v>235</v>
      </c>
      <c r="G375" t="s">
        <v>14</v>
      </c>
      <c r="H375" t="s">
        <v>43</v>
      </c>
      <c r="I375" t="s">
        <v>44</v>
      </c>
      <c r="J375" t="s">
        <v>813</v>
      </c>
      <c r="K375" t="s">
        <v>793</v>
      </c>
      <c r="L375" t="s">
        <v>800</v>
      </c>
      <c r="M375" s="5">
        <v>45938</v>
      </c>
      <c r="O375">
        <v>10</v>
      </c>
      <c r="P375">
        <v>14.05</v>
      </c>
      <c r="Q375">
        <v>19.670000000000002</v>
      </c>
      <c r="R375">
        <v>0.15</v>
      </c>
      <c r="S375">
        <v>167.2</v>
      </c>
      <c r="T375" t="s">
        <v>859</v>
      </c>
      <c r="U375">
        <v>140.5</v>
      </c>
      <c r="V375">
        <v>26.7</v>
      </c>
    </row>
    <row r="376" spans="1:22" x14ac:dyDescent="0.35">
      <c r="A376" t="s">
        <v>1688</v>
      </c>
      <c r="B376" t="s">
        <v>1689</v>
      </c>
      <c r="C376" t="s">
        <v>320</v>
      </c>
      <c r="D376" t="s">
        <v>321</v>
      </c>
      <c r="E376" t="s">
        <v>627</v>
      </c>
      <c r="F376" t="s">
        <v>235</v>
      </c>
      <c r="G376" t="s">
        <v>14</v>
      </c>
      <c r="H376" t="s">
        <v>29</v>
      </c>
      <c r="I376" t="s">
        <v>106</v>
      </c>
      <c r="J376" t="s">
        <v>786</v>
      </c>
      <c r="K376" t="s">
        <v>787</v>
      </c>
      <c r="L376" t="s">
        <v>800</v>
      </c>
      <c r="M376" s="5">
        <v>45583</v>
      </c>
      <c r="O376">
        <v>5</v>
      </c>
      <c r="P376">
        <v>29.64</v>
      </c>
      <c r="Q376">
        <v>41.5</v>
      </c>
      <c r="R376">
        <v>0</v>
      </c>
      <c r="S376">
        <v>207.5</v>
      </c>
      <c r="T376" t="s">
        <v>819</v>
      </c>
      <c r="U376">
        <v>148.19999999999999</v>
      </c>
      <c r="V376">
        <v>59.3</v>
      </c>
    </row>
    <row r="377" spans="1:22" x14ac:dyDescent="0.35">
      <c r="A377" t="s">
        <v>1690</v>
      </c>
      <c r="B377" t="s">
        <v>1147</v>
      </c>
      <c r="C377" t="s">
        <v>358</v>
      </c>
      <c r="D377" t="s">
        <v>287</v>
      </c>
      <c r="E377" t="s">
        <v>254</v>
      </c>
      <c r="F377" t="s">
        <v>243</v>
      </c>
      <c r="G377" t="s">
        <v>797</v>
      </c>
      <c r="H377" t="s">
        <v>38</v>
      </c>
      <c r="I377" t="s">
        <v>156</v>
      </c>
      <c r="J377" t="s">
        <v>798</v>
      </c>
      <c r="K377" t="s">
        <v>799</v>
      </c>
      <c r="L377" t="s">
        <v>842</v>
      </c>
      <c r="M377" s="5">
        <v>45720</v>
      </c>
      <c r="N377" s="5">
        <v>45715</v>
      </c>
      <c r="O377">
        <v>12</v>
      </c>
      <c r="P377">
        <v>20.81</v>
      </c>
      <c r="Q377">
        <v>29.13</v>
      </c>
      <c r="R377">
        <v>0.05</v>
      </c>
      <c r="S377">
        <v>332.08</v>
      </c>
      <c r="T377" t="s">
        <v>845</v>
      </c>
      <c r="U377">
        <v>249.72</v>
      </c>
      <c r="V377">
        <v>82.36</v>
      </c>
    </row>
    <row r="378" spans="1:22" x14ac:dyDescent="0.35">
      <c r="A378" t="s">
        <v>1691</v>
      </c>
      <c r="B378" t="s">
        <v>1692</v>
      </c>
      <c r="C378" t="s">
        <v>252</v>
      </c>
      <c r="D378" t="s">
        <v>253</v>
      </c>
      <c r="E378" t="s">
        <v>696</v>
      </c>
      <c r="F378" t="s">
        <v>243</v>
      </c>
      <c r="G378" t="s">
        <v>797</v>
      </c>
      <c r="H378" t="s">
        <v>14</v>
      </c>
      <c r="I378" t="s">
        <v>63</v>
      </c>
      <c r="J378" t="s">
        <v>798</v>
      </c>
      <c r="K378" t="s">
        <v>787</v>
      </c>
      <c r="L378" t="s">
        <v>818</v>
      </c>
      <c r="M378" s="5">
        <v>45418</v>
      </c>
      <c r="O378">
        <v>5</v>
      </c>
      <c r="P378">
        <v>13.03</v>
      </c>
      <c r="Q378">
        <v>16.29</v>
      </c>
      <c r="R378">
        <v>0.1</v>
      </c>
      <c r="S378">
        <v>73.3</v>
      </c>
      <c r="T378" t="s">
        <v>892</v>
      </c>
      <c r="U378">
        <v>65.150000000000006</v>
      </c>
      <c r="V378">
        <v>8.15</v>
      </c>
    </row>
    <row r="379" spans="1:22" x14ac:dyDescent="0.35">
      <c r="A379" t="s">
        <v>1694</v>
      </c>
      <c r="B379" t="s">
        <v>1559</v>
      </c>
      <c r="C379" t="s">
        <v>590</v>
      </c>
      <c r="D379" t="s">
        <v>591</v>
      </c>
      <c r="E379" t="s">
        <v>633</v>
      </c>
      <c r="F379" t="s">
        <v>235</v>
      </c>
      <c r="G379" t="s">
        <v>797</v>
      </c>
      <c r="H379" t="s">
        <v>20</v>
      </c>
      <c r="I379" t="s">
        <v>197</v>
      </c>
      <c r="J379" t="s">
        <v>786</v>
      </c>
      <c r="K379" t="s">
        <v>793</v>
      </c>
      <c r="L379" t="s">
        <v>788</v>
      </c>
      <c r="M379" s="5">
        <v>45656</v>
      </c>
      <c r="O379">
        <v>1</v>
      </c>
      <c r="P379">
        <v>22.45</v>
      </c>
      <c r="Q379">
        <v>29.18</v>
      </c>
      <c r="R379">
        <v>0.15</v>
      </c>
      <c r="S379">
        <v>24.8</v>
      </c>
      <c r="T379" t="s">
        <v>794</v>
      </c>
      <c r="U379">
        <v>22.45</v>
      </c>
      <c r="V379">
        <v>2.35</v>
      </c>
    </row>
    <row r="380" spans="1:22" x14ac:dyDescent="0.35">
      <c r="A380" t="s">
        <v>1695</v>
      </c>
      <c r="B380" t="s">
        <v>1696</v>
      </c>
      <c r="C380" t="s">
        <v>379</v>
      </c>
      <c r="D380" t="s">
        <v>380</v>
      </c>
      <c r="E380" t="s">
        <v>674</v>
      </c>
      <c r="F380" t="s">
        <v>264</v>
      </c>
      <c r="G380" t="s">
        <v>48</v>
      </c>
      <c r="H380" t="s">
        <v>48</v>
      </c>
      <c r="I380" t="s">
        <v>148</v>
      </c>
      <c r="J380" t="s">
        <v>798</v>
      </c>
      <c r="K380" t="s">
        <v>799</v>
      </c>
      <c r="L380" t="s">
        <v>842</v>
      </c>
      <c r="M380" s="5">
        <v>45613</v>
      </c>
      <c r="N380" s="5">
        <v>45614</v>
      </c>
      <c r="O380">
        <v>10</v>
      </c>
      <c r="P380">
        <v>58.01</v>
      </c>
      <c r="Q380">
        <v>72.510000000000005</v>
      </c>
      <c r="R380">
        <v>0</v>
      </c>
      <c r="S380">
        <v>725.1</v>
      </c>
      <c r="T380" t="s">
        <v>839</v>
      </c>
      <c r="U380">
        <v>580.1</v>
      </c>
      <c r="V380">
        <v>145</v>
      </c>
    </row>
    <row r="381" spans="1:22" x14ac:dyDescent="0.35">
      <c r="A381" t="s">
        <v>1697</v>
      </c>
      <c r="B381" t="s">
        <v>1501</v>
      </c>
      <c r="C381" t="s">
        <v>374</v>
      </c>
      <c r="D381" t="s">
        <v>375</v>
      </c>
      <c r="E381" t="s">
        <v>254</v>
      </c>
      <c r="F381" t="s">
        <v>264</v>
      </c>
      <c r="G381" t="s">
        <v>797</v>
      </c>
      <c r="H381" t="s">
        <v>43</v>
      </c>
      <c r="I381" t="s">
        <v>146</v>
      </c>
      <c r="J381" t="s">
        <v>798</v>
      </c>
      <c r="K381" t="s">
        <v>799</v>
      </c>
      <c r="L381" t="s">
        <v>818</v>
      </c>
      <c r="M381" s="5">
        <v>45740</v>
      </c>
      <c r="N381" s="5">
        <v>45734</v>
      </c>
      <c r="O381">
        <v>3</v>
      </c>
      <c r="P381">
        <v>24.05</v>
      </c>
      <c r="Q381">
        <v>31.27</v>
      </c>
      <c r="R381">
        <v>0</v>
      </c>
      <c r="S381">
        <v>93.81</v>
      </c>
      <c r="T381" t="s">
        <v>1017</v>
      </c>
      <c r="U381">
        <v>72.150000000000006</v>
      </c>
      <c r="V381">
        <v>21.66</v>
      </c>
    </row>
    <row r="382" spans="1:22" x14ac:dyDescent="0.35">
      <c r="A382" t="s">
        <v>1698</v>
      </c>
      <c r="B382" t="s">
        <v>1699</v>
      </c>
      <c r="C382" t="s">
        <v>575</v>
      </c>
      <c r="D382" t="s">
        <v>439</v>
      </c>
      <c r="E382" t="s">
        <v>254</v>
      </c>
      <c r="F382" t="s">
        <v>264</v>
      </c>
      <c r="G382" t="s">
        <v>20</v>
      </c>
      <c r="H382" t="s">
        <v>38</v>
      </c>
      <c r="I382" t="s">
        <v>109</v>
      </c>
      <c r="J382" t="s">
        <v>786</v>
      </c>
      <c r="K382" t="s">
        <v>822</v>
      </c>
      <c r="L382" t="s">
        <v>788</v>
      </c>
      <c r="M382" s="5">
        <v>45373</v>
      </c>
      <c r="N382" s="5">
        <v>45362</v>
      </c>
      <c r="O382">
        <v>2</v>
      </c>
      <c r="P382">
        <v>29.32</v>
      </c>
      <c r="Q382">
        <v>36.65</v>
      </c>
      <c r="R382">
        <v>0.1</v>
      </c>
      <c r="S382">
        <v>65.97</v>
      </c>
      <c r="T382" t="s">
        <v>963</v>
      </c>
      <c r="U382">
        <v>58.64</v>
      </c>
      <c r="V382">
        <v>7.33</v>
      </c>
    </row>
    <row r="383" spans="1:22" x14ac:dyDescent="0.35">
      <c r="A383" t="s">
        <v>1701</v>
      </c>
      <c r="B383" t="s">
        <v>1588</v>
      </c>
      <c r="C383" t="s">
        <v>266</v>
      </c>
      <c r="D383" t="s">
        <v>267</v>
      </c>
      <c r="E383" t="s">
        <v>254</v>
      </c>
      <c r="F383" t="s">
        <v>243</v>
      </c>
      <c r="G383" t="s">
        <v>797</v>
      </c>
      <c r="H383" t="s">
        <v>43</v>
      </c>
      <c r="I383" t="s">
        <v>171</v>
      </c>
      <c r="J383" t="s">
        <v>798</v>
      </c>
      <c r="K383" t="s">
        <v>793</v>
      </c>
      <c r="L383" t="s">
        <v>800</v>
      </c>
      <c r="M383" s="5">
        <v>45985</v>
      </c>
      <c r="O383">
        <v>3</v>
      </c>
      <c r="P383">
        <v>29.39</v>
      </c>
      <c r="Q383">
        <v>39.68</v>
      </c>
      <c r="R383">
        <v>0</v>
      </c>
      <c r="S383">
        <v>119.04</v>
      </c>
      <c r="T383" t="s">
        <v>810</v>
      </c>
      <c r="U383">
        <v>88.17</v>
      </c>
      <c r="V383">
        <v>30.87</v>
      </c>
    </row>
    <row r="384" spans="1:22" x14ac:dyDescent="0.35">
      <c r="A384" t="s">
        <v>1702</v>
      </c>
      <c r="B384" t="s">
        <v>1458</v>
      </c>
      <c r="C384" t="s">
        <v>397</v>
      </c>
      <c r="D384" t="s">
        <v>360</v>
      </c>
      <c r="E384" t="s">
        <v>627</v>
      </c>
      <c r="G384" t="s">
        <v>14</v>
      </c>
      <c r="H384" t="s">
        <v>14</v>
      </c>
      <c r="I384" t="s">
        <v>152</v>
      </c>
      <c r="J384" t="s">
        <v>813</v>
      </c>
      <c r="K384" t="s">
        <v>799</v>
      </c>
      <c r="L384" t="s">
        <v>842</v>
      </c>
      <c r="M384" s="5">
        <v>45807</v>
      </c>
      <c r="N384" s="5">
        <v>45808</v>
      </c>
      <c r="O384">
        <v>2</v>
      </c>
      <c r="P384">
        <v>38.549999999999997</v>
      </c>
      <c r="Q384">
        <v>53.97</v>
      </c>
      <c r="R384">
        <v>0.1</v>
      </c>
      <c r="S384">
        <v>97.15</v>
      </c>
      <c r="T384" t="s">
        <v>963</v>
      </c>
      <c r="U384">
        <v>77.099999999999994</v>
      </c>
      <c r="V384">
        <v>20.05</v>
      </c>
    </row>
    <row r="385" spans="1:22" x14ac:dyDescent="0.35">
      <c r="A385" t="s">
        <v>1703</v>
      </c>
      <c r="B385" t="s">
        <v>1704</v>
      </c>
      <c r="C385" t="s">
        <v>607</v>
      </c>
      <c r="D385" t="s">
        <v>608</v>
      </c>
      <c r="E385" t="s">
        <v>627</v>
      </c>
      <c r="F385" t="s">
        <v>264</v>
      </c>
      <c r="G385" t="s">
        <v>797</v>
      </c>
      <c r="H385" t="s">
        <v>48</v>
      </c>
      <c r="I385" t="s">
        <v>143</v>
      </c>
      <c r="J385" t="s">
        <v>798</v>
      </c>
      <c r="K385" t="s">
        <v>822</v>
      </c>
      <c r="L385" t="s">
        <v>818</v>
      </c>
      <c r="M385" s="5">
        <v>45587</v>
      </c>
      <c r="N385" s="5">
        <v>45590</v>
      </c>
      <c r="O385">
        <v>20</v>
      </c>
      <c r="P385">
        <v>29.93</v>
      </c>
      <c r="Q385">
        <v>38.909999999999997</v>
      </c>
      <c r="R385">
        <v>0</v>
      </c>
      <c r="S385">
        <v>778.2</v>
      </c>
      <c r="T385" t="s">
        <v>1001</v>
      </c>
      <c r="U385">
        <v>598.6</v>
      </c>
      <c r="V385">
        <v>179.6</v>
      </c>
    </row>
    <row r="386" spans="1:22" x14ac:dyDescent="0.35">
      <c r="A386" t="s">
        <v>1705</v>
      </c>
      <c r="B386" t="s">
        <v>1407</v>
      </c>
      <c r="C386" t="s">
        <v>578</v>
      </c>
      <c r="D386" t="s">
        <v>368</v>
      </c>
      <c r="E386" t="s">
        <v>254</v>
      </c>
      <c r="F386" t="s">
        <v>235</v>
      </c>
      <c r="G386" t="s">
        <v>797</v>
      </c>
      <c r="H386" t="s">
        <v>79</v>
      </c>
      <c r="I386" t="s">
        <v>166</v>
      </c>
      <c r="J386" t="s">
        <v>798</v>
      </c>
      <c r="K386" t="s">
        <v>793</v>
      </c>
      <c r="L386" t="s">
        <v>788</v>
      </c>
      <c r="M386" s="5">
        <v>45488</v>
      </c>
      <c r="O386">
        <v>2</v>
      </c>
      <c r="P386">
        <v>15.73</v>
      </c>
      <c r="Q386">
        <v>19.66</v>
      </c>
      <c r="R386">
        <v>0.1</v>
      </c>
      <c r="S386">
        <v>35.39</v>
      </c>
      <c r="T386" t="s">
        <v>794</v>
      </c>
      <c r="U386">
        <v>31.46</v>
      </c>
      <c r="V386">
        <v>3.93</v>
      </c>
    </row>
    <row r="387" spans="1:22" x14ac:dyDescent="0.35">
      <c r="A387" t="s">
        <v>1706</v>
      </c>
      <c r="B387" t="s">
        <v>1707</v>
      </c>
      <c r="C387" t="s">
        <v>609</v>
      </c>
      <c r="D387" t="s">
        <v>610</v>
      </c>
      <c r="E387" t="s">
        <v>633</v>
      </c>
      <c r="G387" t="s">
        <v>797</v>
      </c>
      <c r="H387" t="s">
        <v>29</v>
      </c>
      <c r="I387" t="s">
        <v>115</v>
      </c>
      <c r="J387" t="s">
        <v>813</v>
      </c>
      <c r="K387" t="s">
        <v>787</v>
      </c>
      <c r="L387" t="s">
        <v>800</v>
      </c>
      <c r="M387" s="5">
        <v>45712</v>
      </c>
      <c r="O387">
        <v>10</v>
      </c>
      <c r="P387">
        <v>34.340000000000003</v>
      </c>
      <c r="Q387">
        <v>44.64</v>
      </c>
      <c r="R387">
        <v>0.15</v>
      </c>
      <c r="S387">
        <v>379.44</v>
      </c>
      <c r="T387" t="s">
        <v>859</v>
      </c>
      <c r="U387">
        <v>343.4</v>
      </c>
      <c r="V387">
        <v>36.04</v>
      </c>
    </row>
    <row r="388" spans="1:22" x14ac:dyDescent="0.35">
      <c r="A388" t="s">
        <v>1708</v>
      </c>
      <c r="B388" t="s">
        <v>855</v>
      </c>
      <c r="C388" t="s">
        <v>312</v>
      </c>
      <c r="D388" t="s">
        <v>313</v>
      </c>
      <c r="E388" t="s">
        <v>633</v>
      </c>
      <c r="F388" t="s">
        <v>235</v>
      </c>
      <c r="G388" t="s">
        <v>14</v>
      </c>
      <c r="H388" t="s">
        <v>14</v>
      </c>
      <c r="I388" t="s">
        <v>90</v>
      </c>
      <c r="J388" t="s">
        <v>798</v>
      </c>
      <c r="K388" t="s">
        <v>799</v>
      </c>
      <c r="L388" t="s">
        <v>800</v>
      </c>
      <c r="M388" s="5">
        <v>45869</v>
      </c>
      <c r="N388" s="5">
        <v>45866</v>
      </c>
      <c r="O388">
        <v>10</v>
      </c>
      <c r="P388">
        <v>27.34</v>
      </c>
      <c r="Q388">
        <v>39.64</v>
      </c>
      <c r="R388">
        <v>0.15</v>
      </c>
      <c r="S388">
        <v>336.94</v>
      </c>
      <c r="T388" t="s">
        <v>845</v>
      </c>
      <c r="U388">
        <v>273.39999999999998</v>
      </c>
      <c r="V388">
        <v>63.54</v>
      </c>
    </row>
    <row r="389" spans="1:22" x14ac:dyDescent="0.35">
      <c r="A389" t="s">
        <v>1709</v>
      </c>
      <c r="B389" t="s">
        <v>993</v>
      </c>
      <c r="C389" t="s">
        <v>419</v>
      </c>
      <c r="D389" t="s">
        <v>420</v>
      </c>
      <c r="E389" t="s">
        <v>637</v>
      </c>
      <c r="F389" t="s">
        <v>243</v>
      </c>
      <c r="G389" t="s">
        <v>797</v>
      </c>
      <c r="H389" t="s">
        <v>14</v>
      </c>
      <c r="I389" t="s">
        <v>12</v>
      </c>
      <c r="J389" t="s">
        <v>786</v>
      </c>
      <c r="K389" t="s">
        <v>822</v>
      </c>
      <c r="L389" t="s">
        <v>818</v>
      </c>
      <c r="M389" s="5">
        <v>45873</v>
      </c>
      <c r="N389" s="5">
        <v>45862</v>
      </c>
      <c r="O389">
        <v>2</v>
      </c>
      <c r="P389">
        <v>35.03</v>
      </c>
      <c r="Q389">
        <v>50.79</v>
      </c>
      <c r="R389">
        <v>0.15</v>
      </c>
      <c r="S389">
        <v>86.34</v>
      </c>
      <c r="T389" t="s">
        <v>814</v>
      </c>
      <c r="U389">
        <v>70.06</v>
      </c>
      <c r="V389">
        <v>16.28</v>
      </c>
    </row>
    <row r="390" spans="1:22" x14ac:dyDescent="0.35">
      <c r="A390" t="s">
        <v>1710</v>
      </c>
      <c r="B390" t="s">
        <v>1006</v>
      </c>
      <c r="C390" t="s">
        <v>578</v>
      </c>
      <c r="D390" t="s">
        <v>368</v>
      </c>
      <c r="E390" t="s">
        <v>254</v>
      </c>
      <c r="F390" t="s">
        <v>235</v>
      </c>
      <c r="G390" t="s">
        <v>797</v>
      </c>
      <c r="H390" t="s">
        <v>43</v>
      </c>
      <c r="I390" t="s">
        <v>200</v>
      </c>
      <c r="J390" t="s">
        <v>798</v>
      </c>
      <c r="K390" t="s">
        <v>799</v>
      </c>
      <c r="L390" t="s">
        <v>842</v>
      </c>
      <c r="M390" s="5">
        <v>45312</v>
      </c>
      <c r="N390" s="5">
        <v>45312</v>
      </c>
      <c r="O390">
        <v>20</v>
      </c>
      <c r="P390">
        <v>69.23</v>
      </c>
      <c r="Q390">
        <v>86.54</v>
      </c>
      <c r="R390">
        <v>0</v>
      </c>
      <c r="S390">
        <v>1730.8</v>
      </c>
      <c r="T390" t="s">
        <v>935</v>
      </c>
      <c r="U390">
        <v>1384.6</v>
      </c>
      <c r="V390">
        <v>346.2</v>
      </c>
    </row>
    <row r="391" spans="1:22" x14ac:dyDescent="0.35">
      <c r="A391" t="s">
        <v>1711</v>
      </c>
      <c r="B391" t="s">
        <v>1712</v>
      </c>
      <c r="C391" t="s">
        <v>324</v>
      </c>
      <c r="D391" t="s">
        <v>296</v>
      </c>
      <c r="E391" t="s">
        <v>681</v>
      </c>
      <c r="F391" t="s">
        <v>264</v>
      </c>
      <c r="G391" t="s">
        <v>48</v>
      </c>
      <c r="H391" t="s">
        <v>14</v>
      </c>
      <c r="I391" t="s">
        <v>30</v>
      </c>
      <c r="J391" t="s">
        <v>786</v>
      </c>
      <c r="K391" t="s">
        <v>787</v>
      </c>
      <c r="L391" t="s">
        <v>788</v>
      </c>
      <c r="M391" s="5">
        <v>46017</v>
      </c>
      <c r="O391">
        <v>5</v>
      </c>
      <c r="P391">
        <v>19.010000000000002</v>
      </c>
      <c r="Q391">
        <v>27.56</v>
      </c>
      <c r="R391">
        <v>0</v>
      </c>
      <c r="S391">
        <v>137.80000000000001</v>
      </c>
      <c r="T391" t="s">
        <v>963</v>
      </c>
      <c r="U391">
        <v>95.05</v>
      </c>
      <c r="V391">
        <v>42.75</v>
      </c>
    </row>
    <row r="392" spans="1:22" x14ac:dyDescent="0.35">
      <c r="A392" t="s">
        <v>1713</v>
      </c>
      <c r="B392" t="s">
        <v>802</v>
      </c>
      <c r="C392" t="s">
        <v>337</v>
      </c>
      <c r="D392" t="s">
        <v>338</v>
      </c>
      <c r="E392" t="s">
        <v>674</v>
      </c>
      <c r="F392" t="s">
        <v>243</v>
      </c>
      <c r="G392" t="s">
        <v>20</v>
      </c>
      <c r="H392" t="s">
        <v>48</v>
      </c>
      <c r="I392" t="s">
        <v>219</v>
      </c>
      <c r="J392" t="s">
        <v>798</v>
      </c>
      <c r="K392" t="s">
        <v>793</v>
      </c>
      <c r="L392" t="s">
        <v>800</v>
      </c>
      <c r="M392" s="5">
        <v>45908</v>
      </c>
      <c r="O392">
        <v>2</v>
      </c>
      <c r="P392">
        <v>12.9</v>
      </c>
      <c r="Q392">
        <v>18.7</v>
      </c>
      <c r="R392">
        <v>0.15</v>
      </c>
      <c r="S392">
        <v>31.79</v>
      </c>
      <c r="T392" t="s">
        <v>935</v>
      </c>
      <c r="U392">
        <v>25.8</v>
      </c>
      <c r="V392">
        <v>5.99</v>
      </c>
    </row>
    <row r="393" spans="1:22" x14ac:dyDescent="0.35">
      <c r="A393" t="s">
        <v>1714</v>
      </c>
      <c r="B393" t="s">
        <v>1215</v>
      </c>
      <c r="C393" t="s">
        <v>575</v>
      </c>
      <c r="D393" t="s">
        <v>439</v>
      </c>
      <c r="E393" t="s">
        <v>627</v>
      </c>
      <c r="F393" t="s">
        <v>264</v>
      </c>
      <c r="G393" t="s">
        <v>48</v>
      </c>
      <c r="H393" t="s">
        <v>14</v>
      </c>
      <c r="I393" t="s">
        <v>63</v>
      </c>
      <c r="J393" t="s">
        <v>786</v>
      </c>
      <c r="K393" t="s">
        <v>799</v>
      </c>
      <c r="L393" t="s">
        <v>788</v>
      </c>
      <c r="M393" s="5">
        <v>45670</v>
      </c>
      <c r="N393" s="5">
        <v>45658</v>
      </c>
      <c r="O393">
        <v>2</v>
      </c>
      <c r="P393">
        <v>13.03</v>
      </c>
      <c r="Q393">
        <v>16.29</v>
      </c>
      <c r="R393">
        <v>0.05</v>
      </c>
      <c r="S393">
        <v>30.95</v>
      </c>
      <c r="T393" t="s">
        <v>919</v>
      </c>
      <c r="U393">
        <v>26.06</v>
      </c>
      <c r="V393">
        <v>4.8899999999999997</v>
      </c>
    </row>
    <row r="394" spans="1:22" x14ac:dyDescent="0.35">
      <c r="A394" t="s">
        <v>1715</v>
      </c>
      <c r="B394" t="s">
        <v>1302</v>
      </c>
      <c r="C394" t="s">
        <v>509</v>
      </c>
      <c r="D394" t="s">
        <v>510</v>
      </c>
      <c r="E394" t="s">
        <v>674</v>
      </c>
      <c r="F394" t="s">
        <v>235</v>
      </c>
      <c r="G394" t="s">
        <v>14</v>
      </c>
      <c r="H394" t="s">
        <v>48</v>
      </c>
      <c r="I394" t="s">
        <v>143</v>
      </c>
      <c r="J394" t="s">
        <v>813</v>
      </c>
      <c r="K394" t="s">
        <v>787</v>
      </c>
      <c r="L394" t="s">
        <v>842</v>
      </c>
      <c r="M394" s="5">
        <v>45551</v>
      </c>
      <c r="O394">
        <v>5</v>
      </c>
      <c r="P394">
        <v>29.93</v>
      </c>
      <c r="Q394">
        <v>38.909999999999997</v>
      </c>
      <c r="R394">
        <v>0</v>
      </c>
      <c r="S394">
        <v>194.55</v>
      </c>
      <c r="T394" t="s">
        <v>819</v>
      </c>
      <c r="U394">
        <v>149.65</v>
      </c>
      <c r="V394">
        <v>44.9</v>
      </c>
    </row>
    <row r="395" spans="1:22" x14ac:dyDescent="0.35">
      <c r="A395" t="s">
        <v>1716</v>
      </c>
      <c r="B395" t="s">
        <v>1645</v>
      </c>
      <c r="C395" t="s">
        <v>366</v>
      </c>
      <c r="D395" t="s">
        <v>245</v>
      </c>
      <c r="E395" t="s">
        <v>696</v>
      </c>
      <c r="F395" t="s">
        <v>243</v>
      </c>
      <c r="G395" t="s">
        <v>14</v>
      </c>
      <c r="H395" t="s">
        <v>29</v>
      </c>
      <c r="I395" t="s">
        <v>32</v>
      </c>
      <c r="J395" t="s">
        <v>798</v>
      </c>
      <c r="K395" t="s">
        <v>793</v>
      </c>
      <c r="L395" t="s">
        <v>842</v>
      </c>
      <c r="M395" s="5">
        <v>45993</v>
      </c>
      <c r="O395">
        <v>10</v>
      </c>
      <c r="P395">
        <v>18.989999999999998</v>
      </c>
      <c r="Q395">
        <v>25.64</v>
      </c>
      <c r="R395">
        <v>0</v>
      </c>
      <c r="S395">
        <v>256.39999999999998</v>
      </c>
      <c r="T395" t="s">
        <v>825</v>
      </c>
      <c r="U395">
        <v>189.9</v>
      </c>
      <c r="V395">
        <v>66.5</v>
      </c>
    </row>
    <row r="396" spans="1:22" x14ac:dyDescent="0.35">
      <c r="A396" t="s">
        <v>1717</v>
      </c>
      <c r="B396" t="s">
        <v>1718</v>
      </c>
      <c r="C396" t="s">
        <v>497</v>
      </c>
      <c r="D396" t="s">
        <v>296</v>
      </c>
      <c r="E396" t="s">
        <v>674</v>
      </c>
      <c r="F396" t="s">
        <v>235</v>
      </c>
      <c r="G396" t="s">
        <v>797</v>
      </c>
      <c r="H396" t="s">
        <v>20</v>
      </c>
      <c r="I396" t="s">
        <v>102</v>
      </c>
      <c r="J396" t="s">
        <v>798</v>
      </c>
      <c r="K396" t="s">
        <v>799</v>
      </c>
      <c r="L396" t="s">
        <v>800</v>
      </c>
      <c r="M396" s="5">
        <v>45831</v>
      </c>
      <c r="N396" s="5">
        <v>45825</v>
      </c>
      <c r="O396">
        <v>1</v>
      </c>
      <c r="P396">
        <v>19.04</v>
      </c>
      <c r="Q396">
        <v>25.7</v>
      </c>
      <c r="R396">
        <v>0.1</v>
      </c>
      <c r="S396">
        <v>23.13</v>
      </c>
      <c r="T396" t="s">
        <v>790</v>
      </c>
      <c r="U396">
        <v>19.04</v>
      </c>
      <c r="V396">
        <v>4.09</v>
      </c>
    </row>
    <row r="397" spans="1:22" x14ac:dyDescent="0.35">
      <c r="A397" t="s">
        <v>1719</v>
      </c>
      <c r="B397" t="s">
        <v>1679</v>
      </c>
      <c r="C397" t="s">
        <v>334</v>
      </c>
      <c r="D397" t="s">
        <v>335</v>
      </c>
      <c r="E397" t="s">
        <v>696</v>
      </c>
      <c r="F397" t="s">
        <v>243</v>
      </c>
      <c r="G397" t="s">
        <v>14</v>
      </c>
      <c r="H397" t="s">
        <v>29</v>
      </c>
      <c r="I397" t="s">
        <v>49</v>
      </c>
      <c r="J397" t="s">
        <v>786</v>
      </c>
      <c r="K397" t="s">
        <v>799</v>
      </c>
      <c r="L397" t="s">
        <v>842</v>
      </c>
      <c r="M397" s="5">
        <v>45338</v>
      </c>
      <c r="N397" s="5">
        <v>45333</v>
      </c>
      <c r="O397">
        <v>1</v>
      </c>
      <c r="P397">
        <v>14.89</v>
      </c>
      <c r="Q397">
        <v>20.85</v>
      </c>
      <c r="R397">
        <v>0</v>
      </c>
      <c r="S397">
        <v>20.85</v>
      </c>
      <c r="T397" t="s">
        <v>810</v>
      </c>
      <c r="U397">
        <v>14.89</v>
      </c>
      <c r="V397">
        <v>5.96</v>
      </c>
    </row>
    <row r="398" spans="1:22" x14ac:dyDescent="0.35">
      <c r="A398" t="s">
        <v>1720</v>
      </c>
      <c r="B398" t="s">
        <v>1386</v>
      </c>
      <c r="C398" t="s">
        <v>589</v>
      </c>
      <c r="D398" t="s">
        <v>484</v>
      </c>
      <c r="E398" t="s">
        <v>674</v>
      </c>
      <c r="F398" t="s">
        <v>264</v>
      </c>
      <c r="G398" t="s">
        <v>14</v>
      </c>
      <c r="H398" t="s">
        <v>38</v>
      </c>
      <c r="I398" t="s">
        <v>132</v>
      </c>
      <c r="J398" t="s">
        <v>813</v>
      </c>
      <c r="K398" t="s">
        <v>799</v>
      </c>
      <c r="L398" t="s">
        <v>818</v>
      </c>
      <c r="M398" s="5">
        <v>45970</v>
      </c>
      <c r="N398" s="5">
        <v>45975</v>
      </c>
      <c r="O398">
        <v>3</v>
      </c>
      <c r="P398">
        <v>12.71</v>
      </c>
      <c r="Q398">
        <v>17.79</v>
      </c>
      <c r="R398">
        <v>0</v>
      </c>
      <c r="S398">
        <v>53.37</v>
      </c>
      <c r="T398" t="s">
        <v>803</v>
      </c>
      <c r="U398">
        <v>38.130000000000003</v>
      </c>
      <c r="V398">
        <v>15.24</v>
      </c>
    </row>
    <row r="399" spans="1:22" x14ac:dyDescent="0.35">
      <c r="A399" t="s">
        <v>1721</v>
      </c>
      <c r="B399" t="s">
        <v>1386</v>
      </c>
      <c r="C399" t="s">
        <v>582</v>
      </c>
      <c r="D399" t="s">
        <v>583</v>
      </c>
      <c r="E399" t="s">
        <v>627</v>
      </c>
      <c r="F399" t="s">
        <v>264</v>
      </c>
      <c r="G399" t="s">
        <v>14</v>
      </c>
      <c r="H399" t="s">
        <v>14</v>
      </c>
      <c r="I399" t="s">
        <v>111</v>
      </c>
      <c r="J399" t="s">
        <v>798</v>
      </c>
      <c r="K399" t="s">
        <v>799</v>
      </c>
      <c r="L399" t="s">
        <v>842</v>
      </c>
      <c r="M399" s="5">
        <v>45974</v>
      </c>
      <c r="N399" s="5">
        <v>45975</v>
      </c>
      <c r="O399">
        <v>1</v>
      </c>
      <c r="P399">
        <v>19.850000000000001</v>
      </c>
      <c r="Q399">
        <v>28.78</v>
      </c>
      <c r="R399">
        <v>0.05</v>
      </c>
      <c r="S399">
        <v>27.34</v>
      </c>
      <c r="T399" t="s">
        <v>1017</v>
      </c>
      <c r="U399">
        <v>19.850000000000001</v>
      </c>
      <c r="V399">
        <v>7.49</v>
      </c>
    </row>
    <row r="400" spans="1:22" x14ac:dyDescent="0.35">
      <c r="A400" t="s">
        <v>1722</v>
      </c>
      <c r="B400" t="s">
        <v>1683</v>
      </c>
      <c r="C400" t="s">
        <v>557</v>
      </c>
      <c r="D400" t="s">
        <v>558</v>
      </c>
      <c r="E400" t="s">
        <v>681</v>
      </c>
      <c r="F400" t="s">
        <v>235</v>
      </c>
      <c r="G400" t="s">
        <v>797</v>
      </c>
      <c r="H400" t="s">
        <v>20</v>
      </c>
      <c r="I400" t="s">
        <v>134</v>
      </c>
      <c r="J400" t="s">
        <v>786</v>
      </c>
      <c r="K400" t="s">
        <v>793</v>
      </c>
      <c r="L400" t="s">
        <v>842</v>
      </c>
      <c r="M400" s="5">
        <v>45911</v>
      </c>
      <c r="O400">
        <v>1</v>
      </c>
      <c r="P400">
        <v>38.36</v>
      </c>
      <c r="Q400">
        <v>53.7</v>
      </c>
      <c r="R400">
        <v>0.1</v>
      </c>
      <c r="S400">
        <v>48.33</v>
      </c>
      <c r="T400" t="s">
        <v>829</v>
      </c>
      <c r="U400">
        <v>38.36</v>
      </c>
      <c r="V400">
        <v>9.9700000000000006</v>
      </c>
    </row>
    <row r="401" spans="1:22" x14ac:dyDescent="0.35">
      <c r="A401" t="s">
        <v>1723</v>
      </c>
      <c r="B401" t="s">
        <v>955</v>
      </c>
      <c r="C401" t="s">
        <v>446</v>
      </c>
      <c r="D401" t="s">
        <v>447</v>
      </c>
      <c r="E401" t="s">
        <v>637</v>
      </c>
      <c r="F401" t="s">
        <v>243</v>
      </c>
      <c r="G401" t="s">
        <v>20</v>
      </c>
      <c r="H401" t="s">
        <v>48</v>
      </c>
      <c r="I401" t="s">
        <v>219</v>
      </c>
      <c r="J401" t="s">
        <v>813</v>
      </c>
      <c r="K401" t="s">
        <v>822</v>
      </c>
      <c r="L401" t="s">
        <v>800</v>
      </c>
      <c r="M401" s="5">
        <v>45426</v>
      </c>
      <c r="N401" s="5">
        <v>45430</v>
      </c>
      <c r="O401">
        <v>1</v>
      </c>
      <c r="P401">
        <v>12.9</v>
      </c>
      <c r="Q401">
        <v>18.7</v>
      </c>
      <c r="R401">
        <v>0.05</v>
      </c>
      <c r="S401">
        <v>17.760000000000002</v>
      </c>
      <c r="T401" t="s">
        <v>919</v>
      </c>
      <c r="U401">
        <v>12.9</v>
      </c>
      <c r="V401">
        <v>4.8600000000000003</v>
      </c>
    </row>
    <row r="402" spans="1:22" x14ac:dyDescent="0.35">
      <c r="A402" t="s">
        <v>1724</v>
      </c>
      <c r="B402" t="s">
        <v>1497</v>
      </c>
      <c r="C402" t="s">
        <v>473</v>
      </c>
      <c r="D402" t="s">
        <v>368</v>
      </c>
      <c r="E402" t="s">
        <v>633</v>
      </c>
      <c r="F402" t="s">
        <v>235</v>
      </c>
      <c r="G402" t="s">
        <v>797</v>
      </c>
      <c r="H402" t="s">
        <v>29</v>
      </c>
      <c r="I402" t="s">
        <v>86</v>
      </c>
      <c r="J402" t="s">
        <v>798</v>
      </c>
      <c r="K402" t="s">
        <v>793</v>
      </c>
      <c r="L402" t="s">
        <v>800</v>
      </c>
      <c r="M402" s="5">
        <v>45652</v>
      </c>
      <c r="O402">
        <v>20</v>
      </c>
      <c r="P402">
        <v>8.35</v>
      </c>
      <c r="Q402">
        <v>12.11</v>
      </c>
      <c r="R402">
        <v>0.1</v>
      </c>
      <c r="S402">
        <v>217.98</v>
      </c>
      <c r="T402" t="s">
        <v>834</v>
      </c>
      <c r="U402">
        <v>167</v>
      </c>
      <c r="V402">
        <v>50.98</v>
      </c>
    </row>
    <row r="403" spans="1:22" x14ac:dyDescent="0.35">
      <c r="A403" t="s">
        <v>1725</v>
      </c>
      <c r="B403" t="s">
        <v>1199</v>
      </c>
      <c r="C403" t="s">
        <v>426</v>
      </c>
      <c r="D403" t="s">
        <v>427</v>
      </c>
      <c r="E403" t="s">
        <v>254</v>
      </c>
      <c r="F403" t="s">
        <v>264</v>
      </c>
      <c r="G403" t="s">
        <v>797</v>
      </c>
      <c r="H403" t="s">
        <v>38</v>
      </c>
      <c r="I403" t="s">
        <v>156</v>
      </c>
      <c r="J403" t="s">
        <v>813</v>
      </c>
      <c r="K403" t="s">
        <v>793</v>
      </c>
      <c r="L403" t="s">
        <v>818</v>
      </c>
      <c r="M403" s="5">
        <v>45999</v>
      </c>
      <c r="O403">
        <v>10</v>
      </c>
      <c r="P403">
        <v>20.81</v>
      </c>
      <c r="Q403">
        <v>29.13</v>
      </c>
      <c r="R403">
        <v>0.15</v>
      </c>
      <c r="S403">
        <v>247.6</v>
      </c>
      <c r="T403" t="s">
        <v>876</v>
      </c>
      <c r="U403">
        <v>208.1</v>
      </c>
      <c r="V403">
        <v>39.5</v>
      </c>
    </row>
    <row r="404" spans="1:22" x14ac:dyDescent="0.35">
      <c r="A404" t="s">
        <v>1726</v>
      </c>
      <c r="B404" t="s">
        <v>941</v>
      </c>
      <c r="C404" t="s">
        <v>475</v>
      </c>
      <c r="D404" t="s">
        <v>476</v>
      </c>
      <c r="E404" t="s">
        <v>633</v>
      </c>
      <c r="F404" t="s">
        <v>243</v>
      </c>
      <c r="G404" t="s">
        <v>797</v>
      </c>
      <c r="H404" t="s">
        <v>8</v>
      </c>
      <c r="I404" t="s">
        <v>101</v>
      </c>
      <c r="J404" t="s">
        <v>798</v>
      </c>
      <c r="K404" t="s">
        <v>787</v>
      </c>
      <c r="L404" t="s">
        <v>800</v>
      </c>
      <c r="M404" s="5">
        <v>45880</v>
      </c>
      <c r="O404">
        <v>1</v>
      </c>
      <c r="P404">
        <v>16.510000000000002</v>
      </c>
      <c r="Q404">
        <v>23.94</v>
      </c>
      <c r="R404">
        <v>0.05</v>
      </c>
      <c r="S404">
        <v>22.74</v>
      </c>
      <c r="T404" t="s">
        <v>803</v>
      </c>
      <c r="U404">
        <v>16.510000000000002</v>
      </c>
      <c r="V404">
        <v>6.23</v>
      </c>
    </row>
    <row r="405" spans="1:22" x14ac:dyDescent="0.35">
      <c r="A405" t="s">
        <v>1727</v>
      </c>
      <c r="B405" t="s">
        <v>1728</v>
      </c>
      <c r="C405" t="s">
        <v>541</v>
      </c>
      <c r="D405" t="s">
        <v>542</v>
      </c>
      <c r="E405" t="s">
        <v>254</v>
      </c>
      <c r="F405" t="s">
        <v>235</v>
      </c>
      <c r="G405" t="s">
        <v>20</v>
      </c>
      <c r="H405" t="s">
        <v>8</v>
      </c>
      <c r="I405" t="s">
        <v>73</v>
      </c>
      <c r="J405" t="s">
        <v>813</v>
      </c>
      <c r="K405" t="s">
        <v>799</v>
      </c>
      <c r="L405" t="s">
        <v>800</v>
      </c>
      <c r="M405" s="5">
        <v>45694</v>
      </c>
      <c r="N405" s="5">
        <v>45697</v>
      </c>
      <c r="O405">
        <v>3</v>
      </c>
      <c r="P405">
        <v>67.95</v>
      </c>
      <c r="Q405">
        <v>88.34</v>
      </c>
      <c r="R405">
        <v>0.05</v>
      </c>
      <c r="S405">
        <v>251.77</v>
      </c>
      <c r="T405" t="s">
        <v>892</v>
      </c>
      <c r="U405">
        <v>203.85</v>
      </c>
      <c r="V405">
        <v>47.92</v>
      </c>
    </row>
    <row r="406" spans="1:22" x14ac:dyDescent="0.35">
      <c r="A406" t="s">
        <v>1730</v>
      </c>
      <c r="B406" t="s">
        <v>847</v>
      </c>
      <c r="C406" t="s">
        <v>423</v>
      </c>
      <c r="D406" t="s">
        <v>424</v>
      </c>
      <c r="E406" t="s">
        <v>633</v>
      </c>
      <c r="F406" t="s">
        <v>235</v>
      </c>
      <c r="G406" t="s">
        <v>48</v>
      </c>
      <c r="H406" t="s">
        <v>48</v>
      </c>
      <c r="I406" t="s">
        <v>84</v>
      </c>
      <c r="J406" t="s">
        <v>798</v>
      </c>
      <c r="K406" t="s">
        <v>799</v>
      </c>
      <c r="L406" t="s">
        <v>842</v>
      </c>
      <c r="M406" s="5">
        <v>45469</v>
      </c>
      <c r="N406" s="5">
        <v>45467</v>
      </c>
      <c r="O406">
        <v>1</v>
      </c>
      <c r="P406">
        <v>27.52</v>
      </c>
      <c r="Q406">
        <v>34.4</v>
      </c>
      <c r="R406">
        <v>0.1</v>
      </c>
      <c r="S406">
        <v>30.96</v>
      </c>
      <c r="T406" t="s">
        <v>963</v>
      </c>
      <c r="U406">
        <v>27.52</v>
      </c>
      <c r="V406">
        <v>3.44</v>
      </c>
    </row>
    <row r="407" spans="1:22" x14ac:dyDescent="0.35">
      <c r="A407" t="s">
        <v>1731</v>
      </c>
      <c r="B407" t="s">
        <v>891</v>
      </c>
      <c r="C407" t="s">
        <v>423</v>
      </c>
      <c r="D407" t="s">
        <v>424</v>
      </c>
      <c r="E407" t="s">
        <v>627</v>
      </c>
      <c r="F407" t="s">
        <v>235</v>
      </c>
      <c r="G407" t="s">
        <v>797</v>
      </c>
      <c r="H407" t="s">
        <v>79</v>
      </c>
      <c r="I407" t="s">
        <v>77</v>
      </c>
      <c r="J407" t="s">
        <v>798</v>
      </c>
      <c r="K407" t="s">
        <v>799</v>
      </c>
      <c r="L407" t="s">
        <v>842</v>
      </c>
      <c r="M407" s="5">
        <v>45570</v>
      </c>
      <c r="N407" s="5">
        <v>45565</v>
      </c>
      <c r="O407">
        <v>10</v>
      </c>
      <c r="P407">
        <v>13.71</v>
      </c>
      <c r="Q407">
        <v>17.82</v>
      </c>
      <c r="R407">
        <v>0.15</v>
      </c>
      <c r="S407">
        <v>151.47</v>
      </c>
      <c r="T407" t="s">
        <v>803</v>
      </c>
      <c r="U407">
        <v>137.1</v>
      </c>
      <c r="V407">
        <v>14.37</v>
      </c>
    </row>
    <row r="408" spans="1:22" x14ac:dyDescent="0.35">
      <c r="A408" t="s">
        <v>1733</v>
      </c>
      <c r="B408" t="s">
        <v>796</v>
      </c>
      <c r="C408" t="s">
        <v>409</v>
      </c>
      <c r="D408" t="s">
        <v>410</v>
      </c>
      <c r="E408" t="s">
        <v>254</v>
      </c>
      <c r="F408" t="s">
        <v>235</v>
      </c>
      <c r="G408" t="s">
        <v>14</v>
      </c>
      <c r="H408" t="s">
        <v>43</v>
      </c>
      <c r="I408" t="s">
        <v>222</v>
      </c>
      <c r="J408" t="s">
        <v>798</v>
      </c>
      <c r="K408" t="s">
        <v>793</v>
      </c>
      <c r="L408" t="s">
        <v>800</v>
      </c>
      <c r="M408" s="5">
        <v>45905</v>
      </c>
      <c r="O408">
        <v>3</v>
      </c>
      <c r="P408">
        <v>37.1</v>
      </c>
      <c r="Q408">
        <v>48.23</v>
      </c>
      <c r="R408">
        <v>0</v>
      </c>
      <c r="S408">
        <v>144.69</v>
      </c>
      <c r="T408" t="s">
        <v>869</v>
      </c>
      <c r="U408">
        <v>111.3</v>
      </c>
      <c r="V408">
        <v>33.39</v>
      </c>
    </row>
    <row r="409" spans="1:22" x14ac:dyDescent="0.35">
      <c r="A409" t="s">
        <v>1734</v>
      </c>
      <c r="B409" t="s">
        <v>1353</v>
      </c>
      <c r="C409" t="s">
        <v>423</v>
      </c>
      <c r="D409" t="s">
        <v>424</v>
      </c>
      <c r="E409" t="s">
        <v>696</v>
      </c>
      <c r="F409" t="s">
        <v>235</v>
      </c>
      <c r="G409" t="s">
        <v>14</v>
      </c>
      <c r="H409" t="s">
        <v>8</v>
      </c>
      <c r="I409" t="s">
        <v>204</v>
      </c>
      <c r="J409" t="s">
        <v>798</v>
      </c>
      <c r="K409" t="s">
        <v>793</v>
      </c>
      <c r="L409" t="s">
        <v>800</v>
      </c>
      <c r="M409" s="5">
        <v>45608</v>
      </c>
      <c r="O409">
        <v>12</v>
      </c>
      <c r="P409">
        <v>28.27</v>
      </c>
      <c r="Q409">
        <v>40.99</v>
      </c>
      <c r="R409">
        <v>0.1</v>
      </c>
      <c r="S409">
        <v>442.69</v>
      </c>
      <c r="T409" t="s">
        <v>892</v>
      </c>
      <c r="U409">
        <v>339.24</v>
      </c>
      <c r="V409">
        <v>103.45</v>
      </c>
    </row>
    <row r="410" spans="1:22" x14ac:dyDescent="0.35">
      <c r="A410" t="s">
        <v>1735</v>
      </c>
      <c r="B410" t="s">
        <v>1088</v>
      </c>
      <c r="C410" t="s">
        <v>367</v>
      </c>
      <c r="D410" t="s">
        <v>368</v>
      </c>
      <c r="E410" t="s">
        <v>254</v>
      </c>
      <c r="F410" t="s">
        <v>264</v>
      </c>
      <c r="G410" t="s">
        <v>14</v>
      </c>
      <c r="H410" t="s">
        <v>43</v>
      </c>
      <c r="I410" t="s">
        <v>58</v>
      </c>
      <c r="J410" t="s">
        <v>798</v>
      </c>
      <c r="K410" t="s">
        <v>793</v>
      </c>
      <c r="L410" t="s">
        <v>818</v>
      </c>
      <c r="M410" s="5">
        <v>45763</v>
      </c>
      <c r="O410">
        <v>20</v>
      </c>
      <c r="P410">
        <v>11.21</v>
      </c>
      <c r="Q410">
        <v>15.13</v>
      </c>
      <c r="R410">
        <v>0</v>
      </c>
      <c r="S410">
        <v>302.60000000000002</v>
      </c>
      <c r="T410" t="s">
        <v>825</v>
      </c>
      <c r="U410">
        <v>224.2</v>
      </c>
      <c r="V410">
        <v>78.400000000000006</v>
      </c>
    </row>
    <row r="411" spans="1:22" x14ac:dyDescent="0.35">
      <c r="A411" t="s">
        <v>1736</v>
      </c>
      <c r="B411" t="s">
        <v>1056</v>
      </c>
      <c r="C411" t="s">
        <v>407</v>
      </c>
      <c r="D411" t="s">
        <v>408</v>
      </c>
      <c r="E411" t="s">
        <v>681</v>
      </c>
      <c r="F411" t="s">
        <v>235</v>
      </c>
      <c r="G411" t="s">
        <v>14</v>
      </c>
      <c r="H411" t="s">
        <v>14</v>
      </c>
      <c r="I411" t="s">
        <v>111</v>
      </c>
      <c r="J411" t="s">
        <v>798</v>
      </c>
      <c r="K411" t="s">
        <v>799</v>
      </c>
      <c r="L411" t="s">
        <v>818</v>
      </c>
      <c r="M411" s="5">
        <v>46059</v>
      </c>
      <c r="N411" s="5">
        <v>46053</v>
      </c>
      <c r="O411">
        <v>10</v>
      </c>
      <c r="P411">
        <v>19.850000000000001</v>
      </c>
      <c r="Q411">
        <v>28.78</v>
      </c>
      <c r="R411">
        <v>0.1</v>
      </c>
      <c r="S411">
        <v>259.02</v>
      </c>
      <c r="T411" t="s">
        <v>869</v>
      </c>
      <c r="U411">
        <v>198.5</v>
      </c>
      <c r="V411">
        <v>60.52</v>
      </c>
    </row>
    <row r="412" spans="1:22" x14ac:dyDescent="0.35">
      <c r="A412" t="s">
        <v>1737</v>
      </c>
      <c r="B412" t="s">
        <v>1638</v>
      </c>
      <c r="C412" t="s">
        <v>452</v>
      </c>
      <c r="D412" t="s">
        <v>420</v>
      </c>
      <c r="E412" t="s">
        <v>696</v>
      </c>
      <c r="F412" t="s">
        <v>264</v>
      </c>
      <c r="G412" t="s">
        <v>797</v>
      </c>
      <c r="H412" t="s">
        <v>14</v>
      </c>
      <c r="I412" t="s">
        <v>152</v>
      </c>
      <c r="J412" t="s">
        <v>813</v>
      </c>
      <c r="K412" t="s">
        <v>799</v>
      </c>
      <c r="L412" t="s">
        <v>800</v>
      </c>
      <c r="M412" s="5">
        <v>45829</v>
      </c>
      <c r="N412" s="5">
        <v>45832</v>
      </c>
      <c r="O412">
        <v>2</v>
      </c>
      <c r="P412">
        <v>38.549999999999997</v>
      </c>
      <c r="Q412">
        <v>53.97</v>
      </c>
      <c r="R412">
        <v>0.05</v>
      </c>
      <c r="S412">
        <v>102.54</v>
      </c>
      <c r="T412" t="s">
        <v>876</v>
      </c>
      <c r="U412">
        <v>77.099999999999994</v>
      </c>
      <c r="V412">
        <v>25.44</v>
      </c>
    </row>
    <row r="413" spans="1:22" x14ac:dyDescent="0.35">
      <c r="A413" t="s">
        <v>1738</v>
      </c>
      <c r="B413" t="s">
        <v>1739</v>
      </c>
      <c r="C413" t="s">
        <v>377</v>
      </c>
      <c r="D413" t="s">
        <v>378</v>
      </c>
      <c r="E413" t="s">
        <v>637</v>
      </c>
      <c r="F413" t="s">
        <v>243</v>
      </c>
      <c r="G413" t="s">
        <v>797</v>
      </c>
      <c r="H413" t="s">
        <v>79</v>
      </c>
      <c r="I413" t="s">
        <v>108</v>
      </c>
      <c r="J413" t="s">
        <v>786</v>
      </c>
      <c r="K413" t="s">
        <v>799</v>
      </c>
      <c r="L413" t="s">
        <v>800</v>
      </c>
      <c r="M413" s="5">
        <v>45371</v>
      </c>
      <c r="N413" s="5">
        <v>45361</v>
      </c>
      <c r="O413">
        <v>2</v>
      </c>
      <c r="P413">
        <v>9.3000000000000007</v>
      </c>
      <c r="Q413">
        <v>12.56</v>
      </c>
      <c r="R413">
        <v>0.15</v>
      </c>
      <c r="S413">
        <v>21.35</v>
      </c>
      <c r="T413" t="s">
        <v>946</v>
      </c>
      <c r="U413">
        <v>18.600000000000001</v>
      </c>
      <c r="V413">
        <v>2.75</v>
      </c>
    </row>
    <row r="414" spans="1:22" x14ac:dyDescent="0.35">
      <c r="A414" t="s">
        <v>1740</v>
      </c>
      <c r="B414" t="s">
        <v>1741</v>
      </c>
      <c r="C414" t="s">
        <v>331</v>
      </c>
      <c r="D414" t="s">
        <v>332</v>
      </c>
      <c r="E414" t="s">
        <v>674</v>
      </c>
      <c r="F414" t="s">
        <v>264</v>
      </c>
      <c r="G414" t="s">
        <v>797</v>
      </c>
      <c r="H414" t="s">
        <v>8</v>
      </c>
      <c r="I414" t="s">
        <v>73</v>
      </c>
      <c r="J414" t="s">
        <v>798</v>
      </c>
      <c r="K414" t="s">
        <v>799</v>
      </c>
      <c r="L414" t="s">
        <v>818</v>
      </c>
      <c r="M414" s="5">
        <v>45714</v>
      </c>
      <c r="N414" s="5">
        <v>45714</v>
      </c>
      <c r="O414">
        <v>20</v>
      </c>
      <c r="P414">
        <v>67.95</v>
      </c>
      <c r="Q414">
        <v>88.34</v>
      </c>
      <c r="R414">
        <v>0.05</v>
      </c>
      <c r="S414">
        <v>1678.46</v>
      </c>
      <c r="T414" t="s">
        <v>790</v>
      </c>
      <c r="U414">
        <v>1359</v>
      </c>
      <c r="V414">
        <v>319.45999999999998</v>
      </c>
    </row>
    <row r="415" spans="1:22" x14ac:dyDescent="0.35">
      <c r="A415" t="s">
        <v>1742</v>
      </c>
      <c r="B415" t="s">
        <v>1072</v>
      </c>
      <c r="C415" t="s">
        <v>272</v>
      </c>
      <c r="D415" t="s">
        <v>273</v>
      </c>
      <c r="E415" t="s">
        <v>674</v>
      </c>
      <c r="F415" t="s">
        <v>243</v>
      </c>
      <c r="G415" t="s">
        <v>797</v>
      </c>
      <c r="H415" t="s">
        <v>29</v>
      </c>
      <c r="I415" t="s">
        <v>86</v>
      </c>
      <c r="J415" t="s">
        <v>813</v>
      </c>
      <c r="K415" t="s">
        <v>793</v>
      </c>
      <c r="L415" t="s">
        <v>800</v>
      </c>
      <c r="M415" s="5">
        <v>45727</v>
      </c>
      <c r="O415">
        <v>5</v>
      </c>
      <c r="P415">
        <v>8.35</v>
      </c>
      <c r="Q415">
        <v>12.11</v>
      </c>
      <c r="R415">
        <v>0.15</v>
      </c>
      <c r="S415">
        <v>51.47</v>
      </c>
      <c r="T415" t="s">
        <v>790</v>
      </c>
      <c r="U415">
        <v>41.75</v>
      </c>
      <c r="V415">
        <v>9.7200000000000006</v>
      </c>
    </row>
    <row r="416" spans="1:22" x14ac:dyDescent="0.35">
      <c r="A416" t="s">
        <v>1743</v>
      </c>
      <c r="B416" t="s">
        <v>1744</v>
      </c>
      <c r="C416" t="s">
        <v>276</v>
      </c>
      <c r="D416" t="s">
        <v>277</v>
      </c>
      <c r="E416" t="s">
        <v>681</v>
      </c>
      <c r="F416" t="s">
        <v>243</v>
      </c>
      <c r="G416" t="s">
        <v>14</v>
      </c>
      <c r="H416" t="s">
        <v>20</v>
      </c>
      <c r="I416" t="s">
        <v>137</v>
      </c>
      <c r="J416" t="s">
        <v>813</v>
      </c>
      <c r="K416" t="s">
        <v>799</v>
      </c>
      <c r="L416" t="s">
        <v>842</v>
      </c>
      <c r="M416" s="5">
        <v>45475</v>
      </c>
      <c r="N416" s="5">
        <v>45477</v>
      </c>
      <c r="O416">
        <v>5</v>
      </c>
      <c r="P416">
        <v>23.58</v>
      </c>
      <c r="Q416">
        <v>31.83</v>
      </c>
      <c r="R416">
        <v>0</v>
      </c>
      <c r="S416">
        <v>159.15</v>
      </c>
      <c r="T416" t="s">
        <v>946</v>
      </c>
      <c r="U416">
        <v>117.9</v>
      </c>
      <c r="V416">
        <v>41.25</v>
      </c>
    </row>
    <row r="417" spans="1:22" x14ac:dyDescent="0.35">
      <c r="A417" t="s">
        <v>1747</v>
      </c>
      <c r="B417" t="s">
        <v>1739</v>
      </c>
      <c r="C417" t="s">
        <v>452</v>
      </c>
      <c r="D417" t="s">
        <v>420</v>
      </c>
      <c r="E417" t="s">
        <v>681</v>
      </c>
      <c r="F417" t="s">
        <v>264</v>
      </c>
      <c r="G417" t="s">
        <v>14</v>
      </c>
      <c r="H417" t="s">
        <v>29</v>
      </c>
      <c r="I417" t="s">
        <v>121</v>
      </c>
      <c r="J417" t="s">
        <v>813</v>
      </c>
      <c r="K417" t="s">
        <v>822</v>
      </c>
      <c r="L417" t="s">
        <v>788</v>
      </c>
      <c r="M417" s="5">
        <v>45360</v>
      </c>
      <c r="N417" s="5">
        <v>45367</v>
      </c>
      <c r="O417">
        <v>2</v>
      </c>
      <c r="P417">
        <v>15.46</v>
      </c>
      <c r="Q417">
        <v>22.42</v>
      </c>
      <c r="R417">
        <v>0</v>
      </c>
      <c r="S417">
        <v>44.84</v>
      </c>
      <c r="T417" t="s">
        <v>919</v>
      </c>
      <c r="U417">
        <v>30.92</v>
      </c>
      <c r="V417">
        <v>13.92</v>
      </c>
    </row>
    <row r="418" spans="1:22" x14ac:dyDescent="0.35">
      <c r="A418" t="s">
        <v>1749</v>
      </c>
      <c r="B418" t="s">
        <v>1750</v>
      </c>
      <c r="C418" t="s">
        <v>334</v>
      </c>
      <c r="D418" t="s">
        <v>335</v>
      </c>
      <c r="E418" t="s">
        <v>627</v>
      </c>
      <c r="F418" t="s">
        <v>243</v>
      </c>
      <c r="G418" t="s">
        <v>14</v>
      </c>
      <c r="H418" t="s">
        <v>48</v>
      </c>
      <c r="I418" t="s">
        <v>61</v>
      </c>
      <c r="J418" t="s">
        <v>798</v>
      </c>
      <c r="K418" t="s">
        <v>799</v>
      </c>
      <c r="L418" t="s">
        <v>800</v>
      </c>
      <c r="M418" s="5">
        <v>46051</v>
      </c>
      <c r="N418" s="5">
        <v>46048</v>
      </c>
      <c r="O418">
        <v>3</v>
      </c>
      <c r="P418">
        <v>26.08</v>
      </c>
      <c r="Q418">
        <v>35.21</v>
      </c>
      <c r="R418">
        <v>0.05</v>
      </c>
      <c r="S418">
        <v>100.35</v>
      </c>
      <c r="T418" t="s">
        <v>834</v>
      </c>
      <c r="U418">
        <v>78.239999999999995</v>
      </c>
      <c r="V418">
        <v>22.11</v>
      </c>
    </row>
    <row r="419" spans="1:22" x14ac:dyDescent="0.35">
      <c r="A419" t="s">
        <v>1751</v>
      </c>
      <c r="B419" t="s">
        <v>1752</v>
      </c>
      <c r="C419" t="s">
        <v>613</v>
      </c>
      <c r="D419" t="s">
        <v>304</v>
      </c>
      <c r="E419" t="s">
        <v>637</v>
      </c>
      <c r="F419" t="s">
        <v>243</v>
      </c>
      <c r="G419" t="s">
        <v>797</v>
      </c>
      <c r="H419" t="s">
        <v>14</v>
      </c>
      <c r="I419" t="s">
        <v>24</v>
      </c>
      <c r="J419" t="s">
        <v>786</v>
      </c>
      <c r="K419" t="s">
        <v>799</v>
      </c>
      <c r="L419" t="s">
        <v>788</v>
      </c>
      <c r="M419" s="5">
        <v>45920</v>
      </c>
      <c r="N419" s="5">
        <v>45909</v>
      </c>
      <c r="O419">
        <v>12</v>
      </c>
      <c r="P419">
        <v>37.42</v>
      </c>
      <c r="Q419">
        <v>50.52</v>
      </c>
      <c r="R419">
        <v>0.05</v>
      </c>
      <c r="S419">
        <v>575.92999999999995</v>
      </c>
      <c r="T419" t="s">
        <v>963</v>
      </c>
      <c r="U419">
        <v>449.04</v>
      </c>
      <c r="V419">
        <v>126.89</v>
      </c>
    </row>
    <row r="420" spans="1:22" x14ac:dyDescent="0.35">
      <c r="A420" t="s">
        <v>1754</v>
      </c>
      <c r="B420" t="s">
        <v>1081</v>
      </c>
      <c r="C420" t="s">
        <v>382</v>
      </c>
      <c r="D420" t="s">
        <v>383</v>
      </c>
      <c r="E420" t="s">
        <v>633</v>
      </c>
      <c r="F420" t="s">
        <v>264</v>
      </c>
      <c r="G420" t="s">
        <v>797</v>
      </c>
      <c r="H420" t="s">
        <v>20</v>
      </c>
      <c r="I420" t="s">
        <v>196</v>
      </c>
      <c r="J420" t="s">
        <v>798</v>
      </c>
      <c r="K420" t="s">
        <v>799</v>
      </c>
      <c r="L420" t="s">
        <v>818</v>
      </c>
      <c r="M420" s="5">
        <v>45408</v>
      </c>
      <c r="N420" s="5">
        <v>45403</v>
      </c>
      <c r="O420">
        <v>2</v>
      </c>
      <c r="P420">
        <v>15.78</v>
      </c>
      <c r="Q420">
        <v>19.72</v>
      </c>
      <c r="R420">
        <v>0.1</v>
      </c>
      <c r="S420">
        <v>35.5</v>
      </c>
      <c r="T420" t="s">
        <v>814</v>
      </c>
      <c r="U420">
        <v>31.56</v>
      </c>
      <c r="V420">
        <v>3.94</v>
      </c>
    </row>
    <row r="421" spans="1:22" x14ac:dyDescent="0.35">
      <c r="A421" t="s">
        <v>1755</v>
      </c>
      <c r="B421" t="s">
        <v>1405</v>
      </c>
      <c r="C421" t="s">
        <v>477</v>
      </c>
      <c r="D421" t="s">
        <v>478</v>
      </c>
      <c r="E421" t="s">
        <v>696</v>
      </c>
      <c r="F421" t="s">
        <v>243</v>
      </c>
      <c r="G421" t="s">
        <v>14</v>
      </c>
      <c r="H421" t="s">
        <v>8</v>
      </c>
      <c r="I421" t="s">
        <v>192</v>
      </c>
      <c r="J421" t="s">
        <v>786</v>
      </c>
      <c r="K421" t="s">
        <v>799</v>
      </c>
      <c r="L421" t="s">
        <v>788</v>
      </c>
      <c r="M421" s="5">
        <v>45630</v>
      </c>
      <c r="N421" s="5">
        <v>45622</v>
      </c>
      <c r="O421">
        <v>5</v>
      </c>
      <c r="P421">
        <v>19.47</v>
      </c>
      <c r="Q421">
        <v>28.23</v>
      </c>
      <c r="R421">
        <v>0</v>
      </c>
      <c r="S421">
        <v>141.15</v>
      </c>
      <c r="T421" t="s">
        <v>819</v>
      </c>
      <c r="U421">
        <v>97.35</v>
      </c>
      <c r="V421">
        <v>43.8</v>
      </c>
    </row>
    <row r="422" spans="1:22" x14ac:dyDescent="0.35">
      <c r="A422" t="s">
        <v>1756</v>
      </c>
      <c r="B422" t="s">
        <v>1757</v>
      </c>
      <c r="C422" t="s">
        <v>569</v>
      </c>
      <c r="D422" t="s">
        <v>535</v>
      </c>
      <c r="E422" t="s">
        <v>627</v>
      </c>
      <c r="G422" t="s">
        <v>797</v>
      </c>
      <c r="H422" t="s">
        <v>14</v>
      </c>
      <c r="I422" t="s">
        <v>16</v>
      </c>
      <c r="J422" t="s">
        <v>798</v>
      </c>
      <c r="K422" t="s">
        <v>799</v>
      </c>
      <c r="L422" t="s">
        <v>842</v>
      </c>
      <c r="M422" s="5">
        <v>45614</v>
      </c>
      <c r="N422" s="5">
        <v>45611</v>
      </c>
      <c r="O422">
        <v>3</v>
      </c>
      <c r="P422">
        <v>56.69</v>
      </c>
      <c r="Q422">
        <v>79.37</v>
      </c>
      <c r="R422">
        <v>0.15</v>
      </c>
      <c r="S422">
        <v>202.39</v>
      </c>
      <c r="T422" t="s">
        <v>825</v>
      </c>
      <c r="U422">
        <v>170.07</v>
      </c>
      <c r="V422">
        <v>32.32</v>
      </c>
    </row>
    <row r="423" spans="1:22" x14ac:dyDescent="0.35">
      <c r="A423" t="s">
        <v>1758</v>
      </c>
      <c r="B423" t="s">
        <v>1139</v>
      </c>
      <c r="C423" t="s">
        <v>462</v>
      </c>
      <c r="D423" t="s">
        <v>396</v>
      </c>
      <c r="E423" t="s">
        <v>633</v>
      </c>
      <c r="F423" t="s">
        <v>264</v>
      </c>
      <c r="G423" t="s">
        <v>14</v>
      </c>
      <c r="H423" t="s">
        <v>14</v>
      </c>
      <c r="I423" t="s">
        <v>30</v>
      </c>
      <c r="J423" t="s">
        <v>798</v>
      </c>
      <c r="K423" t="s">
        <v>822</v>
      </c>
      <c r="L423" t="s">
        <v>842</v>
      </c>
      <c r="M423" s="5">
        <v>45558</v>
      </c>
      <c r="N423" s="5">
        <v>45559</v>
      </c>
      <c r="O423">
        <v>5</v>
      </c>
      <c r="P423">
        <v>19.010000000000002</v>
      </c>
      <c r="Q423">
        <v>27.56</v>
      </c>
      <c r="R423">
        <v>0.1</v>
      </c>
      <c r="S423">
        <v>124.02</v>
      </c>
      <c r="T423" t="s">
        <v>794</v>
      </c>
      <c r="U423">
        <v>95.05</v>
      </c>
      <c r="V423">
        <v>28.97</v>
      </c>
    </row>
    <row r="424" spans="1:22" x14ac:dyDescent="0.35">
      <c r="A424" t="s">
        <v>1759</v>
      </c>
      <c r="B424" t="s">
        <v>949</v>
      </c>
      <c r="C424" t="s">
        <v>465</v>
      </c>
      <c r="D424" t="s">
        <v>348</v>
      </c>
      <c r="E424" t="s">
        <v>633</v>
      </c>
      <c r="F424" t="s">
        <v>264</v>
      </c>
      <c r="G424" t="s">
        <v>797</v>
      </c>
      <c r="H424" t="s">
        <v>48</v>
      </c>
      <c r="I424" t="s">
        <v>219</v>
      </c>
      <c r="J424" t="s">
        <v>786</v>
      </c>
      <c r="K424" t="s">
        <v>799</v>
      </c>
      <c r="L424" t="s">
        <v>800</v>
      </c>
      <c r="M424" s="5">
        <v>45703</v>
      </c>
      <c r="N424" s="5">
        <v>45697</v>
      </c>
      <c r="O424">
        <v>10</v>
      </c>
      <c r="P424">
        <v>12.9</v>
      </c>
      <c r="Q424">
        <v>18.7</v>
      </c>
      <c r="R424">
        <v>0</v>
      </c>
      <c r="S424">
        <v>187</v>
      </c>
      <c r="T424" t="s">
        <v>810</v>
      </c>
      <c r="U424">
        <v>129</v>
      </c>
      <c r="V424">
        <v>58</v>
      </c>
    </row>
    <row r="425" spans="1:22" x14ac:dyDescent="0.35">
      <c r="A425" t="s">
        <v>1760</v>
      </c>
      <c r="B425" t="s">
        <v>1280</v>
      </c>
      <c r="C425" t="s">
        <v>612</v>
      </c>
      <c r="D425" t="s">
        <v>447</v>
      </c>
      <c r="E425" t="s">
        <v>681</v>
      </c>
      <c r="F425" t="s">
        <v>235</v>
      </c>
      <c r="G425" t="s">
        <v>797</v>
      </c>
      <c r="H425" t="s">
        <v>14</v>
      </c>
      <c r="I425" t="s">
        <v>167</v>
      </c>
      <c r="J425" t="s">
        <v>813</v>
      </c>
      <c r="K425" t="s">
        <v>799</v>
      </c>
      <c r="L425" t="s">
        <v>818</v>
      </c>
      <c r="M425" s="5">
        <v>45941</v>
      </c>
      <c r="N425" s="5">
        <v>45944</v>
      </c>
      <c r="O425">
        <v>10</v>
      </c>
      <c r="P425">
        <v>18.62</v>
      </c>
      <c r="Q425">
        <v>26.07</v>
      </c>
      <c r="R425">
        <v>0.05</v>
      </c>
      <c r="S425">
        <v>247.66</v>
      </c>
      <c r="T425" t="s">
        <v>876</v>
      </c>
      <c r="U425">
        <v>186.2</v>
      </c>
      <c r="V425">
        <v>61.46</v>
      </c>
    </row>
    <row r="426" spans="1:22" x14ac:dyDescent="0.35">
      <c r="A426" t="s">
        <v>1762</v>
      </c>
      <c r="B426" t="s">
        <v>1068</v>
      </c>
      <c r="C426" t="s">
        <v>322</v>
      </c>
      <c r="D426" t="s">
        <v>245</v>
      </c>
      <c r="E426" t="s">
        <v>637</v>
      </c>
      <c r="F426" t="s">
        <v>243</v>
      </c>
      <c r="G426" t="s">
        <v>797</v>
      </c>
      <c r="H426" t="s">
        <v>29</v>
      </c>
      <c r="I426" t="s">
        <v>49</v>
      </c>
      <c r="J426" t="s">
        <v>798</v>
      </c>
      <c r="K426" t="s">
        <v>787</v>
      </c>
      <c r="L426" t="s">
        <v>818</v>
      </c>
      <c r="M426" s="5">
        <v>46033</v>
      </c>
      <c r="O426">
        <v>3</v>
      </c>
      <c r="P426">
        <v>14.89</v>
      </c>
      <c r="Q426">
        <v>20.85</v>
      </c>
      <c r="R426">
        <v>0.1</v>
      </c>
      <c r="S426">
        <v>56.3</v>
      </c>
      <c r="T426" t="s">
        <v>790</v>
      </c>
      <c r="U426">
        <v>44.67</v>
      </c>
      <c r="V426">
        <v>11.63</v>
      </c>
    </row>
    <row r="427" spans="1:22" x14ac:dyDescent="0.35">
      <c r="A427" t="s">
        <v>1763</v>
      </c>
      <c r="B427" t="s">
        <v>976</v>
      </c>
      <c r="C427" t="s">
        <v>493</v>
      </c>
      <c r="D427" t="s">
        <v>311</v>
      </c>
      <c r="E427" t="s">
        <v>681</v>
      </c>
      <c r="F427" t="s">
        <v>243</v>
      </c>
      <c r="G427" t="s">
        <v>797</v>
      </c>
      <c r="H427" t="s">
        <v>14</v>
      </c>
      <c r="I427" t="s">
        <v>111</v>
      </c>
      <c r="J427" t="s">
        <v>813</v>
      </c>
      <c r="K427" t="s">
        <v>799</v>
      </c>
      <c r="L427" t="s">
        <v>818</v>
      </c>
      <c r="M427" s="5">
        <v>46050</v>
      </c>
      <c r="N427" s="5">
        <v>46048</v>
      </c>
      <c r="O427">
        <v>2</v>
      </c>
      <c r="P427">
        <v>19.850000000000001</v>
      </c>
      <c r="Q427">
        <v>28.78</v>
      </c>
      <c r="R427">
        <v>0.15</v>
      </c>
      <c r="S427">
        <v>48.93</v>
      </c>
      <c r="T427" t="s">
        <v>888</v>
      </c>
      <c r="U427">
        <v>39.700000000000003</v>
      </c>
      <c r="V427">
        <v>9.23</v>
      </c>
    </row>
    <row r="428" spans="1:22" x14ac:dyDescent="0.35">
      <c r="A428" t="s">
        <v>1764</v>
      </c>
      <c r="B428" t="s">
        <v>1126</v>
      </c>
      <c r="C428" t="s">
        <v>561</v>
      </c>
      <c r="D428" t="s">
        <v>562</v>
      </c>
      <c r="E428" t="s">
        <v>633</v>
      </c>
      <c r="F428" t="s">
        <v>243</v>
      </c>
      <c r="G428" t="s">
        <v>797</v>
      </c>
      <c r="H428" t="s">
        <v>79</v>
      </c>
      <c r="I428" t="s">
        <v>184</v>
      </c>
      <c r="J428" t="s">
        <v>813</v>
      </c>
      <c r="K428" t="s">
        <v>787</v>
      </c>
      <c r="L428" t="s">
        <v>788</v>
      </c>
      <c r="M428" s="5">
        <v>45705</v>
      </c>
      <c r="O428">
        <v>12</v>
      </c>
      <c r="P428">
        <v>28.87</v>
      </c>
      <c r="Q428">
        <v>40.42</v>
      </c>
      <c r="R428">
        <v>0.1</v>
      </c>
      <c r="S428">
        <v>436.54</v>
      </c>
      <c r="T428" t="s">
        <v>825</v>
      </c>
      <c r="U428">
        <v>346.44</v>
      </c>
      <c r="V428">
        <v>90.1</v>
      </c>
    </row>
    <row r="429" spans="1:22" x14ac:dyDescent="0.35">
      <c r="A429" t="s">
        <v>1765</v>
      </c>
      <c r="B429" t="s">
        <v>899</v>
      </c>
      <c r="C429" t="s">
        <v>491</v>
      </c>
      <c r="D429" t="s">
        <v>492</v>
      </c>
      <c r="E429" t="s">
        <v>696</v>
      </c>
      <c r="F429" t="s">
        <v>264</v>
      </c>
      <c r="G429" t="s">
        <v>20</v>
      </c>
      <c r="H429" t="s">
        <v>38</v>
      </c>
      <c r="I429" t="s">
        <v>130</v>
      </c>
      <c r="J429" t="s">
        <v>813</v>
      </c>
      <c r="K429" t="s">
        <v>787</v>
      </c>
      <c r="L429" t="s">
        <v>800</v>
      </c>
      <c r="M429" s="5">
        <v>45715</v>
      </c>
      <c r="O429">
        <v>1</v>
      </c>
      <c r="P429">
        <v>13.35</v>
      </c>
      <c r="Q429">
        <v>17.36</v>
      </c>
      <c r="R429">
        <v>0</v>
      </c>
      <c r="S429">
        <v>17.36</v>
      </c>
      <c r="T429" t="s">
        <v>963</v>
      </c>
      <c r="U429">
        <v>13.35</v>
      </c>
      <c r="V429">
        <v>4.01</v>
      </c>
    </row>
    <row r="430" spans="1:22" x14ac:dyDescent="0.35">
      <c r="A430" t="s">
        <v>1766</v>
      </c>
      <c r="B430" t="s">
        <v>1767</v>
      </c>
      <c r="C430" t="s">
        <v>453</v>
      </c>
      <c r="D430" t="s">
        <v>454</v>
      </c>
      <c r="E430" t="s">
        <v>674</v>
      </c>
      <c r="F430" t="s">
        <v>235</v>
      </c>
      <c r="G430" t="s">
        <v>797</v>
      </c>
      <c r="H430" t="s">
        <v>38</v>
      </c>
      <c r="I430" t="s">
        <v>172</v>
      </c>
      <c r="J430" t="s">
        <v>798</v>
      </c>
      <c r="K430" t="s">
        <v>799</v>
      </c>
      <c r="L430" t="s">
        <v>788</v>
      </c>
      <c r="M430" s="5">
        <v>45385</v>
      </c>
      <c r="N430" s="5">
        <v>45387</v>
      </c>
      <c r="O430">
        <v>1</v>
      </c>
      <c r="P430">
        <v>18.329999999999998</v>
      </c>
      <c r="Q430">
        <v>22.91</v>
      </c>
      <c r="R430">
        <v>0</v>
      </c>
      <c r="S430">
        <v>22.91</v>
      </c>
      <c r="T430" t="s">
        <v>839</v>
      </c>
      <c r="U430">
        <v>18.329999999999998</v>
      </c>
      <c r="V430">
        <v>4.58</v>
      </c>
    </row>
    <row r="431" spans="1:22" x14ac:dyDescent="0.35">
      <c r="A431" t="s">
        <v>1768</v>
      </c>
      <c r="B431" t="s">
        <v>1010</v>
      </c>
      <c r="C431" t="s">
        <v>561</v>
      </c>
      <c r="D431" t="s">
        <v>562</v>
      </c>
      <c r="E431" t="s">
        <v>674</v>
      </c>
      <c r="F431" t="s">
        <v>243</v>
      </c>
      <c r="G431" t="s">
        <v>48</v>
      </c>
      <c r="H431" t="s">
        <v>14</v>
      </c>
      <c r="I431" t="s">
        <v>152</v>
      </c>
      <c r="J431" t="s">
        <v>786</v>
      </c>
      <c r="K431" t="s">
        <v>793</v>
      </c>
      <c r="L431" t="s">
        <v>788</v>
      </c>
      <c r="M431" s="5">
        <v>45968</v>
      </c>
      <c r="O431">
        <v>1</v>
      </c>
      <c r="P431">
        <v>38.549999999999997</v>
      </c>
      <c r="Q431">
        <v>53.97</v>
      </c>
      <c r="R431">
        <v>0</v>
      </c>
      <c r="S431">
        <v>53.97</v>
      </c>
      <c r="T431" t="s">
        <v>935</v>
      </c>
      <c r="U431">
        <v>38.549999999999997</v>
      </c>
      <c r="V431">
        <v>15.42</v>
      </c>
    </row>
    <row r="432" spans="1:22" x14ac:dyDescent="0.35">
      <c r="A432" t="s">
        <v>1769</v>
      </c>
      <c r="B432" t="s">
        <v>1770</v>
      </c>
      <c r="C432" t="s">
        <v>552</v>
      </c>
      <c r="D432" t="s">
        <v>553</v>
      </c>
      <c r="E432" t="s">
        <v>633</v>
      </c>
      <c r="F432" t="s">
        <v>235</v>
      </c>
      <c r="G432" t="s">
        <v>797</v>
      </c>
      <c r="H432" t="s">
        <v>20</v>
      </c>
      <c r="I432" t="s">
        <v>104</v>
      </c>
      <c r="J432" t="s">
        <v>786</v>
      </c>
      <c r="K432" t="s">
        <v>787</v>
      </c>
      <c r="L432" t="s">
        <v>842</v>
      </c>
      <c r="M432" s="5">
        <v>45938</v>
      </c>
      <c r="O432">
        <v>2</v>
      </c>
      <c r="P432">
        <v>43.88</v>
      </c>
      <c r="Q432">
        <v>54.85</v>
      </c>
      <c r="R432">
        <v>0</v>
      </c>
      <c r="S432">
        <v>109.7</v>
      </c>
      <c r="T432" t="s">
        <v>1001</v>
      </c>
      <c r="U432">
        <v>87.76</v>
      </c>
      <c r="V432">
        <v>21.94</v>
      </c>
    </row>
    <row r="433" spans="1:22" x14ac:dyDescent="0.35">
      <c r="A433" t="s">
        <v>1771</v>
      </c>
      <c r="B433" t="s">
        <v>1420</v>
      </c>
      <c r="C433" t="s">
        <v>613</v>
      </c>
      <c r="D433" t="s">
        <v>304</v>
      </c>
      <c r="E433" t="s">
        <v>696</v>
      </c>
      <c r="F433" t="s">
        <v>243</v>
      </c>
      <c r="G433" t="s">
        <v>20</v>
      </c>
      <c r="H433" t="s">
        <v>43</v>
      </c>
      <c r="I433" t="s">
        <v>146</v>
      </c>
      <c r="J433" t="s">
        <v>798</v>
      </c>
      <c r="K433" t="s">
        <v>793</v>
      </c>
      <c r="L433" t="s">
        <v>788</v>
      </c>
      <c r="M433" s="5">
        <v>45837</v>
      </c>
      <c r="O433">
        <v>1</v>
      </c>
      <c r="P433">
        <v>24.05</v>
      </c>
      <c r="Q433">
        <v>31.27</v>
      </c>
      <c r="R433">
        <v>0</v>
      </c>
      <c r="S433">
        <v>31.27</v>
      </c>
      <c r="T433" t="s">
        <v>1017</v>
      </c>
      <c r="U433">
        <v>24.05</v>
      </c>
      <c r="V433">
        <v>7.22</v>
      </c>
    </row>
    <row r="434" spans="1:22" x14ac:dyDescent="0.35">
      <c r="A434" t="s">
        <v>1773</v>
      </c>
      <c r="B434" t="s">
        <v>1774</v>
      </c>
      <c r="C434" t="s">
        <v>459</v>
      </c>
      <c r="D434" t="s">
        <v>460</v>
      </c>
      <c r="E434" t="s">
        <v>674</v>
      </c>
      <c r="F434" t="s">
        <v>264</v>
      </c>
      <c r="G434" t="s">
        <v>797</v>
      </c>
      <c r="H434" t="s">
        <v>43</v>
      </c>
      <c r="I434" t="s">
        <v>171</v>
      </c>
      <c r="J434" t="s">
        <v>798</v>
      </c>
      <c r="K434" t="s">
        <v>793</v>
      </c>
      <c r="L434" t="s">
        <v>800</v>
      </c>
      <c r="M434" s="5">
        <v>45593</v>
      </c>
      <c r="O434">
        <v>3</v>
      </c>
      <c r="P434">
        <v>29.39</v>
      </c>
      <c r="Q434">
        <v>39.68</v>
      </c>
      <c r="R434">
        <v>0.15</v>
      </c>
      <c r="S434">
        <v>101.18</v>
      </c>
      <c r="T434" t="s">
        <v>825</v>
      </c>
      <c r="U434">
        <v>88.17</v>
      </c>
      <c r="V434">
        <v>13.01</v>
      </c>
    </row>
    <row r="435" spans="1:22" x14ac:dyDescent="0.35">
      <c r="A435" t="s">
        <v>1776</v>
      </c>
      <c r="B435" t="s">
        <v>1547</v>
      </c>
      <c r="C435" t="s">
        <v>367</v>
      </c>
      <c r="D435" t="s">
        <v>368</v>
      </c>
      <c r="E435" t="s">
        <v>696</v>
      </c>
      <c r="F435" t="s">
        <v>264</v>
      </c>
      <c r="G435" t="s">
        <v>20</v>
      </c>
      <c r="H435" t="s">
        <v>38</v>
      </c>
      <c r="I435" t="s">
        <v>117</v>
      </c>
      <c r="J435" t="s">
        <v>813</v>
      </c>
      <c r="K435" t="s">
        <v>817</v>
      </c>
      <c r="L435" t="s">
        <v>788</v>
      </c>
      <c r="M435" s="5">
        <v>45488</v>
      </c>
      <c r="O435">
        <v>1</v>
      </c>
      <c r="P435">
        <v>43.25</v>
      </c>
      <c r="Q435">
        <v>60.55</v>
      </c>
      <c r="R435">
        <v>0.1</v>
      </c>
      <c r="S435">
        <v>54.49</v>
      </c>
      <c r="T435" t="s">
        <v>845</v>
      </c>
      <c r="U435">
        <v>43.25</v>
      </c>
      <c r="V435">
        <v>11.24</v>
      </c>
    </row>
    <row r="436" spans="1:22" x14ac:dyDescent="0.35">
      <c r="A436" t="s">
        <v>1777</v>
      </c>
      <c r="B436" t="s">
        <v>1778</v>
      </c>
      <c r="C436" t="s">
        <v>547</v>
      </c>
      <c r="D436" t="s">
        <v>375</v>
      </c>
      <c r="E436" t="s">
        <v>681</v>
      </c>
      <c r="F436" t="s">
        <v>243</v>
      </c>
      <c r="G436" t="s">
        <v>14</v>
      </c>
      <c r="H436" t="s">
        <v>79</v>
      </c>
      <c r="I436" t="s">
        <v>220</v>
      </c>
      <c r="J436" t="s">
        <v>813</v>
      </c>
      <c r="K436" t="s">
        <v>799</v>
      </c>
      <c r="L436" t="s">
        <v>800</v>
      </c>
      <c r="M436" s="5">
        <v>45549</v>
      </c>
      <c r="N436" s="5">
        <v>45550</v>
      </c>
      <c r="O436">
        <v>3</v>
      </c>
      <c r="P436">
        <v>46</v>
      </c>
      <c r="Q436">
        <v>62.1</v>
      </c>
      <c r="R436">
        <v>0.15</v>
      </c>
      <c r="S436">
        <v>158.36000000000001</v>
      </c>
      <c r="T436" t="s">
        <v>935</v>
      </c>
      <c r="U436">
        <v>138</v>
      </c>
      <c r="V436">
        <v>20.36</v>
      </c>
    </row>
    <row r="437" spans="1:22" x14ac:dyDescent="0.35">
      <c r="A437" t="s">
        <v>1780</v>
      </c>
      <c r="B437" t="s">
        <v>1064</v>
      </c>
      <c r="C437" t="s">
        <v>590</v>
      </c>
      <c r="D437" t="s">
        <v>591</v>
      </c>
      <c r="E437" t="s">
        <v>696</v>
      </c>
      <c r="F437" t="s">
        <v>235</v>
      </c>
      <c r="G437" t="s">
        <v>20</v>
      </c>
      <c r="H437" t="s">
        <v>14</v>
      </c>
      <c r="I437" t="s">
        <v>111</v>
      </c>
      <c r="J437" t="s">
        <v>798</v>
      </c>
      <c r="K437" t="s">
        <v>787</v>
      </c>
      <c r="L437" t="s">
        <v>842</v>
      </c>
      <c r="M437" s="5">
        <v>46029</v>
      </c>
      <c r="O437">
        <v>2</v>
      </c>
      <c r="P437">
        <v>19.850000000000001</v>
      </c>
      <c r="Q437">
        <v>28.78</v>
      </c>
      <c r="R437">
        <v>0</v>
      </c>
      <c r="S437">
        <v>57.56</v>
      </c>
      <c r="T437" t="s">
        <v>1134</v>
      </c>
      <c r="U437">
        <v>39.700000000000003</v>
      </c>
      <c r="V437">
        <v>17.86</v>
      </c>
    </row>
    <row r="438" spans="1:22" x14ac:dyDescent="0.35">
      <c r="A438" t="s">
        <v>1781</v>
      </c>
      <c r="B438" t="s">
        <v>1782</v>
      </c>
      <c r="C438" t="s">
        <v>448</v>
      </c>
      <c r="D438" t="s">
        <v>427</v>
      </c>
      <c r="E438" t="s">
        <v>627</v>
      </c>
      <c r="F438" t="s">
        <v>243</v>
      </c>
      <c r="G438" t="s">
        <v>48</v>
      </c>
      <c r="H438" t="s">
        <v>38</v>
      </c>
      <c r="I438" t="s">
        <v>132</v>
      </c>
      <c r="J438" t="s">
        <v>786</v>
      </c>
      <c r="K438" t="s">
        <v>799</v>
      </c>
      <c r="L438" t="s">
        <v>842</v>
      </c>
      <c r="M438" s="5">
        <v>45546</v>
      </c>
      <c r="N438" s="5">
        <v>45541</v>
      </c>
      <c r="O438">
        <v>3</v>
      </c>
      <c r="P438">
        <v>12.71</v>
      </c>
      <c r="Q438">
        <v>17.79</v>
      </c>
      <c r="R438">
        <v>0</v>
      </c>
      <c r="S438">
        <v>53.37</v>
      </c>
      <c r="T438" t="s">
        <v>1017</v>
      </c>
      <c r="U438">
        <v>38.130000000000003</v>
      </c>
      <c r="V438">
        <v>15.24</v>
      </c>
    </row>
    <row r="439" spans="1:22" x14ac:dyDescent="0.35">
      <c r="A439" t="s">
        <v>1784</v>
      </c>
      <c r="B439" t="s">
        <v>1443</v>
      </c>
      <c r="C439" t="s">
        <v>425</v>
      </c>
      <c r="D439" t="s">
        <v>404</v>
      </c>
      <c r="E439" t="s">
        <v>696</v>
      </c>
      <c r="F439" t="s">
        <v>264</v>
      </c>
      <c r="G439" t="s">
        <v>14</v>
      </c>
      <c r="H439" t="s">
        <v>48</v>
      </c>
      <c r="I439" t="s">
        <v>177</v>
      </c>
      <c r="J439" t="s">
        <v>813</v>
      </c>
      <c r="K439" t="s">
        <v>822</v>
      </c>
      <c r="L439" t="s">
        <v>842</v>
      </c>
      <c r="M439" s="5">
        <v>45929</v>
      </c>
      <c r="N439" s="5">
        <v>45931</v>
      </c>
      <c r="O439">
        <v>2</v>
      </c>
      <c r="P439">
        <v>41.79</v>
      </c>
      <c r="Q439">
        <v>60.6</v>
      </c>
      <c r="R439">
        <v>0.1</v>
      </c>
      <c r="S439">
        <v>109.08</v>
      </c>
      <c r="T439" t="s">
        <v>810</v>
      </c>
      <c r="U439">
        <v>83.58</v>
      </c>
      <c r="V439">
        <v>25.5</v>
      </c>
    </row>
    <row r="440" spans="1:22" x14ac:dyDescent="0.35">
      <c r="A440" t="s">
        <v>1786</v>
      </c>
      <c r="B440" t="s">
        <v>987</v>
      </c>
      <c r="C440" t="s">
        <v>507</v>
      </c>
      <c r="D440" t="s">
        <v>508</v>
      </c>
      <c r="E440" t="s">
        <v>633</v>
      </c>
      <c r="F440" t="s">
        <v>243</v>
      </c>
      <c r="G440" t="s">
        <v>20</v>
      </c>
      <c r="H440" t="s">
        <v>48</v>
      </c>
      <c r="I440" t="s">
        <v>135</v>
      </c>
      <c r="J440" t="s">
        <v>813</v>
      </c>
      <c r="K440" t="s">
        <v>793</v>
      </c>
      <c r="L440" t="s">
        <v>818</v>
      </c>
      <c r="M440" s="5">
        <v>45468</v>
      </c>
      <c r="O440">
        <v>10</v>
      </c>
      <c r="P440">
        <v>51.72</v>
      </c>
      <c r="Q440">
        <v>67.239999999999995</v>
      </c>
      <c r="R440">
        <v>0</v>
      </c>
      <c r="S440">
        <v>672.4</v>
      </c>
      <c r="T440" t="s">
        <v>1017</v>
      </c>
      <c r="U440">
        <v>517.20000000000005</v>
      </c>
      <c r="V440">
        <v>155.19999999999999</v>
      </c>
    </row>
    <row r="441" spans="1:22" x14ac:dyDescent="0.35">
      <c r="A441" t="s">
        <v>1787</v>
      </c>
      <c r="B441" t="s">
        <v>1692</v>
      </c>
      <c r="C441" t="s">
        <v>278</v>
      </c>
      <c r="D441" t="s">
        <v>279</v>
      </c>
      <c r="E441" t="s">
        <v>674</v>
      </c>
      <c r="F441" t="s">
        <v>235</v>
      </c>
      <c r="G441" t="s">
        <v>14</v>
      </c>
      <c r="H441" t="s">
        <v>29</v>
      </c>
      <c r="I441" t="s">
        <v>182</v>
      </c>
      <c r="J441" t="s">
        <v>786</v>
      </c>
      <c r="K441" t="s">
        <v>793</v>
      </c>
      <c r="L441" t="s">
        <v>800</v>
      </c>
      <c r="M441" s="5">
        <v>45425</v>
      </c>
      <c r="O441">
        <v>1</v>
      </c>
      <c r="P441">
        <v>19.77</v>
      </c>
      <c r="Q441">
        <v>27.68</v>
      </c>
      <c r="R441">
        <v>0.05</v>
      </c>
      <c r="S441">
        <v>26.3</v>
      </c>
      <c r="T441" t="s">
        <v>859</v>
      </c>
      <c r="U441">
        <v>19.77</v>
      </c>
      <c r="V441">
        <v>6.53</v>
      </c>
    </row>
    <row r="442" spans="1:22" x14ac:dyDescent="0.35">
      <c r="A442" t="s">
        <v>1789</v>
      </c>
      <c r="B442" t="s">
        <v>1790</v>
      </c>
      <c r="C442" t="s">
        <v>609</v>
      </c>
      <c r="D442" t="s">
        <v>610</v>
      </c>
      <c r="E442" t="s">
        <v>633</v>
      </c>
      <c r="G442" t="s">
        <v>14</v>
      </c>
      <c r="H442" t="s">
        <v>20</v>
      </c>
      <c r="I442" t="s">
        <v>134</v>
      </c>
      <c r="J442" t="s">
        <v>798</v>
      </c>
      <c r="K442" t="s">
        <v>787</v>
      </c>
      <c r="L442" t="s">
        <v>818</v>
      </c>
      <c r="M442" s="5">
        <v>45568</v>
      </c>
      <c r="O442">
        <v>10</v>
      </c>
      <c r="P442">
        <v>38.36</v>
      </c>
      <c r="Q442">
        <v>53.7</v>
      </c>
      <c r="R442">
        <v>0</v>
      </c>
      <c r="S442">
        <v>537</v>
      </c>
      <c r="T442" t="s">
        <v>790</v>
      </c>
      <c r="U442">
        <v>383.6</v>
      </c>
      <c r="V442">
        <v>153.4</v>
      </c>
    </row>
    <row r="443" spans="1:22" x14ac:dyDescent="0.35">
      <c r="A443" t="s">
        <v>1791</v>
      </c>
      <c r="B443" t="s">
        <v>1792</v>
      </c>
      <c r="C443" t="s">
        <v>485</v>
      </c>
      <c r="D443" t="s">
        <v>486</v>
      </c>
      <c r="E443" t="s">
        <v>254</v>
      </c>
      <c r="F443" t="s">
        <v>243</v>
      </c>
      <c r="G443" t="s">
        <v>797</v>
      </c>
      <c r="H443" t="s">
        <v>14</v>
      </c>
      <c r="I443" t="s">
        <v>56</v>
      </c>
      <c r="J443" t="s">
        <v>813</v>
      </c>
      <c r="K443" t="s">
        <v>793</v>
      </c>
      <c r="L443" t="s">
        <v>818</v>
      </c>
      <c r="M443" s="5">
        <v>45968</v>
      </c>
      <c r="O443">
        <v>3</v>
      </c>
      <c r="P443">
        <v>25.46</v>
      </c>
      <c r="Q443">
        <v>31.83</v>
      </c>
      <c r="R443">
        <v>0</v>
      </c>
      <c r="S443">
        <v>95.49</v>
      </c>
      <c r="T443" t="s">
        <v>810</v>
      </c>
      <c r="U443">
        <v>76.38</v>
      </c>
      <c r="V443">
        <v>19.11</v>
      </c>
    </row>
    <row r="444" spans="1:22" x14ac:dyDescent="0.35">
      <c r="A444" t="s">
        <v>1793</v>
      </c>
      <c r="B444" t="s">
        <v>1477</v>
      </c>
      <c r="C444" t="s">
        <v>483</v>
      </c>
      <c r="D444" t="s">
        <v>484</v>
      </c>
      <c r="E444" t="s">
        <v>254</v>
      </c>
      <c r="F444" t="s">
        <v>264</v>
      </c>
      <c r="G444" t="s">
        <v>48</v>
      </c>
      <c r="H444" t="s">
        <v>48</v>
      </c>
      <c r="I444" t="s">
        <v>61</v>
      </c>
      <c r="J444" t="s">
        <v>786</v>
      </c>
      <c r="K444" t="s">
        <v>787</v>
      </c>
      <c r="L444" t="s">
        <v>800</v>
      </c>
      <c r="M444" s="5">
        <v>46028</v>
      </c>
      <c r="O444">
        <v>1</v>
      </c>
      <c r="P444">
        <v>26.08</v>
      </c>
      <c r="Q444">
        <v>35.21</v>
      </c>
      <c r="R444">
        <v>0.15</v>
      </c>
      <c r="S444">
        <v>29.93</v>
      </c>
      <c r="T444" t="s">
        <v>790</v>
      </c>
      <c r="U444">
        <v>26.08</v>
      </c>
      <c r="V444">
        <v>3.85</v>
      </c>
    </row>
    <row r="445" spans="1:22" x14ac:dyDescent="0.35">
      <c r="A445" t="s">
        <v>1794</v>
      </c>
      <c r="B445" t="s">
        <v>1029</v>
      </c>
      <c r="C445" t="s">
        <v>507</v>
      </c>
      <c r="D445" t="s">
        <v>508</v>
      </c>
      <c r="E445" t="s">
        <v>254</v>
      </c>
      <c r="F445" t="s">
        <v>243</v>
      </c>
      <c r="G445" t="s">
        <v>20</v>
      </c>
      <c r="H445" t="s">
        <v>8</v>
      </c>
      <c r="I445" t="s">
        <v>21</v>
      </c>
      <c r="J445" t="s">
        <v>786</v>
      </c>
      <c r="K445" t="s">
        <v>787</v>
      </c>
      <c r="L445" t="s">
        <v>842</v>
      </c>
      <c r="M445" s="5">
        <v>45802</v>
      </c>
      <c r="O445">
        <v>10</v>
      </c>
      <c r="P445">
        <v>21.57</v>
      </c>
      <c r="Q445">
        <v>26.96</v>
      </c>
      <c r="R445">
        <v>0</v>
      </c>
      <c r="S445">
        <v>269.60000000000002</v>
      </c>
      <c r="T445" t="s">
        <v>859</v>
      </c>
      <c r="U445">
        <v>215.7</v>
      </c>
      <c r="V445">
        <v>53.9</v>
      </c>
    </row>
    <row r="446" spans="1:22" x14ac:dyDescent="0.35">
      <c r="A446" t="s">
        <v>1796</v>
      </c>
      <c r="B446" t="s">
        <v>1185</v>
      </c>
      <c r="C446" t="s">
        <v>605</v>
      </c>
      <c r="D446" t="s">
        <v>389</v>
      </c>
      <c r="E446" t="s">
        <v>627</v>
      </c>
      <c r="F446" t="s">
        <v>264</v>
      </c>
      <c r="G446" t="s">
        <v>20</v>
      </c>
      <c r="H446" t="s">
        <v>48</v>
      </c>
      <c r="I446" t="s">
        <v>148</v>
      </c>
      <c r="J446" t="s">
        <v>798</v>
      </c>
      <c r="K446" t="s">
        <v>799</v>
      </c>
      <c r="L446" t="s">
        <v>788</v>
      </c>
      <c r="M446" s="5">
        <v>45483</v>
      </c>
      <c r="N446" s="5">
        <v>45485</v>
      </c>
      <c r="O446">
        <v>20</v>
      </c>
      <c r="P446">
        <v>58.01</v>
      </c>
      <c r="Q446">
        <v>72.510000000000005</v>
      </c>
      <c r="R446">
        <v>0.1</v>
      </c>
      <c r="S446">
        <v>1305.18</v>
      </c>
      <c r="T446" t="s">
        <v>839</v>
      </c>
      <c r="U446">
        <v>1160.2</v>
      </c>
      <c r="V446">
        <v>144.97999999999999</v>
      </c>
    </row>
    <row r="447" spans="1:22" x14ac:dyDescent="0.35">
      <c r="A447" t="s">
        <v>1798</v>
      </c>
      <c r="B447" t="s">
        <v>1356</v>
      </c>
      <c r="C447" t="s">
        <v>474</v>
      </c>
      <c r="D447" t="s">
        <v>330</v>
      </c>
      <c r="E447" t="s">
        <v>254</v>
      </c>
      <c r="F447" t="s">
        <v>235</v>
      </c>
      <c r="G447" t="s">
        <v>797</v>
      </c>
      <c r="H447" t="s">
        <v>29</v>
      </c>
      <c r="I447" t="s">
        <v>123</v>
      </c>
      <c r="J447" t="s">
        <v>798</v>
      </c>
      <c r="K447" t="s">
        <v>787</v>
      </c>
      <c r="L447" t="s">
        <v>800</v>
      </c>
      <c r="M447" s="5">
        <v>45883</v>
      </c>
      <c r="O447">
        <v>10</v>
      </c>
      <c r="P447">
        <v>20.7</v>
      </c>
      <c r="Q447">
        <v>30.01</v>
      </c>
      <c r="R447">
        <v>0</v>
      </c>
      <c r="S447">
        <v>300.10000000000002</v>
      </c>
      <c r="T447" t="s">
        <v>859</v>
      </c>
      <c r="U447">
        <v>207</v>
      </c>
      <c r="V447">
        <v>93.1</v>
      </c>
    </row>
    <row r="448" spans="1:22" x14ac:dyDescent="0.35">
      <c r="A448" t="s">
        <v>1799</v>
      </c>
      <c r="B448" t="s">
        <v>1800</v>
      </c>
      <c r="C448" t="s">
        <v>465</v>
      </c>
      <c r="D448" t="s">
        <v>348</v>
      </c>
      <c r="E448" t="s">
        <v>633</v>
      </c>
      <c r="F448" t="s">
        <v>264</v>
      </c>
      <c r="G448" t="s">
        <v>14</v>
      </c>
      <c r="H448" t="s">
        <v>48</v>
      </c>
      <c r="I448" t="s">
        <v>219</v>
      </c>
      <c r="J448" t="s">
        <v>786</v>
      </c>
      <c r="K448" t="s">
        <v>799</v>
      </c>
      <c r="L448" t="s">
        <v>788</v>
      </c>
      <c r="M448" s="5">
        <v>46003</v>
      </c>
      <c r="N448" s="5">
        <v>45997</v>
      </c>
      <c r="O448">
        <v>10</v>
      </c>
      <c r="P448">
        <v>12.9</v>
      </c>
      <c r="Q448">
        <v>18.7</v>
      </c>
      <c r="R448">
        <v>0</v>
      </c>
      <c r="S448">
        <v>187</v>
      </c>
      <c r="T448" t="s">
        <v>834</v>
      </c>
      <c r="U448">
        <v>129</v>
      </c>
      <c r="V448">
        <v>58</v>
      </c>
    </row>
    <row r="449" spans="1:22" x14ac:dyDescent="0.35">
      <c r="A449" t="s">
        <v>1801</v>
      </c>
      <c r="B449" t="s">
        <v>1293</v>
      </c>
      <c r="C449" t="s">
        <v>493</v>
      </c>
      <c r="D449" t="s">
        <v>311</v>
      </c>
      <c r="E449" t="s">
        <v>681</v>
      </c>
      <c r="F449" t="s">
        <v>243</v>
      </c>
      <c r="G449" t="s">
        <v>48</v>
      </c>
      <c r="H449" t="s">
        <v>14</v>
      </c>
      <c r="I449" t="s">
        <v>194</v>
      </c>
      <c r="J449" t="s">
        <v>798</v>
      </c>
      <c r="K449" t="s">
        <v>787</v>
      </c>
      <c r="L449" t="s">
        <v>842</v>
      </c>
      <c r="M449" s="5">
        <v>46023</v>
      </c>
      <c r="O449">
        <v>3</v>
      </c>
      <c r="P449">
        <v>20.32</v>
      </c>
      <c r="Q449">
        <v>25.4</v>
      </c>
      <c r="R449">
        <v>0.15</v>
      </c>
      <c r="S449">
        <v>64.77</v>
      </c>
      <c r="T449" t="s">
        <v>946</v>
      </c>
      <c r="U449">
        <v>60.96</v>
      </c>
      <c r="V449">
        <v>3.81</v>
      </c>
    </row>
    <row r="450" spans="1:22" x14ac:dyDescent="0.35">
      <c r="A450" t="s">
        <v>1802</v>
      </c>
      <c r="B450" t="s">
        <v>1518</v>
      </c>
      <c r="C450" t="s">
        <v>599</v>
      </c>
      <c r="D450" t="s">
        <v>600</v>
      </c>
      <c r="E450" t="s">
        <v>681</v>
      </c>
      <c r="F450" t="s">
        <v>243</v>
      </c>
      <c r="G450" t="s">
        <v>48</v>
      </c>
      <c r="H450" t="s">
        <v>43</v>
      </c>
      <c r="I450" t="s">
        <v>53</v>
      </c>
      <c r="J450" t="s">
        <v>786</v>
      </c>
      <c r="K450" t="s">
        <v>787</v>
      </c>
      <c r="L450" t="s">
        <v>842</v>
      </c>
      <c r="M450" s="5">
        <v>45769</v>
      </c>
      <c r="O450">
        <v>10</v>
      </c>
      <c r="P450">
        <v>54.93</v>
      </c>
      <c r="Q450">
        <v>79.650000000000006</v>
      </c>
      <c r="R450">
        <v>0.15</v>
      </c>
      <c r="S450">
        <v>677.02</v>
      </c>
      <c r="T450" t="s">
        <v>859</v>
      </c>
      <c r="U450">
        <v>549.29999999999995</v>
      </c>
      <c r="V450">
        <v>127.72</v>
      </c>
    </row>
    <row r="451" spans="1:22" x14ac:dyDescent="0.35">
      <c r="A451" t="s">
        <v>1803</v>
      </c>
      <c r="B451" t="s">
        <v>1092</v>
      </c>
      <c r="C451" t="s">
        <v>604</v>
      </c>
      <c r="D451" t="s">
        <v>431</v>
      </c>
      <c r="E451" t="s">
        <v>254</v>
      </c>
      <c r="F451" t="s">
        <v>243</v>
      </c>
      <c r="G451" t="s">
        <v>14</v>
      </c>
      <c r="H451" t="s">
        <v>20</v>
      </c>
      <c r="I451" t="s">
        <v>51</v>
      </c>
      <c r="J451" t="s">
        <v>798</v>
      </c>
      <c r="K451" t="s">
        <v>787</v>
      </c>
      <c r="L451" t="s">
        <v>800</v>
      </c>
      <c r="M451" s="5">
        <v>45629</v>
      </c>
      <c r="O451">
        <v>3</v>
      </c>
      <c r="P451">
        <v>11.28</v>
      </c>
      <c r="Q451">
        <v>15.23</v>
      </c>
      <c r="R451">
        <v>0</v>
      </c>
      <c r="S451">
        <v>45.69</v>
      </c>
      <c r="T451" t="s">
        <v>794</v>
      </c>
      <c r="U451">
        <v>33.840000000000003</v>
      </c>
      <c r="V451">
        <v>11.85</v>
      </c>
    </row>
    <row r="452" spans="1:22" x14ac:dyDescent="0.35">
      <c r="A452" t="s">
        <v>1804</v>
      </c>
      <c r="B452" t="s">
        <v>1805</v>
      </c>
      <c r="C452" t="s">
        <v>257</v>
      </c>
      <c r="D452" t="s">
        <v>258</v>
      </c>
      <c r="E452" t="s">
        <v>637</v>
      </c>
      <c r="F452" t="s">
        <v>235</v>
      </c>
      <c r="G452" t="s">
        <v>797</v>
      </c>
      <c r="H452" t="s">
        <v>14</v>
      </c>
      <c r="I452" t="s">
        <v>67</v>
      </c>
      <c r="J452" t="s">
        <v>798</v>
      </c>
      <c r="K452" t="s">
        <v>793</v>
      </c>
      <c r="L452" t="s">
        <v>788</v>
      </c>
      <c r="M452" s="5">
        <v>45707</v>
      </c>
      <c r="O452">
        <v>20</v>
      </c>
      <c r="P452">
        <v>17.63</v>
      </c>
      <c r="Q452">
        <v>22.92</v>
      </c>
      <c r="R452">
        <v>0</v>
      </c>
      <c r="S452">
        <v>458.4</v>
      </c>
      <c r="T452" t="s">
        <v>859</v>
      </c>
      <c r="U452">
        <v>352.6</v>
      </c>
      <c r="V452">
        <v>105.8</v>
      </c>
    </row>
    <row r="453" spans="1:22" x14ac:dyDescent="0.35">
      <c r="A453" t="s">
        <v>1806</v>
      </c>
      <c r="B453" t="s">
        <v>1158</v>
      </c>
      <c r="C453" t="s">
        <v>601</v>
      </c>
      <c r="D453" t="s">
        <v>602</v>
      </c>
      <c r="E453" t="s">
        <v>637</v>
      </c>
      <c r="F453" t="s">
        <v>235</v>
      </c>
      <c r="G453" t="s">
        <v>48</v>
      </c>
      <c r="H453" t="s">
        <v>20</v>
      </c>
      <c r="I453" t="s">
        <v>102</v>
      </c>
      <c r="J453" t="s">
        <v>786</v>
      </c>
      <c r="K453" t="s">
        <v>799</v>
      </c>
      <c r="L453" t="s">
        <v>800</v>
      </c>
      <c r="M453" s="5">
        <v>45808</v>
      </c>
      <c r="N453" s="5">
        <v>45800</v>
      </c>
      <c r="O453">
        <v>10</v>
      </c>
      <c r="P453">
        <v>19.04</v>
      </c>
      <c r="Q453">
        <v>25.7</v>
      </c>
      <c r="R453">
        <v>0.15</v>
      </c>
      <c r="S453">
        <v>218.45</v>
      </c>
      <c r="T453" t="s">
        <v>919</v>
      </c>
      <c r="U453">
        <v>190.4</v>
      </c>
      <c r="V453">
        <v>28.05</v>
      </c>
    </row>
    <row r="454" spans="1:22" x14ac:dyDescent="0.35">
      <c r="A454" t="s">
        <v>1807</v>
      </c>
      <c r="B454" t="s">
        <v>1808</v>
      </c>
      <c r="C454" t="s">
        <v>506</v>
      </c>
      <c r="D454" t="s">
        <v>287</v>
      </c>
      <c r="E454" t="s">
        <v>696</v>
      </c>
      <c r="F454" t="s">
        <v>243</v>
      </c>
      <c r="G454" t="s">
        <v>20</v>
      </c>
      <c r="H454" t="s">
        <v>8</v>
      </c>
      <c r="I454" t="s">
        <v>174</v>
      </c>
      <c r="J454" t="s">
        <v>798</v>
      </c>
      <c r="K454" t="s">
        <v>799</v>
      </c>
      <c r="L454" t="s">
        <v>818</v>
      </c>
      <c r="M454" s="5">
        <v>45823</v>
      </c>
      <c r="N454" s="5">
        <v>45822</v>
      </c>
      <c r="O454">
        <v>3</v>
      </c>
      <c r="P454">
        <v>32.53</v>
      </c>
      <c r="Q454">
        <v>43.92</v>
      </c>
      <c r="R454">
        <v>0</v>
      </c>
      <c r="S454">
        <v>131.76</v>
      </c>
      <c r="T454" t="s">
        <v>876</v>
      </c>
      <c r="U454">
        <v>97.59</v>
      </c>
      <c r="V454">
        <v>34.17</v>
      </c>
    </row>
    <row r="455" spans="1:22" x14ac:dyDescent="0.35">
      <c r="A455" t="s">
        <v>1810</v>
      </c>
      <c r="B455" t="s">
        <v>1753</v>
      </c>
      <c r="C455" t="s">
        <v>483</v>
      </c>
      <c r="D455" t="s">
        <v>484</v>
      </c>
      <c r="E455" t="s">
        <v>681</v>
      </c>
      <c r="F455" t="s">
        <v>264</v>
      </c>
      <c r="G455" t="s">
        <v>797</v>
      </c>
      <c r="H455" t="s">
        <v>29</v>
      </c>
      <c r="I455" t="s">
        <v>145</v>
      </c>
      <c r="J455" t="s">
        <v>813</v>
      </c>
      <c r="K455" t="s">
        <v>793</v>
      </c>
      <c r="L455" t="s">
        <v>818</v>
      </c>
      <c r="M455" s="5">
        <v>45923</v>
      </c>
      <c r="O455">
        <v>1</v>
      </c>
      <c r="P455">
        <v>57.16</v>
      </c>
      <c r="Q455">
        <v>82.88</v>
      </c>
      <c r="R455">
        <v>0.15</v>
      </c>
      <c r="S455">
        <v>70.45</v>
      </c>
      <c r="T455" t="s">
        <v>794</v>
      </c>
      <c r="U455">
        <v>57.16</v>
      </c>
      <c r="V455">
        <v>13.29</v>
      </c>
    </row>
    <row r="456" spans="1:22" x14ac:dyDescent="0.35">
      <c r="A456" t="s">
        <v>1811</v>
      </c>
      <c r="B456" t="s">
        <v>1812</v>
      </c>
      <c r="C456" t="s">
        <v>507</v>
      </c>
      <c r="D456" t="s">
        <v>508</v>
      </c>
      <c r="E456" t="s">
        <v>627</v>
      </c>
      <c r="F456" t="s">
        <v>243</v>
      </c>
      <c r="G456" t="s">
        <v>14</v>
      </c>
      <c r="H456" t="s">
        <v>8</v>
      </c>
      <c r="I456" t="s">
        <v>101</v>
      </c>
      <c r="J456" t="s">
        <v>798</v>
      </c>
      <c r="K456" t="s">
        <v>793</v>
      </c>
      <c r="L456" t="s">
        <v>818</v>
      </c>
      <c r="M456" s="5">
        <v>45962</v>
      </c>
      <c r="O456">
        <v>2</v>
      </c>
      <c r="P456">
        <v>16.510000000000002</v>
      </c>
      <c r="Q456">
        <v>23.94</v>
      </c>
      <c r="R456">
        <v>0</v>
      </c>
      <c r="S456">
        <v>47.88</v>
      </c>
      <c r="T456" t="s">
        <v>819</v>
      </c>
      <c r="U456">
        <v>33.020000000000003</v>
      </c>
      <c r="V456">
        <v>14.86</v>
      </c>
    </row>
    <row r="457" spans="1:22" x14ac:dyDescent="0.35">
      <c r="A457" t="s">
        <v>1813</v>
      </c>
      <c r="B457" t="s">
        <v>1543</v>
      </c>
      <c r="C457" t="s">
        <v>339</v>
      </c>
      <c r="D457" t="s">
        <v>340</v>
      </c>
      <c r="E457" t="s">
        <v>681</v>
      </c>
      <c r="F457" t="s">
        <v>264</v>
      </c>
      <c r="G457" t="s">
        <v>48</v>
      </c>
      <c r="H457" t="s">
        <v>29</v>
      </c>
      <c r="I457" t="s">
        <v>183</v>
      </c>
      <c r="J457" t="s">
        <v>786</v>
      </c>
      <c r="K457" t="s">
        <v>799</v>
      </c>
      <c r="L457" t="s">
        <v>800</v>
      </c>
      <c r="M457" s="5">
        <v>45613</v>
      </c>
      <c r="N457" s="5">
        <v>45608</v>
      </c>
      <c r="O457">
        <v>2</v>
      </c>
      <c r="P457">
        <v>10.97</v>
      </c>
      <c r="Q457">
        <v>15.91</v>
      </c>
      <c r="R457">
        <v>0.1</v>
      </c>
      <c r="S457">
        <v>28.64</v>
      </c>
      <c r="T457" t="s">
        <v>829</v>
      </c>
      <c r="U457">
        <v>21.94</v>
      </c>
      <c r="V457">
        <v>6.7</v>
      </c>
    </row>
    <row r="458" spans="1:22" x14ac:dyDescent="0.35">
      <c r="A458" t="s">
        <v>1814</v>
      </c>
      <c r="B458" t="s">
        <v>1815</v>
      </c>
      <c r="C458" t="s">
        <v>516</v>
      </c>
      <c r="D458" t="s">
        <v>517</v>
      </c>
      <c r="E458" t="s">
        <v>254</v>
      </c>
      <c r="F458" t="s">
        <v>243</v>
      </c>
      <c r="G458" t="s">
        <v>14</v>
      </c>
      <c r="H458" t="s">
        <v>79</v>
      </c>
      <c r="I458" t="s">
        <v>220</v>
      </c>
      <c r="J458" t="s">
        <v>798</v>
      </c>
      <c r="K458" t="s">
        <v>799</v>
      </c>
      <c r="L458" t="s">
        <v>800</v>
      </c>
      <c r="M458" s="5">
        <v>45377</v>
      </c>
      <c r="N458" s="5">
        <v>45380</v>
      </c>
      <c r="O458">
        <v>3</v>
      </c>
      <c r="P458">
        <v>46</v>
      </c>
      <c r="Q458">
        <v>62.1</v>
      </c>
      <c r="R458">
        <v>0</v>
      </c>
      <c r="S458">
        <v>186.3</v>
      </c>
      <c r="T458" t="s">
        <v>1017</v>
      </c>
      <c r="U458">
        <v>138</v>
      </c>
      <c r="V458">
        <v>48.3</v>
      </c>
    </row>
    <row r="459" spans="1:22" x14ac:dyDescent="0.35">
      <c r="A459" t="s">
        <v>1816</v>
      </c>
      <c r="B459" t="s">
        <v>867</v>
      </c>
      <c r="C459" t="s">
        <v>252</v>
      </c>
      <c r="D459" t="s">
        <v>253</v>
      </c>
      <c r="E459" t="s">
        <v>254</v>
      </c>
      <c r="F459" t="s">
        <v>243</v>
      </c>
      <c r="G459" t="s">
        <v>20</v>
      </c>
      <c r="H459" t="s">
        <v>48</v>
      </c>
      <c r="I459" t="s">
        <v>202</v>
      </c>
      <c r="J459" t="s">
        <v>798</v>
      </c>
      <c r="K459" t="s">
        <v>799</v>
      </c>
      <c r="L459" t="s">
        <v>818</v>
      </c>
      <c r="M459" s="5">
        <v>45382</v>
      </c>
      <c r="N459" s="5">
        <v>45382</v>
      </c>
      <c r="O459">
        <v>20</v>
      </c>
      <c r="P459">
        <v>27</v>
      </c>
      <c r="Q459">
        <v>39.15</v>
      </c>
      <c r="R459">
        <v>0</v>
      </c>
      <c r="S459">
        <v>783</v>
      </c>
      <c r="T459" t="s">
        <v>834</v>
      </c>
      <c r="U459">
        <v>540</v>
      </c>
      <c r="V459">
        <v>243</v>
      </c>
    </row>
    <row r="460" spans="1:22" x14ac:dyDescent="0.35">
      <c r="A460" t="s">
        <v>1817</v>
      </c>
      <c r="B460" t="s">
        <v>816</v>
      </c>
      <c r="C460" t="s">
        <v>430</v>
      </c>
      <c r="D460" t="s">
        <v>431</v>
      </c>
      <c r="E460" t="s">
        <v>627</v>
      </c>
      <c r="F460" t="s">
        <v>264</v>
      </c>
      <c r="G460" t="s">
        <v>20</v>
      </c>
      <c r="H460" t="s">
        <v>8</v>
      </c>
      <c r="I460" t="s">
        <v>91</v>
      </c>
      <c r="J460" t="s">
        <v>786</v>
      </c>
      <c r="K460" t="s">
        <v>799</v>
      </c>
      <c r="L460" t="s">
        <v>800</v>
      </c>
      <c r="M460" s="5">
        <v>46027</v>
      </c>
      <c r="N460" s="5">
        <v>46017</v>
      </c>
      <c r="O460">
        <v>3</v>
      </c>
      <c r="P460">
        <v>36.82</v>
      </c>
      <c r="Q460">
        <v>47.87</v>
      </c>
      <c r="R460">
        <v>0</v>
      </c>
      <c r="S460">
        <v>143.61000000000001</v>
      </c>
      <c r="T460" t="s">
        <v>810</v>
      </c>
      <c r="U460">
        <v>110.46</v>
      </c>
      <c r="V460">
        <v>33.15</v>
      </c>
    </row>
    <row r="461" spans="1:22" x14ac:dyDescent="0.35">
      <c r="A461" t="s">
        <v>1819</v>
      </c>
      <c r="B461" t="s">
        <v>1407</v>
      </c>
      <c r="C461" t="s">
        <v>605</v>
      </c>
      <c r="D461" t="s">
        <v>389</v>
      </c>
      <c r="E461" t="s">
        <v>627</v>
      </c>
      <c r="F461" t="s">
        <v>264</v>
      </c>
      <c r="G461" t="s">
        <v>797</v>
      </c>
      <c r="H461" t="s">
        <v>38</v>
      </c>
      <c r="I461" t="s">
        <v>36</v>
      </c>
      <c r="J461" t="s">
        <v>798</v>
      </c>
      <c r="K461" t="s">
        <v>799</v>
      </c>
      <c r="L461" t="s">
        <v>842</v>
      </c>
      <c r="M461" s="5">
        <v>45488</v>
      </c>
      <c r="N461" s="5">
        <v>45483</v>
      </c>
      <c r="O461">
        <v>12</v>
      </c>
      <c r="P461">
        <v>8.57</v>
      </c>
      <c r="Q461">
        <v>11.14</v>
      </c>
      <c r="R461">
        <v>0</v>
      </c>
      <c r="S461">
        <v>133.68</v>
      </c>
      <c r="T461" t="s">
        <v>935</v>
      </c>
      <c r="U461">
        <v>102.84</v>
      </c>
      <c r="V461">
        <v>30.84</v>
      </c>
    </row>
    <row r="462" spans="1:22" x14ac:dyDescent="0.35">
      <c r="A462" t="s">
        <v>1820</v>
      </c>
      <c r="B462" t="s">
        <v>1006</v>
      </c>
      <c r="C462" t="s">
        <v>572</v>
      </c>
      <c r="D462" t="s">
        <v>304</v>
      </c>
      <c r="E462" t="s">
        <v>696</v>
      </c>
      <c r="F462" t="s">
        <v>235</v>
      </c>
      <c r="G462" t="s">
        <v>14</v>
      </c>
      <c r="H462" t="s">
        <v>14</v>
      </c>
      <c r="I462" t="s">
        <v>63</v>
      </c>
      <c r="J462" t="s">
        <v>798</v>
      </c>
      <c r="K462" t="s">
        <v>799</v>
      </c>
      <c r="L462" t="s">
        <v>818</v>
      </c>
      <c r="M462" s="5">
        <v>45312</v>
      </c>
      <c r="N462" s="5">
        <v>45315</v>
      </c>
      <c r="O462">
        <v>1</v>
      </c>
      <c r="P462">
        <v>13.03</v>
      </c>
      <c r="Q462">
        <v>16.29</v>
      </c>
      <c r="R462">
        <v>0</v>
      </c>
      <c r="S462">
        <v>16.29</v>
      </c>
      <c r="T462" t="s">
        <v>946</v>
      </c>
      <c r="U462">
        <v>13.03</v>
      </c>
      <c r="V462">
        <v>3.26</v>
      </c>
    </row>
    <row r="463" spans="1:22" x14ac:dyDescent="0.35">
      <c r="A463" t="s">
        <v>1821</v>
      </c>
      <c r="B463" t="s">
        <v>1238</v>
      </c>
      <c r="C463" t="s">
        <v>425</v>
      </c>
      <c r="D463" t="s">
        <v>404</v>
      </c>
      <c r="E463" t="s">
        <v>254</v>
      </c>
      <c r="F463" t="s">
        <v>264</v>
      </c>
      <c r="G463" t="s">
        <v>797</v>
      </c>
      <c r="H463" t="s">
        <v>29</v>
      </c>
      <c r="I463" t="s">
        <v>183</v>
      </c>
      <c r="J463" t="s">
        <v>813</v>
      </c>
      <c r="K463" t="s">
        <v>787</v>
      </c>
      <c r="L463" t="s">
        <v>842</v>
      </c>
      <c r="M463" s="5">
        <v>45664</v>
      </c>
      <c r="O463">
        <v>1</v>
      </c>
      <c r="P463">
        <v>10.97</v>
      </c>
      <c r="Q463">
        <v>15.91</v>
      </c>
      <c r="R463">
        <v>0.15</v>
      </c>
      <c r="S463">
        <v>13.52</v>
      </c>
      <c r="T463" t="s">
        <v>963</v>
      </c>
      <c r="U463">
        <v>10.97</v>
      </c>
      <c r="V463">
        <v>2.5499999999999998</v>
      </c>
    </row>
    <row r="464" spans="1:22" x14ac:dyDescent="0.35">
      <c r="A464" t="s">
        <v>1823</v>
      </c>
      <c r="B464" t="s">
        <v>809</v>
      </c>
      <c r="C464" t="s">
        <v>502</v>
      </c>
      <c r="D464" t="s">
        <v>503</v>
      </c>
      <c r="E464" t="s">
        <v>681</v>
      </c>
      <c r="F464" t="s">
        <v>235</v>
      </c>
      <c r="G464" t="s">
        <v>797</v>
      </c>
      <c r="H464" t="s">
        <v>8</v>
      </c>
      <c r="I464" t="s">
        <v>192</v>
      </c>
      <c r="J464" t="s">
        <v>798</v>
      </c>
      <c r="K464" t="s">
        <v>799</v>
      </c>
      <c r="L464" t="s">
        <v>788</v>
      </c>
      <c r="M464" s="5">
        <v>45326</v>
      </c>
      <c r="N464" s="5">
        <v>45327</v>
      </c>
      <c r="O464">
        <v>20</v>
      </c>
      <c r="P464">
        <v>19.47</v>
      </c>
      <c r="Q464">
        <v>28.23</v>
      </c>
      <c r="R464">
        <v>0</v>
      </c>
      <c r="S464">
        <v>564.6</v>
      </c>
      <c r="T464" t="s">
        <v>859</v>
      </c>
      <c r="U464">
        <v>389.4</v>
      </c>
      <c r="V464">
        <v>175.2</v>
      </c>
    </row>
    <row r="465" spans="1:22" x14ac:dyDescent="0.35">
      <c r="A465" t="s">
        <v>1824</v>
      </c>
      <c r="B465" t="s">
        <v>1264</v>
      </c>
      <c r="C465" t="s">
        <v>477</v>
      </c>
      <c r="D465" t="s">
        <v>478</v>
      </c>
      <c r="E465" t="s">
        <v>254</v>
      </c>
      <c r="F465" t="s">
        <v>243</v>
      </c>
      <c r="G465" t="s">
        <v>797</v>
      </c>
      <c r="H465" t="s">
        <v>29</v>
      </c>
      <c r="I465" t="s">
        <v>158</v>
      </c>
      <c r="J465" t="s">
        <v>786</v>
      </c>
      <c r="K465" t="s">
        <v>799</v>
      </c>
      <c r="L465" t="s">
        <v>818</v>
      </c>
      <c r="M465" s="5">
        <v>45457</v>
      </c>
      <c r="N465" s="5">
        <v>45444</v>
      </c>
      <c r="O465">
        <v>10</v>
      </c>
      <c r="P465">
        <v>25.8</v>
      </c>
      <c r="Q465">
        <v>36.119999999999997</v>
      </c>
      <c r="R465">
        <v>0.05</v>
      </c>
      <c r="S465">
        <v>343.14</v>
      </c>
      <c r="T465" t="s">
        <v>819</v>
      </c>
      <c r="U465">
        <v>258</v>
      </c>
      <c r="V465">
        <v>85.14</v>
      </c>
    </row>
    <row r="466" spans="1:22" x14ac:dyDescent="0.35">
      <c r="A466" t="s">
        <v>1825</v>
      </c>
      <c r="B466" t="s">
        <v>1530</v>
      </c>
      <c r="C466" t="s">
        <v>398</v>
      </c>
      <c r="D466" t="s">
        <v>399</v>
      </c>
      <c r="E466" t="s">
        <v>674</v>
      </c>
      <c r="F466" t="s">
        <v>264</v>
      </c>
      <c r="G466" t="s">
        <v>797</v>
      </c>
      <c r="H466" t="s">
        <v>14</v>
      </c>
      <c r="I466" t="s">
        <v>90</v>
      </c>
      <c r="J466" t="s">
        <v>786</v>
      </c>
      <c r="K466" t="s">
        <v>793</v>
      </c>
      <c r="L466" t="s">
        <v>800</v>
      </c>
      <c r="M466" s="5">
        <v>45766</v>
      </c>
      <c r="O466">
        <v>5</v>
      </c>
      <c r="P466">
        <v>27.34</v>
      </c>
      <c r="Q466">
        <v>39.64</v>
      </c>
      <c r="R466">
        <v>0</v>
      </c>
      <c r="S466">
        <v>198.2</v>
      </c>
      <c r="T466" t="s">
        <v>919</v>
      </c>
      <c r="U466">
        <v>136.69999999999999</v>
      </c>
      <c r="V466">
        <v>61.5</v>
      </c>
    </row>
    <row r="467" spans="1:22" x14ac:dyDescent="0.35">
      <c r="A467" t="s">
        <v>1826</v>
      </c>
      <c r="B467" t="s">
        <v>1337</v>
      </c>
      <c r="C467" t="s">
        <v>474</v>
      </c>
      <c r="D467" t="s">
        <v>330</v>
      </c>
      <c r="E467" t="s">
        <v>637</v>
      </c>
      <c r="F467" t="s">
        <v>235</v>
      </c>
      <c r="G467" t="s">
        <v>14</v>
      </c>
      <c r="H467" t="s">
        <v>20</v>
      </c>
      <c r="I467" t="s">
        <v>134</v>
      </c>
      <c r="J467" t="s">
        <v>798</v>
      </c>
      <c r="K467" t="s">
        <v>799</v>
      </c>
      <c r="L467" t="s">
        <v>800</v>
      </c>
      <c r="M467" s="5">
        <v>45944</v>
      </c>
      <c r="N467" s="5">
        <v>45944</v>
      </c>
      <c r="O467">
        <v>10</v>
      </c>
      <c r="P467">
        <v>38.36</v>
      </c>
      <c r="Q467">
        <v>53.7</v>
      </c>
      <c r="R467">
        <v>0</v>
      </c>
      <c r="S467">
        <v>537</v>
      </c>
      <c r="T467" t="s">
        <v>819</v>
      </c>
      <c r="U467">
        <v>383.6</v>
      </c>
      <c r="V467">
        <v>153.4</v>
      </c>
    </row>
    <row r="468" spans="1:22" x14ac:dyDescent="0.35">
      <c r="A468" t="s">
        <v>1827</v>
      </c>
      <c r="B468" t="s">
        <v>1024</v>
      </c>
      <c r="C468" t="s">
        <v>550</v>
      </c>
      <c r="D468" t="s">
        <v>408</v>
      </c>
      <c r="E468" t="s">
        <v>681</v>
      </c>
      <c r="F468" t="s">
        <v>243</v>
      </c>
      <c r="G468" t="s">
        <v>14</v>
      </c>
      <c r="H468" t="s">
        <v>48</v>
      </c>
      <c r="I468" t="s">
        <v>210</v>
      </c>
      <c r="J468" t="s">
        <v>798</v>
      </c>
      <c r="K468" t="s">
        <v>799</v>
      </c>
      <c r="L468" t="s">
        <v>818</v>
      </c>
      <c r="M468" s="5">
        <v>45796</v>
      </c>
      <c r="N468" s="5">
        <v>45790</v>
      </c>
      <c r="O468">
        <v>1</v>
      </c>
      <c r="P468">
        <v>25.36</v>
      </c>
      <c r="Q468">
        <v>34.24</v>
      </c>
      <c r="R468">
        <v>0</v>
      </c>
      <c r="S468">
        <v>34.24</v>
      </c>
      <c r="T468" t="s">
        <v>1001</v>
      </c>
      <c r="U468">
        <v>25.36</v>
      </c>
      <c r="V468">
        <v>8.8800000000000008</v>
      </c>
    </row>
    <row r="469" spans="1:22" x14ac:dyDescent="0.35">
      <c r="A469" t="s">
        <v>1830</v>
      </c>
      <c r="B469" t="s">
        <v>1481</v>
      </c>
      <c r="C469" t="s">
        <v>477</v>
      </c>
      <c r="D469" t="s">
        <v>478</v>
      </c>
      <c r="E469" t="s">
        <v>627</v>
      </c>
      <c r="F469" t="s">
        <v>243</v>
      </c>
      <c r="G469" t="s">
        <v>797</v>
      </c>
      <c r="H469" t="s">
        <v>20</v>
      </c>
      <c r="I469" t="s">
        <v>18</v>
      </c>
      <c r="J469" t="s">
        <v>813</v>
      </c>
      <c r="K469" t="s">
        <v>822</v>
      </c>
      <c r="L469" t="s">
        <v>818</v>
      </c>
      <c r="M469" s="5">
        <v>45835</v>
      </c>
      <c r="N469" s="5">
        <v>45840</v>
      </c>
      <c r="O469">
        <v>2</v>
      </c>
      <c r="P469">
        <v>21.57</v>
      </c>
      <c r="Q469">
        <v>26.96</v>
      </c>
      <c r="R469">
        <v>0.05</v>
      </c>
      <c r="S469">
        <v>51.22</v>
      </c>
      <c r="T469" t="s">
        <v>919</v>
      </c>
      <c r="U469">
        <v>43.14</v>
      </c>
      <c r="V469">
        <v>8.08</v>
      </c>
    </row>
    <row r="470" spans="1:22" x14ac:dyDescent="0.35">
      <c r="A470" t="s">
        <v>1832</v>
      </c>
      <c r="B470" t="s">
        <v>1137</v>
      </c>
      <c r="C470" t="s">
        <v>444</v>
      </c>
      <c r="D470" t="s">
        <v>445</v>
      </c>
      <c r="E470" t="s">
        <v>696</v>
      </c>
      <c r="F470" t="s">
        <v>264</v>
      </c>
      <c r="G470" t="s">
        <v>14</v>
      </c>
      <c r="H470" t="s">
        <v>8</v>
      </c>
      <c r="I470" t="s">
        <v>65</v>
      </c>
      <c r="J470" t="s">
        <v>813</v>
      </c>
      <c r="K470" t="s">
        <v>793</v>
      </c>
      <c r="L470" t="s">
        <v>788</v>
      </c>
      <c r="M470" s="5">
        <v>45932</v>
      </c>
      <c r="O470">
        <v>1</v>
      </c>
      <c r="P470">
        <v>30.16</v>
      </c>
      <c r="Q470">
        <v>40.72</v>
      </c>
      <c r="R470">
        <v>0.05</v>
      </c>
      <c r="S470">
        <v>38.68</v>
      </c>
      <c r="T470" t="s">
        <v>814</v>
      </c>
      <c r="U470">
        <v>30.16</v>
      </c>
      <c r="V470">
        <v>8.52</v>
      </c>
    </row>
    <row r="471" spans="1:22" x14ac:dyDescent="0.35">
      <c r="A471" t="s">
        <v>1833</v>
      </c>
      <c r="B471" t="s">
        <v>1317</v>
      </c>
      <c r="C471" t="s">
        <v>513</v>
      </c>
      <c r="D471" t="s">
        <v>514</v>
      </c>
      <c r="E471" t="s">
        <v>674</v>
      </c>
      <c r="F471" t="s">
        <v>264</v>
      </c>
      <c r="G471" t="s">
        <v>14</v>
      </c>
      <c r="H471" t="s">
        <v>43</v>
      </c>
      <c r="I471" t="s">
        <v>44</v>
      </c>
      <c r="J471" t="s">
        <v>798</v>
      </c>
      <c r="K471" t="s">
        <v>822</v>
      </c>
      <c r="L471" t="s">
        <v>818</v>
      </c>
      <c r="M471" s="5">
        <v>45747</v>
      </c>
      <c r="N471" s="5">
        <v>45747</v>
      </c>
      <c r="O471">
        <v>2</v>
      </c>
      <c r="P471">
        <v>14.05</v>
      </c>
      <c r="Q471">
        <v>19.670000000000002</v>
      </c>
      <c r="R471">
        <v>0</v>
      </c>
      <c r="S471">
        <v>39.340000000000003</v>
      </c>
      <c r="T471" t="s">
        <v>859</v>
      </c>
      <c r="U471">
        <v>28.1</v>
      </c>
      <c r="V471">
        <v>11.24</v>
      </c>
    </row>
    <row r="472" spans="1:22" x14ac:dyDescent="0.35">
      <c r="A472" t="s">
        <v>1834</v>
      </c>
      <c r="B472" t="s">
        <v>1021</v>
      </c>
      <c r="C472" t="s">
        <v>601</v>
      </c>
      <c r="D472" t="s">
        <v>602</v>
      </c>
      <c r="E472" t="s">
        <v>633</v>
      </c>
      <c r="F472" t="s">
        <v>235</v>
      </c>
      <c r="G472" t="s">
        <v>20</v>
      </c>
      <c r="H472" t="s">
        <v>29</v>
      </c>
      <c r="I472" t="s">
        <v>183</v>
      </c>
      <c r="J472" t="s">
        <v>786</v>
      </c>
      <c r="K472" t="s">
        <v>799</v>
      </c>
      <c r="L472" t="s">
        <v>788</v>
      </c>
      <c r="M472" s="5">
        <v>45732</v>
      </c>
      <c r="N472" s="5">
        <v>45720</v>
      </c>
      <c r="O472">
        <v>10</v>
      </c>
      <c r="P472">
        <v>10.97</v>
      </c>
      <c r="Q472">
        <v>15.91</v>
      </c>
      <c r="R472">
        <v>0</v>
      </c>
      <c r="S472">
        <v>159.1</v>
      </c>
      <c r="T472" t="s">
        <v>1001</v>
      </c>
      <c r="U472">
        <v>109.7</v>
      </c>
      <c r="V472">
        <v>49.4</v>
      </c>
    </row>
    <row r="473" spans="1:22" x14ac:dyDescent="0.35">
      <c r="A473" t="s">
        <v>1835</v>
      </c>
      <c r="B473" t="s">
        <v>1586</v>
      </c>
      <c r="C473" t="s">
        <v>342</v>
      </c>
      <c r="D473" t="s">
        <v>245</v>
      </c>
      <c r="E473" t="s">
        <v>674</v>
      </c>
      <c r="F473" t="s">
        <v>235</v>
      </c>
      <c r="G473" t="s">
        <v>797</v>
      </c>
      <c r="H473" t="s">
        <v>20</v>
      </c>
      <c r="I473" t="s">
        <v>134</v>
      </c>
      <c r="J473" t="s">
        <v>798</v>
      </c>
      <c r="K473" t="s">
        <v>787</v>
      </c>
      <c r="L473" t="s">
        <v>818</v>
      </c>
      <c r="M473" s="5">
        <v>45982</v>
      </c>
      <c r="O473">
        <v>12</v>
      </c>
      <c r="P473">
        <v>38.36</v>
      </c>
      <c r="Q473">
        <v>53.7</v>
      </c>
      <c r="R473">
        <v>0.05</v>
      </c>
      <c r="S473">
        <v>612.17999999999995</v>
      </c>
      <c r="T473" t="s">
        <v>859</v>
      </c>
      <c r="U473">
        <v>460.32</v>
      </c>
      <c r="V473">
        <v>151.86000000000001</v>
      </c>
    </row>
    <row r="474" spans="1:22" x14ac:dyDescent="0.35">
      <c r="A474" t="s">
        <v>1836</v>
      </c>
      <c r="B474" t="s">
        <v>1782</v>
      </c>
      <c r="C474" t="s">
        <v>534</v>
      </c>
      <c r="D474" t="s">
        <v>535</v>
      </c>
      <c r="E474" t="s">
        <v>254</v>
      </c>
      <c r="G474" t="s">
        <v>48</v>
      </c>
      <c r="H474" t="s">
        <v>8</v>
      </c>
      <c r="I474" t="s">
        <v>23</v>
      </c>
      <c r="J474" t="s">
        <v>798</v>
      </c>
      <c r="K474" t="s">
        <v>793</v>
      </c>
      <c r="L474" t="s">
        <v>788</v>
      </c>
      <c r="M474" s="5">
        <v>45539</v>
      </c>
      <c r="O474">
        <v>5</v>
      </c>
      <c r="P474">
        <v>58.47</v>
      </c>
      <c r="Q474">
        <v>84.78</v>
      </c>
      <c r="R474">
        <v>0</v>
      </c>
      <c r="S474">
        <v>423.9</v>
      </c>
      <c r="T474" t="s">
        <v>892</v>
      </c>
      <c r="U474">
        <v>292.35000000000002</v>
      </c>
      <c r="V474">
        <v>131.55000000000001</v>
      </c>
    </row>
    <row r="475" spans="1:22" x14ac:dyDescent="0.35">
      <c r="A475" t="s">
        <v>1837</v>
      </c>
      <c r="B475" t="s">
        <v>1679</v>
      </c>
      <c r="C475" t="s">
        <v>440</v>
      </c>
      <c r="D475" t="s">
        <v>441</v>
      </c>
      <c r="E475" t="s">
        <v>696</v>
      </c>
      <c r="F475" t="s">
        <v>264</v>
      </c>
      <c r="G475" t="s">
        <v>797</v>
      </c>
      <c r="H475" t="s">
        <v>14</v>
      </c>
      <c r="I475" t="s">
        <v>128</v>
      </c>
      <c r="J475" t="s">
        <v>798</v>
      </c>
      <c r="K475" t="s">
        <v>799</v>
      </c>
      <c r="L475" t="s">
        <v>818</v>
      </c>
      <c r="M475" s="5">
        <v>45331</v>
      </c>
      <c r="N475" s="5">
        <v>45330</v>
      </c>
      <c r="O475">
        <v>3</v>
      </c>
      <c r="P475">
        <v>18.850000000000001</v>
      </c>
      <c r="Q475">
        <v>27.33</v>
      </c>
      <c r="R475">
        <v>0</v>
      </c>
      <c r="S475">
        <v>81.99</v>
      </c>
      <c r="T475" t="s">
        <v>1134</v>
      </c>
      <c r="U475">
        <v>56.55</v>
      </c>
      <c r="V475">
        <v>25.44</v>
      </c>
    </row>
    <row r="476" spans="1:22" x14ac:dyDescent="0.35">
      <c r="A476" t="s">
        <v>1838</v>
      </c>
      <c r="B476" t="s">
        <v>1839</v>
      </c>
      <c r="C476" t="s">
        <v>407</v>
      </c>
      <c r="D476" t="s">
        <v>408</v>
      </c>
      <c r="E476" t="s">
        <v>674</v>
      </c>
      <c r="F476" t="s">
        <v>235</v>
      </c>
      <c r="G476" t="s">
        <v>20</v>
      </c>
      <c r="H476" t="s">
        <v>14</v>
      </c>
      <c r="I476" t="s">
        <v>12</v>
      </c>
      <c r="J476" t="s">
        <v>786</v>
      </c>
      <c r="K476" t="s">
        <v>799</v>
      </c>
      <c r="L476" t="s">
        <v>842</v>
      </c>
      <c r="M476" s="5">
        <v>45353</v>
      </c>
      <c r="N476" s="5">
        <v>45347</v>
      </c>
      <c r="O476">
        <v>12</v>
      </c>
      <c r="P476">
        <v>35.03</v>
      </c>
      <c r="Q476">
        <v>50.79</v>
      </c>
      <c r="R476">
        <v>0.15</v>
      </c>
      <c r="S476">
        <v>518.05999999999995</v>
      </c>
      <c r="T476" t="s">
        <v>829</v>
      </c>
      <c r="U476">
        <v>420.36</v>
      </c>
      <c r="V476">
        <v>97.7</v>
      </c>
    </row>
    <row r="477" spans="1:22" x14ac:dyDescent="0.35">
      <c r="A477" t="s">
        <v>1841</v>
      </c>
      <c r="B477" t="s">
        <v>1415</v>
      </c>
      <c r="C477" t="s">
        <v>327</v>
      </c>
      <c r="D477" t="s">
        <v>328</v>
      </c>
      <c r="E477" t="s">
        <v>637</v>
      </c>
      <c r="F477" t="s">
        <v>264</v>
      </c>
      <c r="G477" t="s">
        <v>14</v>
      </c>
      <c r="H477" t="s">
        <v>8</v>
      </c>
      <c r="I477" t="s">
        <v>207</v>
      </c>
      <c r="J477" t="s">
        <v>786</v>
      </c>
      <c r="K477" t="s">
        <v>822</v>
      </c>
      <c r="L477" t="s">
        <v>842</v>
      </c>
      <c r="M477" s="5">
        <v>45774</v>
      </c>
      <c r="N477" s="5">
        <v>45763</v>
      </c>
      <c r="O477">
        <v>3</v>
      </c>
      <c r="P477">
        <v>8.5399999999999991</v>
      </c>
      <c r="Q477">
        <v>10.67</v>
      </c>
      <c r="R477">
        <v>0.1</v>
      </c>
      <c r="S477">
        <v>28.81</v>
      </c>
      <c r="T477" t="s">
        <v>919</v>
      </c>
      <c r="U477">
        <v>25.62</v>
      </c>
      <c r="V477">
        <v>3.19</v>
      </c>
    </row>
    <row r="478" spans="1:22" x14ac:dyDescent="0.35">
      <c r="A478" t="s">
        <v>1842</v>
      </c>
      <c r="B478" t="s">
        <v>1337</v>
      </c>
      <c r="C478" t="s">
        <v>377</v>
      </c>
      <c r="D478" t="s">
        <v>378</v>
      </c>
      <c r="E478" t="s">
        <v>633</v>
      </c>
      <c r="F478" t="s">
        <v>243</v>
      </c>
      <c r="G478" t="s">
        <v>797</v>
      </c>
      <c r="H478" t="s">
        <v>43</v>
      </c>
      <c r="I478" t="s">
        <v>44</v>
      </c>
      <c r="J478" t="s">
        <v>798</v>
      </c>
      <c r="K478" t="s">
        <v>799</v>
      </c>
      <c r="L478" t="s">
        <v>818</v>
      </c>
      <c r="M478" s="5">
        <v>45944</v>
      </c>
      <c r="N478" s="5">
        <v>45940</v>
      </c>
      <c r="O478">
        <v>10</v>
      </c>
      <c r="P478">
        <v>14.05</v>
      </c>
      <c r="Q478">
        <v>19.670000000000002</v>
      </c>
      <c r="R478">
        <v>0.15</v>
      </c>
      <c r="S478">
        <v>167.2</v>
      </c>
      <c r="T478" t="s">
        <v>919</v>
      </c>
      <c r="U478">
        <v>140.5</v>
      </c>
      <c r="V478">
        <v>26.7</v>
      </c>
    </row>
    <row r="479" spans="1:22" x14ac:dyDescent="0.35">
      <c r="A479" t="s">
        <v>1843</v>
      </c>
      <c r="B479" t="s">
        <v>1010</v>
      </c>
      <c r="C479" t="s">
        <v>438</v>
      </c>
      <c r="D479" t="s">
        <v>439</v>
      </c>
      <c r="E479" t="s">
        <v>637</v>
      </c>
      <c r="F479" t="s">
        <v>264</v>
      </c>
      <c r="G479" t="s">
        <v>797</v>
      </c>
      <c r="H479" t="s">
        <v>20</v>
      </c>
      <c r="I479" t="s">
        <v>97</v>
      </c>
      <c r="J479" t="s">
        <v>786</v>
      </c>
      <c r="K479" t="s">
        <v>799</v>
      </c>
      <c r="L479" t="s">
        <v>818</v>
      </c>
      <c r="M479" s="5">
        <v>45968</v>
      </c>
      <c r="N479" s="5">
        <v>45962</v>
      </c>
      <c r="O479">
        <v>5</v>
      </c>
      <c r="P479">
        <v>20.79</v>
      </c>
      <c r="Q479">
        <v>28.07</v>
      </c>
      <c r="R479">
        <v>0</v>
      </c>
      <c r="S479">
        <v>140.35</v>
      </c>
      <c r="T479" t="s">
        <v>794</v>
      </c>
      <c r="U479">
        <v>103.95</v>
      </c>
      <c r="V479">
        <v>36.4</v>
      </c>
    </row>
    <row r="480" spans="1:22" x14ac:dyDescent="0.35">
      <c r="A480" t="s">
        <v>1844</v>
      </c>
      <c r="B480" t="s">
        <v>1845</v>
      </c>
      <c r="C480" t="s">
        <v>513</v>
      </c>
      <c r="D480" t="s">
        <v>514</v>
      </c>
      <c r="E480" t="s">
        <v>674</v>
      </c>
      <c r="F480" t="s">
        <v>264</v>
      </c>
      <c r="G480" t="s">
        <v>797</v>
      </c>
      <c r="H480" t="s">
        <v>8</v>
      </c>
      <c r="I480" t="s">
        <v>91</v>
      </c>
      <c r="J480" t="s">
        <v>798</v>
      </c>
      <c r="K480" t="s">
        <v>799</v>
      </c>
      <c r="L480" t="s">
        <v>800</v>
      </c>
      <c r="M480" s="5">
        <v>45648</v>
      </c>
      <c r="N480" s="5">
        <v>45645</v>
      </c>
      <c r="O480">
        <v>5</v>
      </c>
      <c r="P480">
        <v>36.82</v>
      </c>
      <c r="Q480">
        <v>47.87</v>
      </c>
      <c r="R480">
        <v>0.15</v>
      </c>
      <c r="S480">
        <v>203.45</v>
      </c>
      <c r="T480" t="s">
        <v>825</v>
      </c>
      <c r="U480">
        <v>184.1</v>
      </c>
      <c r="V480">
        <v>19.350000000000001</v>
      </c>
    </row>
    <row r="481" spans="1:22" x14ac:dyDescent="0.35">
      <c r="A481" t="s">
        <v>1846</v>
      </c>
      <c r="B481" t="s">
        <v>1263</v>
      </c>
      <c r="C481" t="s">
        <v>475</v>
      </c>
      <c r="D481" t="s">
        <v>476</v>
      </c>
      <c r="E481" t="s">
        <v>637</v>
      </c>
      <c r="F481" t="s">
        <v>243</v>
      </c>
      <c r="G481" t="s">
        <v>797</v>
      </c>
      <c r="H481" t="s">
        <v>20</v>
      </c>
      <c r="I481" t="s">
        <v>163</v>
      </c>
      <c r="J481" t="s">
        <v>786</v>
      </c>
      <c r="K481" t="s">
        <v>793</v>
      </c>
      <c r="L481" t="s">
        <v>818</v>
      </c>
      <c r="M481" s="5">
        <v>45461</v>
      </c>
      <c r="O481">
        <v>20</v>
      </c>
      <c r="P481">
        <v>55.3</v>
      </c>
      <c r="Q481">
        <v>74.66</v>
      </c>
      <c r="R481">
        <v>0.05</v>
      </c>
      <c r="S481">
        <v>1418.54</v>
      </c>
      <c r="T481" t="s">
        <v>892</v>
      </c>
      <c r="U481">
        <v>1106</v>
      </c>
      <c r="V481">
        <v>312.54000000000002</v>
      </c>
    </row>
    <row r="482" spans="1:22" x14ac:dyDescent="0.35">
      <c r="A482" t="s">
        <v>1847</v>
      </c>
      <c r="B482" t="s">
        <v>1848</v>
      </c>
      <c r="C482" t="s">
        <v>266</v>
      </c>
      <c r="D482" t="s">
        <v>267</v>
      </c>
      <c r="E482" t="s">
        <v>696</v>
      </c>
      <c r="F482" t="s">
        <v>243</v>
      </c>
      <c r="G482" t="s">
        <v>797</v>
      </c>
      <c r="H482" t="s">
        <v>8</v>
      </c>
      <c r="I482" t="s">
        <v>129</v>
      </c>
      <c r="J482" t="s">
        <v>813</v>
      </c>
      <c r="K482" t="s">
        <v>799</v>
      </c>
      <c r="L482" t="s">
        <v>842</v>
      </c>
      <c r="M482" s="5">
        <v>45993</v>
      </c>
      <c r="N482" s="5">
        <v>45996</v>
      </c>
      <c r="O482">
        <v>2</v>
      </c>
      <c r="P482">
        <v>22.15</v>
      </c>
      <c r="Q482">
        <v>31.01</v>
      </c>
      <c r="R482">
        <v>0</v>
      </c>
      <c r="S482">
        <v>62.02</v>
      </c>
      <c r="T482" t="s">
        <v>1134</v>
      </c>
      <c r="U482">
        <v>44.3</v>
      </c>
      <c r="V482">
        <v>17.72</v>
      </c>
    </row>
    <row r="483" spans="1:22" x14ac:dyDescent="0.35">
      <c r="A483" t="s">
        <v>1849</v>
      </c>
      <c r="B483" t="s">
        <v>950</v>
      </c>
      <c r="C483" t="s">
        <v>483</v>
      </c>
      <c r="D483" t="s">
        <v>484</v>
      </c>
      <c r="E483" t="s">
        <v>254</v>
      </c>
      <c r="F483" t="s">
        <v>264</v>
      </c>
      <c r="G483" t="s">
        <v>797</v>
      </c>
      <c r="H483" t="s">
        <v>20</v>
      </c>
      <c r="I483" t="s">
        <v>104</v>
      </c>
      <c r="J483" t="s">
        <v>813</v>
      </c>
      <c r="K483" t="s">
        <v>822</v>
      </c>
      <c r="L483" t="s">
        <v>788</v>
      </c>
      <c r="M483" s="5">
        <v>45706</v>
      </c>
      <c r="N483" s="5">
        <v>45712</v>
      </c>
      <c r="O483">
        <v>20</v>
      </c>
      <c r="P483">
        <v>43.88</v>
      </c>
      <c r="Q483">
        <v>54.85</v>
      </c>
      <c r="R483">
        <v>0.1</v>
      </c>
      <c r="S483">
        <v>987.3</v>
      </c>
      <c r="T483" t="s">
        <v>829</v>
      </c>
      <c r="U483">
        <v>877.6</v>
      </c>
      <c r="V483">
        <v>109.7</v>
      </c>
    </row>
    <row r="484" spans="1:22" x14ac:dyDescent="0.35">
      <c r="A484" t="s">
        <v>1850</v>
      </c>
      <c r="B484" t="s">
        <v>1630</v>
      </c>
      <c r="C484" t="s">
        <v>467</v>
      </c>
      <c r="D484" t="s">
        <v>468</v>
      </c>
      <c r="E484" t="s">
        <v>681</v>
      </c>
      <c r="F484" t="s">
        <v>235</v>
      </c>
      <c r="G484" t="s">
        <v>20</v>
      </c>
      <c r="H484" t="s">
        <v>8</v>
      </c>
      <c r="I484" t="s">
        <v>198</v>
      </c>
      <c r="J484" t="s">
        <v>786</v>
      </c>
      <c r="K484" t="s">
        <v>799</v>
      </c>
      <c r="L484" t="s">
        <v>800</v>
      </c>
      <c r="M484" s="5">
        <v>45608</v>
      </c>
      <c r="N484" s="5">
        <v>45599</v>
      </c>
      <c r="O484">
        <v>10</v>
      </c>
      <c r="P484">
        <v>30.64</v>
      </c>
      <c r="Q484">
        <v>42.9</v>
      </c>
      <c r="R484">
        <v>0</v>
      </c>
      <c r="S484">
        <v>429</v>
      </c>
      <c r="T484" t="s">
        <v>839</v>
      </c>
      <c r="U484">
        <v>306.39999999999998</v>
      </c>
      <c r="V484">
        <v>122.6</v>
      </c>
    </row>
    <row r="485" spans="1:22" x14ac:dyDescent="0.35">
      <c r="A485" t="s">
        <v>1851</v>
      </c>
      <c r="B485" t="s">
        <v>1481</v>
      </c>
      <c r="C485" t="s">
        <v>351</v>
      </c>
      <c r="D485" t="s">
        <v>352</v>
      </c>
      <c r="E485" t="s">
        <v>681</v>
      </c>
      <c r="F485" t="s">
        <v>264</v>
      </c>
      <c r="G485" t="s">
        <v>797</v>
      </c>
      <c r="H485" t="s">
        <v>43</v>
      </c>
      <c r="I485" t="s">
        <v>75</v>
      </c>
      <c r="J485" t="s">
        <v>798</v>
      </c>
      <c r="K485" t="s">
        <v>822</v>
      </c>
      <c r="L485" t="s">
        <v>818</v>
      </c>
      <c r="M485" s="5">
        <v>45839</v>
      </c>
      <c r="N485" s="5">
        <v>45839</v>
      </c>
      <c r="O485">
        <v>10</v>
      </c>
      <c r="P485">
        <v>24.35</v>
      </c>
      <c r="Q485">
        <v>34.090000000000003</v>
      </c>
      <c r="R485">
        <v>0.15</v>
      </c>
      <c r="S485">
        <v>289.77</v>
      </c>
      <c r="T485" t="s">
        <v>814</v>
      </c>
      <c r="U485">
        <v>243.5</v>
      </c>
      <c r="V485">
        <v>46.27</v>
      </c>
    </row>
    <row r="486" spans="1:22" x14ac:dyDescent="0.35">
      <c r="A486" t="s">
        <v>1853</v>
      </c>
      <c r="B486" t="s">
        <v>1370</v>
      </c>
      <c r="C486" t="s">
        <v>312</v>
      </c>
      <c r="D486" t="s">
        <v>313</v>
      </c>
      <c r="E486" t="s">
        <v>254</v>
      </c>
      <c r="F486" t="s">
        <v>235</v>
      </c>
      <c r="G486" t="s">
        <v>14</v>
      </c>
      <c r="H486" t="s">
        <v>14</v>
      </c>
      <c r="I486" t="s">
        <v>93</v>
      </c>
      <c r="J486" t="s">
        <v>798</v>
      </c>
      <c r="K486" t="s">
        <v>799</v>
      </c>
      <c r="L486" t="s">
        <v>788</v>
      </c>
      <c r="M486" s="5">
        <v>45501</v>
      </c>
      <c r="N486" s="5">
        <v>45499</v>
      </c>
      <c r="O486">
        <v>2</v>
      </c>
      <c r="P486">
        <v>26.96</v>
      </c>
      <c r="Q486">
        <v>37.74</v>
      </c>
      <c r="R486">
        <v>0.1</v>
      </c>
      <c r="S486">
        <v>67.930000000000007</v>
      </c>
      <c r="T486" t="s">
        <v>790</v>
      </c>
      <c r="U486">
        <v>53.92</v>
      </c>
      <c r="V486">
        <v>14.01</v>
      </c>
    </row>
    <row r="487" spans="1:22" x14ac:dyDescent="0.35">
      <c r="A487" t="s">
        <v>1854</v>
      </c>
      <c r="B487" t="s">
        <v>1605</v>
      </c>
      <c r="C487" t="s">
        <v>515</v>
      </c>
      <c r="D487" t="s">
        <v>512</v>
      </c>
      <c r="E487" t="s">
        <v>627</v>
      </c>
      <c r="F487" t="s">
        <v>235</v>
      </c>
      <c r="G487" t="s">
        <v>797</v>
      </c>
      <c r="H487" t="s">
        <v>29</v>
      </c>
      <c r="I487" t="s">
        <v>191</v>
      </c>
      <c r="J487" t="s">
        <v>798</v>
      </c>
      <c r="K487" t="s">
        <v>799</v>
      </c>
      <c r="L487" t="s">
        <v>842</v>
      </c>
      <c r="M487" s="5">
        <v>45517</v>
      </c>
      <c r="N487" s="5">
        <v>45520</v>
      </c>
      <c r="O487">
        <v>3</v>
      </c>
      <c r="P487">
        <v>11.26</v>
      </c>
      <c r="Q487">
        <v>15.2</v>
      </c>
      <c r="R487">
        <v>0</v>
      </c>
      <c r="S487">
        <v>45.6</v>
      </c>
      <c r="T487" t="s">
        <v>790</v>
      </c>
      <c r="U487">
        <v>33.78</v>
      </c>
      <c r="V487">
        <v>11.82</v>
      </c>
    </row>
    <row r="488" spans="1:22" x14ac:dyDescent="0.35">
      <c r="A488" t="s">
        <v>1855</v>
      </c>
      <c r="B488" t="s">
        <v>890</v>
      </c>
      <c r="C488" t="s">
        <v>614</v>
      </c>
      <c r="D488" t="s">
        <v>615</v>
      </c>
      <c r="E488" t="s">
        <v>633</v>
      </c>
      <c r="F488" t="s">
        <v>235</v>
      </c>
      <c r="G488" t="s">
        <v>20</v>
      </c>
      <c r="H488" t="s">
        <v>14</v>
      </c>
      <c r="I488" t="s">
        <v>209</v>
      </c>
      <c r="J488" t="s">
        <v>786</v>
      </c>
      <c r="K488" t="s">
        <v>787</v>
      </c>
      <c r="L488" t="s">
        <v>842</v>
      </c>
      <c r="M488" s="5">
        <v>45570</v>
      </c>
      <c r="O488">
        <v>5</v>
      </c>
      <c r="P488">
        <v>24.18</v>
      </c>
      <c r="Q488">
        <v>33.85</v>
      </c>
      <c r="R488">
        <v>0</v>
      </c>
      <c r="S488">
        <v>169.25</v>
      </c>
      <c r="T488" t="s">
        <v>1017</v>
      </c>
      <c r="U488">
        <v>120.9</v>
      </c>
      <c r="V488">
        <v>48.35</v>
      </c>
    </row>
    <row r="489" spans="1:22" x14ac:dyDescent="0.35">
      <c r="A489" t="s">
        <v>1856</v>
      </c>
      <c r="B489" t="s">
        <v>1085</v>
      </c>
      <c r="C489" t="s">
        <v>448</v>
      </c>
      <c r="D489" t="s">
        <v>427</v>
      </c>
      <c r="E489" t="s">
        <v>254</v>
      </c>
      <c r="F489" t="s">
        <v>243</v>
      </c>
      <c r="G489" t="s">
        <v>797</v>
      </c>
      <c r="H489" t="s">
        <v>43</v>
      </c>
      <c r="I489" t="s">
        <v>75</v>
      </c>
      <c r="J489" t="s">
        <v>798</v>
      </c>
      <c r="K489" t="s">
        <v>787</v>
      </c>
      <c r="L489" t="s">
        <v>800</v>
      </c>
      <c r="M489" s="5">
        <v>45941</v>
      </c>
      <c r="O489">
        <v>1</v>
      </c>
      <c r="P489">
        <v>24.35</v>
      </c>
      <c r="Q489">
        <v>34.090000000000003</v>
      </c>
      <c r="R489">
        <v>0.1</v>
      </c>
      <c r="S489">
        <v>30.68</v>
      </c>
      <c r="T489" t="s">
        <v>839</v>
      </c>
      <c r="U489">
        <v>24.35</v>
      </c>
      <c r="V489">
        <v>6.33</v>
      </c>
    </row>
    <row r="490" spans="1:22" x14ac:dyDescent="0.35">
      <c r="A490" t="s">
        <v>1857</v>
      </c>
      <c r="B490" t="s">
        <v>1088</v>
      </c>
      <c r="C490" t="s">
        <v>395</v>
      </c>
      <c r="D490" t="s">
        <v>396</v>
      </c>
      <c r="E490" t="s">
        <v>637</v>
      </c>
      <c r="F490" t="s">
        <v>264</v>
      </c>
      <c r="G490" t="s">
        <v>20</v>
      </c>
      <c r="H490" t="s">
        <v>20</v>
      </c>
      <c r="I490" t="s">
        <v>51</v>
      </c>
      <c r="J490" t="s">
        <v>798</v>
      </c>
      <c r="K490" t="s">
        <v>799</v>
      </c>
      <c r="L490" t="s">
        <v>788</v>
      </c>
      <c r="M490" s="5">
        <v>45763</v>
      </c>
      <c r="N490" s="5">
        <v>45761</v>
      </c>
      <c r="O490">
        <v>3</v>
      </c>
      <c r="P490">
        <v>11.28</v>
      </c>
      <c r="Q490">
        <v>15.23</v>
      </c>
      <c r="R490">
        <v>0</v>
      </c>
      <c r="S490">
        <v>45.69</v>
      </c>
      <c r="T490" t="s">
        <v>859</v>
      </c>
      <c r="U490">
        <v>33.840000000000003</v>
      </c>
      <c r="V490">
        <v>11.85</v>
      </c>
    </row>
    <row r="491" spans="1:22" x14ac:dyDescent="0.35">
      <c r="A491" t="s">
        <v>1858</v>
      </c>
      <c r="B491" t="s">
        <v>1656</v>
      </c>
      <c r="C491" t="s">
        <v>578</v>
      </c>
      <c r="D491" t="s">
        <v>368</v>
      </c>
      <c r="E491" t="s">
        <v>674</v>
      </c>
      <c r="F491" t="s">
        <v>235</v>
      </c>
      <c r="G491" t="s">
        <v>20</v>
      </c>
      <c r="H491" t="s">
        <v>14</v>
      </c>
      <c r="I491" t="s">
        <v>209</v>
      </c>
      <c r="J491" t="s">
        <v>798</v>
      </c>
      <c r="K491" t="s">
        <v>793</v>
      </c>
      <c r="L491" t="s">
        <v>800</v>
      </c>
      <c r="M491" s="5">
        <v>45981</v>
      </c>
      <c r="O491">
        <v>1</v>
      </c>
      <c r="P491">
        <v>24.18</v>
      </c>
      <c r="Q491">
        <v>33.85</v>
      </c>
      <c r="R491">
        <v>0.1</v>
      </c>
      <c r="S491">
        <v>30.47</v>
      </c>
      <c r="T491" t="s">
        <v>803</v>
      </c>
      <c r="U491">
        <v>24.18</v>
      </c>
      <c r="V491">
        <v>6.29</v>
      </c>
    </row>
    <row r="492" spans="1:22" x14ac:dyDescent="0.35">
      <c r="A492" t="s">
        <v>1859</v>
      </c>
      <c r="B492" t="s">
        <v>1391</v>
      </c>
      <c r="C492" t="s">
        <v>493</v>
      </c>
      <c r="D492" t="s">
        <v>311</v>
      </c>
      <c r="E492" t="s">
        <v>254</v>
      </c>
      <c r="F492" t="s">
        <v>243</v>
      </c>
      <c r="G492" t="s">
        <v>797</v>
      </c>
      <c r="H492" t="s">
        <v>38</v>
      </c>
      <c r="I492" t="s">
        <v>82</v>
      </c>
      <c r="J492" t="s">
        <v>798</v>
      </c>
      <c r="K492" t="s">
        <v>793</v>
      </c>
      <c r="L492" t="s">
        <v>842</v>
      </c>
      <c r="M492" s="5">
        <v>45496</v>
      </c>
      <c r="O492">
        <v>3</v>
      </c>
      <c r="P492">
        <v>12.54</v>
      </c>
      <c r="Q492">
        <v>16.93</v>
      </c>
      <c r="R492">
        <v>0</v>
      </c>
      <c r="S492">
        <v>50.79</v>
      </c>
      <c r="T492" t="s">
        <v>876</v>
      </c>
      <c r="U492">
        <v>37.619999999999997</v>
      </c>
      <c r="V492">
        <v>13.17</v>
      </c>
    </row>
    <row r="493" spans="1:22" x14ac:dyDescent="0.35">
      <c r="A493" t="s">
        <v>1860</v>
      </c>
      <c r="B493" t="s">
        <v>1788</v>
      </c>
      <c r="C493" t="s">
        <v>382</v>
      </c>
      <c r="D493" t="s">
        <v>383</v>
      </c>
      <c r="E493" t="s">
        <v>696</v>
      </c>
      <c r="F493" t="s">
        <v>264</v>
      </c>
      <c r="G493" t="s">
        <v>797</v>
      </c>
      <c r="H493" t="s">
        <v>20</v>
      </c>
      <c r="I493" t="s">
        <v>197</v>
      </c>
      <c r="J493" t="s">
        <v>798</v>
      </c>
      <c r="K493" t="s">
        <v>793</v>
      </c>
      <c r="L493" t="s">
        <v>818</v>
      </c>
      <c r="M493" s="5">
        <v>45432</v>
      </c>
      <c r="O493">
        <v>20</v>
      </c>
      <c r="P493">
        <v>22.45</v>
      </c>
      <c r="Q493">
        <v>29.18</v>
      </c>
      <c r="R493">
        <v>0</v>
      </c>
      <c r="S493">
        <v>583.6</v>
      </c>
      <c r="T493" t="s">
        <v>803</v>
      </c>
      <c r="U493">
        <v>449</v>
      </c>
      <c r="V493">
        <v>134.6</v>
      </c>
    </row>
    <row r="494" spans="1:22" x14ac:dyDescent="0.35">
      <c r="A494" t="s">
        <v>1861</v>
      </c>
      <c r="B494" t="s">
        <v>1795</v>
      </c>
      <c r="C494" t="s">
        <v>477</v>
      </c>
      <c r="D494" t="s">
        <v>478</v>
      </c>
      <c r="E494" t="s">
        <v>696</v>
      </c>
      <c r="F494" t="s">
        <v>243</v>
      </c>
      <c r="G494" t="s">
        <v>14</v>
      </c>
      <c r="H494" t="s">
        <v>20</v>
      </c>
      <c r="I494" t="s">
        <v>163</v>
      </c>
      <c r="J494" t="s">
        <v>786</v>
      </c>
      <c r="K494" t="s">
        <v>799</v>
      </c>
      <c r="L494" t="s">
        <v>818</v>
      </c>
      <c r="M494" s="5">
        <v>45816</v>
      </c>
      <c r="N494" s="5">
        <v>45811</v>
      </c>
      <c r="O494">
        <v>2</v>
      </c>
      <c r="P494">
        <v>55.3</v>
      </c>
      <c r="Q494">
        <v>74.66</v>
      </c>
      <c r="R494">
        <v>0</v>
      </c>
      <c r="S494">
        <v>149.32</v>
      </c>
      <c r="T494" t="s">
        <v>888</v>
      </c>
      <c r="U494">
        <v>110.6</v>
      </c>
      <c r="V494">
        <v>38.72</v>
      </c>
    </row>
    <row r="495" spans="1:22" x14ac:dyDescent="0.35">
      <c r="A495" t="s">
        <v>1862</v>
      </c>
      <c r="B495" t="s">
        <v>1258</v>
      </c>
      <c r="C495" t="s">
        <v>592</v>
      </c>
      <c r="D495" t="s">
        <v>478</v>
      </c>
      <c r="E495" t="s">
        <v>696</v>
      </c>
      <c r="F495" t="s">
        <v>243</v>
      </c>
      <c r="G495" t="s">
        <v>797</v>
      </c>
      <c r="H495" t="s">
        <v>48</v>
      </c>
      <c r="I495" t="s">
        <v>54</v>
      </c>
      <c r="J495" t="s">
        <v>798</v>
      </c>
      <c r="K495" t="s">
        <v>799</v>
      </c>
      <c r="L495" t="s">
        <v>842</v>
      </c>
      <c r="M495" s="5">
        <v>45429</v>
      </c>
      <c r="N495" s="5">
        <v>45430</v>
      </c>
      <c r="O495">
        <v>12</v>
      </c>
      <c r="P495">
        <v>21.67</v>
      </c>
      <c r="Q495">
        <v>28.17</v>
      </c>
      <c r="R495">
        <v>0.15</v>
      </c>
      <c r="S495">
        <v>287.33</v>
      </c>
      <c r="T495" t="s">
        <v>963</v>
      </c>
      <c r="U495">
        <v>260.04000000000002</v>
      </c>
      <c r="V495">
        <v>27.29</v>
      </c>
    </row>
    <row r="496" spans="1:22" x14ac:dyDescent="0.35">
      <c r="A496" t="s">
        <v>1863</v>
      </c>
      <c r="B496" t="s">
        <v>1043</v>
      </c>
      <c r="C496" t="s">
        <v>605</v>
      </c>
      <c r="D496" t="s">
        <v>389</v>
      </c>
      <c r="E496" t="s">
        <v>674</v>
      </c>
      <c r="F496" t="s">
        <v>264</v>
      </c>
      <c r="G496" t="s">
        <v>48</v>
      </c>
      <c r="H496" t="s">
        <v>29</v>
      </c>
      <c r="I496" t="s">
        <v>145</v>
      </c>
      <c r="J496" t="s">
        <v>798</v>
      </c>
      <c r="K496" t="s">
        <v>822</v>
      </c>
      <c r="L496" t="s">
        <v>818</v>
      </c>
      <c r="M496" s="5">
        <v>45783</v>
      </c>
      <c r="N496" s="5">
        <v>45782</v>
      </c>
      <c r="O496">
        <v>3</v>
      </c>
      <c r="P496">
        <v>57.16</v>
      </c>
      <c r="Q496">
        <v>82.88</v>
      </c>
      <c r="R496">
        <v>0</v>
      </c>
      <c r="S496">
        <v>248.64</v>
      </c>
      <c r="T496" t="s">
        <v>919</v>
      </c>
      <c r="U496">
        <v>171.48</v>
      </c>
      <c r="V496">
        <v>77.16</v>
      </c>
    </row>
    <row r="497" spans="1:22" x14ac:dyDescent="0.35">
      <c r="A497" t="s">
        <v>1865</v>
      </c>
      <c r="B497" t="s">
        <v>1571</v>
      </c>
      <c r="C497" t="s">
        <v>276</v>
      </c>
      <c r="D497" t="s">
        <v>277</v>
      </c>
      <c r="E497" t="s">
        <v>627</v>
      </c>
      <c r="F497" t="s">
        <v>243</v>
      </c>
      <c r="G497" t="s">
        <v>797</v>
      </c>
      <c r="H497" t="s">
        <v>43</v>
      </c>
      <c r="I497" t="s">
        <v>41</v>
      </c>
      <c r="J497" t="s">
        <v>798</v>
      </c>
      <c r="K497" t="s">
        <v>817</v>
      </c>
      <c r="L497" t="s">
        <v>800</v>
      </c>
      <c r="M497" s="5">
        <v>45884</v>
      </c>
      <c r="O497">
        <v>3</v>
      </c>
      <c r="P497">
        <v>18.010000000000002</v>
      </c>
      <c r="Q497">
        <v>22.51</v>
      </c>
      <c r="R497">
        <v>0</v>
      </c>
      <c r="S497">
        <v>67.53</v>
      </c>
      <c r="T497" t="s">
        <v>819</v>
      </c>
      <c r="U497">
        <v>54.03</v>
      </c>
      <c r="V497">
        <v>13.5</v>
      </c>
    </row>
    <row r="498" spans="1:22" x14ac:dyDescent="0.35">
      <c r="A498" t="s">
        <v>1866</v>
      </c>
      <c r="B498" t="s">
        <v>1867</v>
      </c>
      <c r="C498" t="s">
        <v>347</v>
      </c>
      <c r="D498" t="s">
        <v>348</v>
      </c>
      <c r="E498" t="s">
        <v>637</v>
      </c>
      <c r="F498" t="s">
        <v>243</v>
      </c>
      <c r="G498" t="s">
        <v>14</v>
      </c>
      <c r="H498" t="s">
        <v>43</v>
      </c>
      <c r="I498" t="s">
        <v>113</v>
      </c>
      <c r="J498" t="s">
        <v>813</v>
      </c>
      <c r="K498" t="s">
        <v>822</v>
      </c>
      <c r="L498" t="s">
        <v>800</v>
      </c>
      <c r="M498" s="5">
        <v>45323</v>
      </c>
      <c r="N498" s="5">
        <v>45328</v>
      </c>
      <c r="O498">
        <v>12</v>
      </c>
      <c r="P498">
        <v>16.91</v>
      </c>
      <c r="Q498">
        <v>21.14</v>
      </c>
      <c r="R498">
        <v>0</v>
      </c>
      <c r="S498">
        <v>253.68</v>
      </c>
      <c r="T498" t="s">
        <v>810</v>
      </c>
      <c r="U498">
        <v>202.92</v>
      </c>
      <c r="V498">
        <v>50.76</v>
      </c>
    </row>
    <row r="499" spans="1:22" x14ac:dyDescent="0.35">
      <c r="A499" t="s">
        <v>1868</v>
      </c>
      <c r="B499" t="s">
        <v>1869</v>
      </c>
      <c r="C499" t="s">
        <v>530</v>
      </c>
      <c r="D499" t="s">
        <v>531</v>
      </c>
      <c r="E499" t="s">
        <v>633</v>
      </c>
      <c r="F499" t="s">
        <v>235</v>
      </c>
      <c r="G499" t="s">
        <v>797</v>
      </c>
      <c r="H499" t="s">
        <v>14</v>
      </c>
      <c r="I499" t="s">
        <v>67</v>
      </c>
      <c r="J499" t="s">
        <v>813</v>
      </c>
      <c r="K499" t="s">
        <v>799</v>
      </c>
      <c r="L499" t="s">
        <v>800</v>
      </c>
      <c r="M499" s="5">
        <v>45297</v>
      </c>
      <c r="N499" s="5">
        <v>45300</v>
      </c>
      <c r="O499">
        <v>2</v>
      </c>
      <c r="P499">
        <v>17.63</v>
      </c>
      <c r="Q499">
        <v>22.92</v>
      </c>
      <c r="R499">
        <v>0.1</v>
      </c>
      <c r="S499">
        <v>41.26</v>
      </c>
      <c r="T499" t="s">
        <v>845</v>
      </c>
      <c r="U499">
        <v>35.26</v>
      </c>
      <c r="V499">
        <v>6</v>
      </c>
    </row>
    <row r="500" spans="1:22" x14ac:dyDescent="0.35">
      <c r="A500" t="s">
        <v>1872</v>
      </c>
      <c r="B500" t="s">
        <v>907</v>
      </c>
      <c r="C500" t="s">
        <v>595</v>
      </c>
      <c r="D500" t="s">
        <v>253</v>
      </c>
      <c r="E500" t="s">
        <v>637</v>
      </c>
      <c r="F500" t="s">
        <v>235</v>
      </c>
      <c r="G500" t="s">
        <v>14</v>
      </c>
      <c r="H500" t="s">
        <v>14</v>
      </c>
      <c r="I500" t="s">
        <v>214</v>
      </c>
      <c r="J500" t="s">
        <v>786</v>
      </c>
      <c r="K500" t="s">
        <v>799</v>
      </c>
      <c r="L500" t="s">
        <v>818</v>
      </c>
      <c r="M500" s="5">
        <v>45692</v>
      </c>
      <c r="N500" s="5">
        <v>45686</v>
      </c>
      <c r="O500">
        <v>10</v>
      </c>
      <c r="P500">
        <v>22.07</v>
      </c>
      <c r="Q500">
        <v>27.59</v>
      </c>
      <c r="R500">
        <v>0.05</v>
      </c>
      <c r="S500">
        <v>262.10000000000002</v>
      </c>
      <c r="T500" t="s">
        <v>825</v>
      </c>
      <c r="U500">
        <v>220.7</v>
      </c>
      <c r="V500">
        <v>41.4</v>
      </c>
    </row>
    <row r="501" spans="1:22" x14ac:dyDescent="0.35">
      <c r="A501" t="s">
        <v>1874</v>
      </c>
      <c r="B501" t="s">
        <v>1129</v>
      </c>
      <c r="C501" t="s">
        <v>315</v>
      </c>
      <c r="D501" t="s">
        <v>316</v>
      </c>
      <c r="E501" t="s">
        <v>637</v>
      </c>
      <c r="F501" t="s">
        <v>235</v>
      </c>
      <c r="G501" t="s">
        <v>14</v>
      </c>
      <c r="H501" t="s">
        <v>48</v>
      </c>
      <c r="I501" t="s">
        <v>46</v>
      </c>
      <c r="J501" t="s">
        <v>798</v>
      </c>
      <c r="K501" t="s">
        <v>793</v>
      </c>
      <c r="L501" t="s">
        <v>818</v>
      </c>
      <c r="M501" s="5">
        <v>45451</v>
      </c>
      <c r="O501">
        <v>20</v>
      </c>
      <c r="P501">
        <v>29.16</v>
      </c>
      <c r="Q501">
        <v>36.450000000000003</v>
      </c>
      <c r="R501">
        <v>0</v>
      </c>
      <c r="S501">
        <v>729</v>
      </c>
      <c r="T501" t="s">
        <v>790</v>
      </c>
      <c r="U501">
        <v>583.20000000000005</v>
      </c>
      <c r="V501">
        <v>145.80000000000001</v>
      </c>
    </row>
    <row r="502" spans="1:22" x14ac:dyDescent="0.35">
      <c r="A502" t="s">
        <v>1875</v>
      </c>
      <c r="B502" t="s">
        <v>725</v>
      </c>
      <c r="C502" t="s">
        <v>601</v>
      </c>
      <c r="D502" t="s">
        <v>602</v>
      </c>
      <c r="E502" t="s">
        <v>633</v>
      </c>
      <c r="F502" t="s">
        <v>235</v>
      </c>
      <c r="G502" t="s">
        <v>14</v>
      </c>
      <c r="H502" t="s">
        <v>38</v>
      </c>
      <c r="I502" t="s">
        <v>130</v>
      </c>
      <c r="J502" t="s">
        <v>786</v>
      </c>
      <c r="K502" t="s">
        <v>799</v>
      </c>
      <c r="L502" t="s">
        <v>800</v>
      </c>
      <c r="M502" s="5">
        <v>45352</v>
      </c>
      <c r="N502" s="5">
        <v>45340</v>
      </c>
      <c r="O502">
        <v>1</v>
      </c>
      <c r="P502">
        <v>13.35</v>
      </c>
      <c r="Q502">
        <v>17.36</v>
      </c>
      <c r="R502">
        <v>0.1</v>
      </c>
      <c r="S502">
        <v>15.62</v>
      </c>
      <c r="T502" t="s">
        <v>869</v>
      </c>
      <c r="U502">
        <v>13.35</v>
      </c>
      <c r="V502">
        <v>2.27</v>
      </c>
    </row>
    <row r="503" spans="1:22" x14ac:dyDescent="0.35">
      <c r="A503" t="s">
        <v>1876</v>
      </c>
      <c r="B503" t="s">
        <v>1009</v>
      </c>
      <c r="C503" t="s">
        <v>312</v>
      </c>
      <c r="D503" t="s">
        <v>313</v>
      </c>
      <c r="E503" t="s">
        <v>674</v>
      </c>
      <c r="F503" t="s">
        <v>235</v>
      </c>
      <c r="G503" t="s">
        <v>48</v>
      </c>
      <c r="H503" t="s">
        <v>14</v>
      </c>
      <c r="I503" t="s">
        <v>93</v>
      </c>
      <c r="J503" t="s">
        <v>798</v>
      </c>
      <c r="K503" t="s">
        <v>799</v>
      </c>
      <c r="L503" t="s">
        <v>788</v>
      </c>
      <c r="M503" s="5">
        <v>45958</v>
      </c>
      <c r="N503" s="5">
        <v>45952</v>
      </c>
      <c r="O503">
        <v>10</v>
      </c>
      <c r="P503">
        <v>26.96</v>
      </c>
      <c r="Q503">
        <v>37.74</v>
      </c>
      <c r="R503">
        <v>0.05</v>
      </c>
      <c r="S503">
        <v>358.53</v>
      </c>
      <c r="T503" t="s">
        <v>892</v>
      </c>
      <c r="U503">
        <v>269.60000000000002</v>
      </c>
      <c r="V503">
        <v>88.93</v>
      </c>
    </row>
    <row r="504" spans="1:22" x14ac:dyDescent="0.35">
      <c r="A504" t="s">
        <v>1877</v>
      </c>
      <c r="B504" t="s">
        <v>1878</v>
      </c>
      <c r="C504" t="s">
        <v>525</v>
      </c>
      <c r="D504" t="s">
        <v>526</v>
      </c>
      <c r="E504" t="s">
        <v>674</v>
      </c>
      <c r="F504" t="s">
        <v>243</v>
      </c>
      <c r="G504" t="s">
        <v>48</v>
      </c>
      <c r="H504" t="s">
        <v>29</v>
      </c>
      <c r="I504" t="s">
        <v>123</v>
      </c>
      <c r="J504" t="s">
        <v>798</v>
      </c>
      <c r="K504" t="s">
        <v>793</v>
      </c>
      <c r="L504" t="s">
        <v>818</v>
      </c>
      <c r="M504" s="5">
        <v>45422</v>
      </c>
      <c r="O504">
        <v>3</v>
      </c>
      <c r="P504">
        <v>20.7</v>
      </c>
      <c r="Q504">
        <v>30.01</v>
      </c>
      <c r="R504">
        <v>0</v>
      </c>
      <c r="S504">
        <v>90.03</v>
      </c>
      <c r="T504" t="s">
        <v>790</v>
      </c>
      <c r="U504">
        <v>62.1</v>
      </c>
      <c r="V504">
        <v>27.93</v>
      </c>
    </row>
    <row r="505" spans="1:22" x14ac:dyDescent="0.35">
      <c r="A505" t="s">
        <v>1879</v>
      </c>
      <c r="B505" t="s">
        <v>934</v>
      </c>
      <c r="C505" t="s">
        <v>467</v>
      </c>
      <c r="D505" t="s">
        <v>468</v>
      </c>
      <c r="E505" t="s">
        <v>627</v>
      </c>
      <c r="F505" t="s">
        <v>235</v>
      </c>
      <c r="G505" t="s">
        <v>797</v>
      </c>
      <c r="H505" t="s">
        <v>43</v>
      </c>
      <c r="I505" t="s">
        <v>41</v>
      </c>
      <c r="J505" t="s">
        <v>786</v>
      </c>
      <c r="K505" t="s">
        <v>787</v>
      </c>
      <c r="L505" t="s">
        <v>818</v>
      </c>
      <c r="M505" s="5">
        <v>45927</v>
      </c>
      <c r="O505">
        <v>1</v>
      </c>
      <c r="P505">
        <v>18.010000000000002</v>
      </c>
      <c r="Q505">
        <v>22.51</v>
      </c>
      <c r="R505">
        <v>0</v>
      </c>
      <c r="S505">
        <v>22.51</v>
      </c>
      <c r="T505" t="s">
        <v>876</v>
      </c>
      <c r="U505">
        <v>18.010000000000002</v>
      </c>
      <c r="V505">
        <v>4.5</v>
      </c>
    </row>
    <row r="506" spans="1:22" x14ac:dyDescent="0.35">
      <c r="A506" t="s">
        <v>1880</v>
      </c>
      <c r="B506" t="s">
        <v>1632</v>
      </c>
      <c r="C506" t="s">
        <v>432</v>
      </c>
      <c r="D506" t="s">
        <v>433</v>
      </c>
      <c r="E506" t="s">
        <v>696</v>
      </c>
      <c r="F506" t="s">
        <v>243</v>
      </c>
      <c r="G506" t="s">
        <v>797</v>
      </c>
      <c r="H506" t="s">
        <v>14</v>
      </c>
      <c r="I506" t="s">
        <v>186</v>
      </c>
      <c r="J506" t="s">
        <v>813</v>
      </c>
      <c r="K506" t="s">
        <v>787</v>
      </c>
      <c r="L506" t="s">
        <v>788</v>
      </c>
      <c r="M506" s="5">
        <v>45319</v>
      </c>
      <c r="O506">
        <v>3</v>
      </c>
      <c r="P506">
        <v>28.32</v>
      </c>
      <c r="Q506">
        <v>35.4</v>
      </c>
      <c r="R506">
        <v>0</v>
      </c>
      <c r="S506">
        <v>106.2</v>
      </c>
      <c r="T506" t="s">
        <v>888</v>
      </c>
      <c r="U506">
        <v>84.96</v>
      </c>
      <c r="V506">
        <v>21.24</v>
      </c>
    </row>
    <row r="507" spans="1:22" x14ac:dyDescent="0.35">
      <c r="A507" t="s">
        <v>1881</v>
      </c>
      <c r="B507" t="s">
        <v>754</v>
      </c>
      <c r="C507" t="s">
        <v>612</v>
      </c>
      <c r="D507" t="s">
        <v>447</v>
      </c>
      <c r="E507" t="s">
        <v>254</v>
      </c>
      <c r="F507" t="s">
        <v>235</v>
      </c>
      <c r="G507" t="s">
        <v>797</v>
      </c>
      <c r="H507" t="s">
        <v>14</v>
      </c>
      <c r="I507" t="s">
        <v>56</v>
      </c>
      <c r="J507" t="s">
        <v>786</v>
      </c>
      <c r="K507" t="s">
        <v>799</v>
      </c>
      <c r="L507" t="s">
        <v>842</v>
      </c>
      <c r="M507" s="5">
        <v>45493</v>
      </c>
      <c r="N507" s="5">
        <v>45482</v>
      </c>
      <c r="O507">
        <v>5</v>
      </c>
      <c r="P507">
        <v>25.46</v>
      </c>
      <c r="Q507">
        <v>31.83</v>
      </c>
      <c r="R507">
        <v>0.1</v>
      </c>
      <c r="S507">
        <v>143.22999999999999</v>
      </c>
      <c r="T507" t="s">
        <v>1134</v>
      </c>
      <c r="U507">
        <v>127.3</v>
      </c>
      <c r="V507">
        <v>15.93</v>
      </c>
    </row>
    <row r="508" spans="1:22" x14ac:dyDescent="0.35">
      <c r="A508" t="s">
        <v>1882</v>
      </c>
      <c r="B508" t="s">
        <v>809</v>
      </c>
      <c r="C508" t="s">
        <v>423</v>
      </c>
      <c r="D508" t="s">
        <v>424</v>
      </c>
      <c r="E508" t="s">
        <v>696</v>
      </c>
      <c r="F508" t="s">
        <v>235</v>
      </c>
      <c r="G508" t="s">
        <v>797</v>
      </c>
      <c r="H508" t="s">
        <v>14</v>
      </c>
      <c r="I508" t="s">
        <v>152</v>
      </c>
      <c r="J508" t="s">
        <v>813</v>
      </c>
      <c r="K508" t="s">
        <v>822</v>
      </c>
      <c r="L508" t="s">
        <v>800</v>
      </c>
      <c r="M508" s="5">
        <v>45322</v>
      </c>
      <c r="N508" s="5">
        <v>45320</v>
      </c>
      <c r="O508">
        <v>10</v>
      </c>
      <c r="P508">
        <v>38.549999999999997</v>
      </c>
      <c r="Q508">
        <v>53.97</v>
      </c>
      <c r="R508">
        <v>0.05</v>
      </c>
      <c r="S508">
        <v>512.72</v>
      </c>
      <c r="T508" t="s">
        <v>919</v>
      </c>
      <c r="U508">
        <v>385.5</v>
      </c>
      <c r="V508">
        <v>127.22</v>
      </c>
    </row>
    <row r="509" spans="1:22" x14ac:dyDescent="0.35">
      <c r="A509" t="s">
        <v>1883</v>
      </c>
      <c r="B509" t="s">
        <v>1048</v>
      </c>
      <c r="C509" t="s">
        <v>606</v>
      </c>
      <c r="D509" t="s">
        <v>600</v>
      </c>
      <c r="E509" t="s">
        <v>627</v>
      </c>
      <c r="G509" t="s">
        <v>14</v>
      </c>
      <c r="H509" t="s">
        <v>43</v>
      </c>
      <c r="I509" t="s">
        <v>58</v>
      </c>
      <c r="J509" t="s">
        <v>798</v>
      </c>
      <c r="K509" t="s">
        <v>799</v>
      </c>
      <c r="L509" t="s">
        <v>818</v>
      </c>
      <c r="M509" s="5">
        <v>45506</v>
      </c>
      <c r="N509" s="5">
        <v>45500</v>
      </c>
      <c r="O509">
        <v>5</v>
      </c>
      <c r="P509">
        <v>11.21</v>
      </c>
      <c r="Q509">
        <v>15.13</v>
      </c>
      <c r="R509">
        <v>0</v>
      </c>
      <c r="S509">
        <v>75.650000000000006</v>
      </c>
      <c r="T509" t="s">
        <v>1017</v>
      </c>
      <c r="U509">
        <v>56.05</v>
      </c>
      <c r="V509">
        <v>19.600000000000001</v>
      </c>
    </row>
    <row r="510" spans="1:22" x14ac:dyDescent="0.35">
      <c r="A510" t="s">
        <v>1885</v>
      </c>
      <c r="B510" t="s">
        <v>1669</v>
      </c>
      <c r="C510" t="s">
        <v>532</v>
      </c>
      <c r="D510" t="s">
        <v>533</v>
      </c>
      <c r="E510" t="s">
        <v>696</v>
      </c>
      <c r="F510" t="s">
        <v>235</v>
      </c>
      <c r="G510" t="s">
        <v>797</v>
      </c>
      <c r="H510" t="s">
        <v>14</v>
      </c>
      <c r="I510" t="s">
        <v>209</v>
      </c>
      <c r="J510" t="s">
        <v>813</v>
      </c>
      <c r="K510" t="s">
        <v>799</v>
      </c>
      <c r="L510" t="s">
        <v>842</v>
      </c>
      <c r="M510" s="5">
        <v>45620</v>
      </c>
      <c r="N510" s="5">
        <v>45627</v>
      </c>
      <c r="O510">
        <v>2</v>
      </c>
      <c r="P510">
        <v>24.18</v>
      </c>
      <c r="Q510">
        <v>33.85</v>
      </c>
      <c r="R510">
        <v>0</v>
      </c>
      <c r="S510">
        <v>67.7</v>
      </c>
      <c r="T510" t="s">
        <v>790</v>
      </c>
      <c r="U510">
        <v>48.36</v>
      </c>
      <c r="V510">
        <v>19.34</v>
      </c>
    </row>
    <row r="511" spans="1:22" x14ac:dyDescent="0.35">
      <c r="A511" t="s">
        <v>1886</v>
      </c>
      <c r="B511" t="s">
        <v>1887</v>
      </c>
      <c r="C511" t="s">
        <v>400</v>
      </c>
      <c r="D511" t="s">
        <v>383</v>
      </c>
      <c r="E511" t="s">
        <v>637</v>
      </c>
      <c r="F511" t="s">
        <v>235</v>
      </c>
      <c r="G511" t="s">
        <v>14</v>
      </c>
      <c r="H511" t="s">
        <v>38</v>
      </c>
      <c r="I511" t="s">
        <v>82</v>
      </c>
      <c r="J511" t="s">
        <v>786</v>
      </c>
      <c r="K511" t="s">
        <v>793</v>
      </c>
      <c r="L511" t="s">
        <v>818</v>
      </c>
      <c r="M511" s="5">
        <v>45997</v>
      </c>
      <c r="O511">
        <v>5</v>
      </c>
      <c r="P511">
        <v>12.54</v>
      </c>
      <c r="Q511">
        <v>16.93</v>
      </c>
      <c r="R511">
        <v>0.05</v>
      </c>
      <c r="S511">
        <v>80.42</v>
      </c>
      <c r="T511" t="s">
        <v>834</v>
      </c>
      <c r="U511">
        <v>62.7</v>
      </c>
      <c r="V511">
        <v>17.72</v>
      </c>
    </row>
    <row r="512" spans="1:22" x14ac:dyDescent="0.35">
      <c r="A512" t="s">
        <v>1888</v>
      </c>
      <c r="B512" t="s">
        <v>1889</v>
      </c>
      <c r="C512" t="s">
        <v>377</v>
      </c>
      <c r="D512" t="s">
        <v>378</v>
      </c>
      <c r="E512" t="s">
        <v>637</v>
      </c>
      <c r="F512" t="s">
        <v>243</v>
      </c>
      <c r="G512" t="s">
        <v>48</v>
      </c>
      <c r="H512" t="s">
        <v>14</v>
      </c>
      <c r="I512" t="s">
        <v>60</v>
      </c>
      <c r="J512" t="s">
        <v>798</v>
      </c>
      <c r="K512" t="s">
        <v>817</v>
      </c>
      <c r="L512" t="s">
        <v>788</v>
      </c>
      <c r="M512" s="5">
        <v>45950</v>
      </c>
      <c r="O512">
        <v>1</v>
      </c>
      <c r="P512">
        <v>18.18</v>
      </c>
      <c r="Q512">
        <v>24.54</v>
      </c>
      <c r="R512">
        <v>0.1</v>
      </c>
      <c r="S512">
        <v>22.09</v>
      </c>
      <c r="T512" t="s">
        <v>876</v>
      </c>
      <c r="U512">
        <v>18.18</v>
      </c>
      <c r="V512">
        <v>3.91</v>
      </c>
    </row>
    <row r="513" spans="1:22" x14ac:dyDescent="0.35">
      <c r="A513" t="s">
        <v>1890</v>
      </c>
      <c r="B513" t="s">
        <v>1891</v>
      </c>
      <c r="C513" t="s">
        <v>276</v>
      </c>
      <c r="D513" t="s">
        <v>277</v>
      </c>
      <c r="E513" t="s">
        <v>254</v>
      </c>
      <c r="F513" t="s">
        <v>243</v>
      </c>
      <c r="G513" t="s">
        <v>20</v>
      </c>
      <c r="H513" t="s">
        <v>43</v>
      </c>
      <c r="I513" t="s">
        <v>44</v>
      </c>
      <c r="J513" t="s">
        <v>786</v>
      </c>
      <c r="K513" t="s">
        <v>799</v>
      </c>
      <c r="L513" t="s">
        <v>788</v>
      </c>
      <c r="M513" s="5">
        <v>45874</v>
      </c>
      <c r="N513" s="5">
        <v>45868</v>
      </c>
      <c r="O513">
        <v>3</v>
      </c>
      <c r="P513">
        <v>14.05</v>
      </c>
      <c r="Q513">
        <v>19.670000000000002</v>
      </c>
      <c r="R513">
        <v>0</v>
      </c>
      <c r="S513">
        <v>59.01</v>
      </c>
      <c r="T513" t="s">
        <v>829</v>
      </c>
      <c r="U513">
        <v>42.15</v>
      </c>
      <c r="V513">
        <v>16.86</v>
      </c>
    </row>
    <row r="514" spans="1:22" x14ac:dyDescent="0.35">
      <c r="A514" t="s">
        <v>1893</v>
      </c>
      <c r="B514" t="s">
        <v>1492</v>
      </c>
      <c r="C514" t="s">
        <v>401</v>
      </c>
      <c r="D514" t="s">
        <v>402</v>
      </c>
      <c r="E514" t="s">
        <v>637</v>
      </c>
      <c r="F514" t="s">
        <v>243</v>
      </c>
      <c r="G514" t="s">
        <v>14</v>
      </c>
      <c r="H514" t="s">
        <v>48</v>
      </c>
      <c r="I514" t="s">
        <v>139</v>
      </c>
      <c r="J514" t="s">
        <v>786</v>
      </c>
      <c r="K514" t="s">
        <v>799</v>
      </c>
      <c r="L514" t="s">
        <v>788</v>
      </c>
      <c r="M514" s="5">
        <v>45585</v>
      </c>
      <c r="N514" s="5">
        <v>45576</v>
      </c>
      <c r="O514">
        <v>1</v>
      </c>
      <c r="P514">
        <v>29.93</v>
      </c>
      <c r="Q514">
        <v>41.9</v>
      </c>
      <c r="R514">
        <v>0.1</v>
      </c>
      <c r="S514">
        <v>37.71</v>
      </c>
      <c r="T514" t="s">
        <v>892</v>
      </c>
      <c r="U514">
        <v>29.93</v>
      </c>
      <c r="V514">
        <v>7.78</v>
      </c>
    </row>
    <row r="515" spans="1:22" x14ac:dyDescent="0.35">
      <c r="A515" t="s">
        <v>1894</v>
      </c>
      <c r="B515" t="s">
        <v>725</v>
      </c>
      <c r="C515" t="s">
        <v>603</v>
      </c>
      <c r="D515" t="s">
        <v>508</v>
      </c>
      <c r="E515" t="s">
        <v>627</v>
      </c>
      <c r="F515" t="s">
        <v>264</v>
      </c>
      <c r="G515" t="s">
        <v>14</v>
      </c>
      <c r="H515" t="s">
        <v>38</v>
      </c>
      <c r="I515" t="s">
        <v>36</v>
      </c>
      <c r="J515" t="s">
        <v>798</v>
      </c>
      <c r="K515" t="s">
        <v>793</v>
      </c>
      <c r="L515" t="s">
        <v>842</v>
      </c>
      <c r="M515" s="5">
        <v>45345</v>
      </c>
      <c r="O515">
        <v>2</v>
      </c>
      <c r="P515">
        <v>8.57</v>
      </c>
      <c r="Q515">
        <v>11.14</v>
      </c>
      <c r="R515">
        <v>0</v>
      </c>
      <c r="S515">
        <v>22.28</v>
      </c>
      <c r="T515" t="s">
        <v>790</v>
      </c>
      <c r="U515">
        <v>17.14</v>
      </c>
      <c r="V515">
        <v>5.14</v>
      </c>
    </row>
    <row r="516" spans="1:22" x14ac:dyDescent="0.35">
      <c r="A516" t="s">
        <v>1895</v>
      </c>
      <c r="B516" t="s">
        <v>1236</v>
      </c>
      <c r="C516" t="s">
        <v>379</v>
      </c>
      <c r="D516" t="s">
        <v>380</v>
      </c>
      <c r="E516" t="s">
        <v>627</v>
      </c>
      <c r="F516" t="s">
        <v>264</v>
      </c>
      <c r="G516" t="s">
        <v>14</v>
      </c>
      <c r="H516" t="s">
        <v>14</v>
      </c>
      <c r="I516" t="s">
        <v>60</v>
      </c>
      <c r="J516" t="s">
        <v>786</v>
      </c>
      <c r="K516" t="s">
        <v>822</v>
      </c>
      <c r="L516" t="s">
        <v>800</v>
      </c>
      <c r="M516" s="5">
        <v>45592</v>
      </c>
      <c r="N516" s="5">
        <v>45586</v>
      </c>
      <c r="O516">
        <v>1</v>
      </c>
      <c r="P516">
        <v>18.18</v>
      </c>
      <c r="Q516">
        <v>24.54</v>
      </c>
      <c r="R516">
        <v>0.15</v>
      </c>
      <c r="S516">
        <v>20.86</v>
      </c>
      <c r="T516" t="s">
        <v>1017</v>
      </c>
      <c r="U516">
        <v>18.18</v>
      </c>
      <c r="V516">
        <v>2.68</v>
      </c>
    </row>
    <row r="517" spans="1:22" x14ac:dyDescent="0.35">
      <c r="A517" t="s">
        <v>1896</v>
      </c>
      <c r="B517" t="s">
        <v>1492</v>
      </c>
      <c r="C517" t="s">
        <v>574</v>
      </c>
      <c r="D517" t="s">
        <v>458</v>
      </c>
      <c r="E517" t="s">
        <v>633</v>
      </c>
      <c r="G517" t="s">
        <v>797</v>
      </c>
      <c r="H517" t="s">
        <v>8</v>
      </c>
      <c r="I517" t="s">
        <v>95</v>
      </c>
      <c r="J517" t="s">
        <v>798</v>
      </c>
      <c r="K517" t="s">
        <v>799</v>
      </c>
      <c r="L517" t="s">
        <v>842</v>
      </c>
      <c r="M517" s="5">
        <v>45578</v>
      </c>
      <c r="N517" s="5">
        <v>45572</v>
      </c>
      <c r="O517">
        <v>1</v>
      </c>
      <c r="P517">
        <v>23.02</v>
      </c>
      <c r="Q517">
        <v>28.77</v>
      </c>
      <c r="R517">
        <v>0.15</v>
      </c>
      <c r="S517">
        <v>24.45</v>
      </c>
      <c r="T517" t="s">
        <v>888</v>
      </c>
      <c r="U517">
        <v>23.02</v>
      </c>
      <c r="V517">
        <v>1.43</v>
      </c>
    </row>
    <row r="518" spans="1:22" x14ac:dyDescent="0.35">
      <c r="A518" t="s">
        <v>1898</v>
      </c>
      <c r="B518" t="s">
        <v>1899</v>
      </c>
      <c r="C518" t="s">
        <v>238</v>
      </c>
      <c r="D518" t="s">
        <v>239</v>
      </c>
      <c r="E518" t="s">
        <v>254</v>
      </c>
      <c r="F518" t="s">
        <v>243</v>
      </c>
      <c r="G518" t="s">
        <v>14</v>
      </c>
      <c r="H518" t="s">
        <v>14</v>
      </c>
      <c r="I518" t="s">
        <v>24</v>
      </c>
      <c r="J518" t="s">
        <v>798</v>
      </c>
      <c r="K518" t="s">
        <v>822</v>
      </c>
      <c r="L518" t="s">
        <v>818</v>
      </c>
      <c r="M518" s="5">
        <v>45922</v>
      </c>
      <c r="N518" s="5">
        <v>45917</v>
      </c>
      <c r="O518">
        <v>5</v>
      </c>
      <c r="P518">
        <v>37.42</v>
      </c>
      <c r="Q518">
        <v>50.52</v>
      </c>
      <c r="R518">
        <v>0.05</v>
      </c>
      <c r="S518">
        <v>239.97</v>
      </c>
      <c r="T518" t="s">
        <v>790</v>
      </c>
      <c r="U518">
        <v>187.1</v>
      </c>
      <c r="V518">
        <v>52.87</v>
      </c>
    </row>
    <row r="519" spans="1:22" x14ac:dyDescent="0.35">
      <c r="A519" t="s">
        <v>1901</v>
      </c>
      <c r="B519" t="s">
        <v>821</v>
      </c>
      <c r="C519" t="s">
        <v>306</v>
      </c>
      <c r="D519" t="s">
        <v>307</v>
      </c>
      <c r="E519" t="s">
        <v>627</v>
      </c>
      <c r="G519" t="s">
        <v>797</v>
      </c>
      <c r="H519" t="s">
        <v>38</v>
      </c>
      <c r="I519" t="s">
        <v>82</v>
      </c>
      <c r="J519" t="s">
        <v>786</v>
      </c>
      <c r="K519" t="s">
        <v>799</v>
      </c>
      <c r="L519" t="s">
        <v>842</v>
      </c>
      <c r="M519" s="5">
        <v>45970</v>
      </c>
      <c r="N519" s="5">
        <v>45966</v>
      </c>
      <c r="O519">
        <v>3</v>
      </c>
      <c r="P519">
        <v>12.54</v>
      </c>
      <c r="Q519">
        <v>16.93</v>
      </c>
      <c r="R519">
        <v>0</v>
      </c>
      <c r="S519">
        <v>50.79</v>
      </c>
      <c r="T519" t="s">
        <v>935</v>
      </c>
      <c r="U519">
        <v>37.619999999999997</v>
      </c>
      <c r="V519">
        <v>13.17</v>
      </c>
    </row>
    <row r="520" spans="1:22" x14ac:dyDescent="0.35">
      <c r="A520" t="s">
        <v>1902</v>
      </c>
      <c r="B520" t="s">
        <v>1286</v>
      </c>
      <c r="C520" t="s">
        <v>366</v>
      </c>
      <c r="D520" t="s">
        <v>245</v>
      </c>
      <c r="E520" t="s">
        <v>637</v>
      </c>
      <c r="F520" t="s">
        <v>243</v>
      </c>
      <c r="G520" t="s">
        <v>20</v>
      </c>
      <c r="H520" t="s">
        <v>20</v>
      </c>
      <c r="I520" t="s">
        <v>34</v>
      </c>
      <c r="J520" t="s">
        <v>798</v>
      </c>
      <c r="K520" t="s">
        <v>787</v>
      </c>
      <c r="L520" t="s">
        <v>818</v>
      </c>
      <c r="M520" s="5">
        <v>45665</v>
      </c>
      <c r="O520">
        <v>3</v>
      </c>
      <c r="P520">
        <v>28.02</v>
      </c>
      <c r="Q520">
        <v>36.43</v>
      </c>
      <c r="R520">
        <v>0</v>
      </c>
      <c r="S520">
        <v>109.29</v>
      </c>
      <c r="T520" t="s">
        <v>963</v>
      </c>
      <c r="U520">
        <v>84.06</v>
      </c>
      <c r="V520">
        <v>25.23</v>
      </c>
    </row>
    <row r="521" spans="1:22" x14ac:dyDescent="0.35">
      <c r="A521" t="s">
        <v>1903</v>
      </c>
      <c r="B521" t="s">
        <v>1379</v>
      </c>
      <c r="C521" t="s">
        <v>386</v>
      </c>
      <c r="D521" t="s">
        <v>387</v>
      </c>
      <c r="E521" t="s">
        <v>681</v>
      </c>
      <c r="F521" t="s">
        <v>243</v>
      </c>
      <c r="G521" t="s">
        <v>797</v>
      </c>
      <c r="H521" t="s">
        <v>8</v>
      </c>
      <c r="I521" t="s">
        <v>207</v>
      </c>
      <c r="J521" t="s">
        <v>798</v>
      </c>
      <c r="K521" t="s">
        <v>822</v>
      </c>
      <c r="L521" t="s">
        <v>800</v>
      </c>
      <c r="M521" s="5">
        <v>45754</v>
      </c>
      <c r="N521" s="5">
        <v>45757</v>
      </c>
      <c r="O521">
        <v>2</v>
      </c>
      <c r="P521">
        <v>8.5399999999999991</v>
      </c>
      <c r="Q521">
        <v>10.67</v>
      </c>
      <c r="R521">
        <v>0</v>
      </c>
      <c r="S521">
        <v>21.34</v>
      </c>
      <c r="T521" t="s">
        <v>834</v>
      </c>
      <c r="U521">
        <v>17.079999999999998</v>
      </c>
      <c r="V521">
        <v>4.26</v>
      </c>
    </row>
    <row r="522" spans="1:22" x14ac:dyDescent="0.35">
      <c r="A522" t="s">
        <v>1904</v>
      </c>
      <c r="B522" t="s">
        <v>903</v>
      </c>
      <c r="C522" t="s">
        <v>593</v>
      </c>
      <c r="D522" t="s">
        <v>594</v>
      </c>
      <c r="E522" t="s">
        <v>674</v>
      </c>
      <c r="F522" t="s">
        <v>243</v>
      </c>
      <c r="G522" t="s">
        <v>797</v>
      </c>
      <c r="H522" t="s">
        <v>79</v>
      </c>
      <c r="I522" t="s">
        <v>124</v>
      </c>
      <c r="J522" t="s">
        <v>798</v>
      </c>
      <c r="K522" t="s">
        <v>793</v>
      </c>
      <c r="L522" t="s">
        <v>800</v>
      </c>
      <c r="M522" s="5">
        <v>45939</v>
      </c>
      <c r="O522">
        <v>1</v>
      </c>
      <c r="P522">
        <v>29.44</v>
      </c>
      <c r="Q522">
        <v>41.22</v>
      </c>
      <c r="R522">
        <v>0.05</v>
      </c>
      <c r="S522">
        <v>39.159999999999997</v>
      </c>
      <c r="T522" t="s">
        <v>1001</v>
      </c>
      <c r="U522">
        <v>29.44</v>
      </c>
      <c r="V522">
        <v>9.7200000000000006</v>
      </c>
    </row>
    <row r="523" spans="1:22" x14ac:dyDescent="0.35">
      <c r="A523" t="s">
        <v>1905</v>
      </c>
      <c r="B523" t="s">
        <v>1060</v>
      </c>
      <c r="C523" t="s">
        <v>379</v>
      </c>
      <c r="D523" t="s">
        <v>380</v>
      </c>
      <c r="E523" t="s">
        <v>254</v>
      </c>
      <c r="F523" t="s">
        <v>264</v>
      </c>
      <c r="G523" t="s">
        <v>797</v>
      </c>
      <c r="H523" t="s">
        <v>43</v>
      </c>
      <c r="I523" t="s">
        <v>75</v>
      </c>
      <c r="J523" t="s">
        <v>786</v>
      </c>
      <c r="K523" t="s">
        <v>793</v>
      </c>
      <c r="L523" t="s">
        <v>800</v>
      </c>
      <c r="M523" s="5">
        <v>46029</v>
      </c>
      <c r="O523">
        <v>1</v>
      </c>
      <c r="P523">
        <v>24.35</v>
      </c>
      <c r="Q523">
        <v>34.090000000000003</v>
      </c>
      <c r="R523">
        <v>0.1</v>
      </c>
      <c r="S523">
        <v>30.68</v>
      </c>
      <c r="T523" t="s">
        <v>892</v>
      </c>
      <c r="U523">
        <v>24.35</v>
      </c>
      <c r="V523">
        <v>6.33</v>
      </c>
    </row>
    <row r="524" spans="1:22" x14ac:dyDescent="0.35">
      <c r="A524" t="s">
        <v>1906</v>
      </c>
      <c r="B524" t="s">
        <v>1907</v>
      </c>
      <c r="C524" t="s">
        <v>532</v>
      </c>
      <c r="D524" t="s">
        <v>533</v>
      </c>
      <c r="E524" t="s">
        <v>674</v>
      </c>
      <c r="F524" t="s">
        <v>235</v>
      </c>
      <c r="G524" t="s">
        <v>14</v>
      </c>
      <c r="H524" t="s">
        <v>8</v>
      </c>
      <c r="I524" t="s">
        <v>91</v>
      </c>
      <c r="J524" t="s">
        <v>798</v>
      </c>
      <c r="K524" t="s">
        <v>799</v>
      </c>
      <c r="L524" t="s">
        <v>788</v>
      </c>
      <c r="M524" s="5">
        <v>45804</v>
      </c>
      <c r="N524" s="5">
        <v>45800</v>
      </c>
      <c r="O524">
        <v>20</v>
      </c>
      <c r="P524">
        <v>36.82</v>
      </c>
      <c r="Q524">
        <v>47.87</v>
      </c>
      <c r="R524">
        <v>0</v>
      </c>
      <c r="S524">
        <v>957.4</v>
      </c>
      <c r="T524" t="s">
        <v>803</v>
      </c>
      <c r="U524">
        <v>736.4</v>
      </c>
      <c r="V524">
        <v>221</v>
      </c>
    </row>
    <row r="525" spans="1:22" x14ac:dyDescent="0.35">
      <c r="A525" t="s">
        <v>1908</v>
      </c>
      <c r="B525" t="s">
        <v>1437</v>
      </c>
      <c r="C525" t="s">
        <v>405</v>
      </c>
      <c r="D525" t="s">
        <v>404</v>
      </c>
      <c r="E525" t="s">
        <v>627</v>
      </c>
      <c r="F525" t="s">
        <v>264</v>
      </c>
      <c r="G525" t="s">
        <v>20</v>
      </c>
      <c r="H525" t="s">
        <v>20</v>
      </c>
      <c r="I525" t="s">
        <v>188</v>
      </c>
      <c r="J525" t="s">
        <v>786</v>
      </c>
      <c r="K525" t="s">
        <v>799</v>
      </c>
      <c r="L525" t="s">
        <v>800</v>
      </c>
      <c r="M525" s="5">
        <v>45372</v>
      </c>
      <c r="N525" s="5">
        <v>45359</v>
      </c>
      <c r="O525">
        <v>3</v>
      </c>
      <c r="P525">
        <v>24.6</v>
      </c>
      <c r="Q525">
        <v>35.67</v>
      </c>
      <c r="R525">
        <v>0</v>
      </c>
      <c r="S525">
        <v>107.01</v>
      </c>
      <c r="T525" t="s">
        <v>825</v>
      </c>
      <c r="U525">
        <v>73.8</v>
      </c>
      <c r="V525">
        <v>33.21</v>
      </c>
    </row>
    <row r="526" spans="1:22" x14ac:dyDescent="0.35">
      <c r="A526" t="s">
        <v>1909</v>
      </c>
      <c r="B526" t="s">
        <v>927</v>
      </c>
      <c r="C526" t="s">
        <v>557</v>
      </c>
      <c r="D526" t="s">
        <v>558</v>
      </c>
      <c r="E526" t="s">
        <v>633</v>
      </c>
      <c r="F526" t="s">
        <v>235</v>
      </c>
      <c r="G526" t="s">
        <v>14</v>
      </c>
      <c r="H526" t="s">
        <v>14</v>
      </c>
      <c r="I526" t="s">
        <v>111</v>
      </c>
      <c r="J526" t="s">
        <v>786</v>
      </c>
      <c r="K526" t="s">
        <v>787</v>
      </c>
      <c r="L526" t="s">
        <v>818</v>
      </c>
      <c r="M526" s="5">
        <v>46015</v>
      </c>
      <c r="O526">
        <v>5</v>
      </c>
      <c r="P526">
        <v>19.850000000000001</v>
      </c>
      <c r="Q526">
        <v>28.78</v>
      </c>
      <c r="R526">
        <v>0.15</v>
      </c>
      <c r="S526">
        <v>122.31</v>
      </c>
      <c r="T526" t="s">
        <v>825</v>
      </c>
      <c r="U526">
        <v>99.25</v>
      </c>
      <c r="V526">
        <v>23.06</v>
      </c>
    </row>
    <row r="527" spans="1:22" x14ac:dyDescent="0.35">
      <c r="A527" t="s">
        <v>1910</v>
      </c>
      <c r="B527" t="s">
        <v>1011</v>
      </c>
      <c r="C527" t="s">
        <v>434</v>
      </c>
      <c r="D527" t="s">
        <v>435</v>
      </c>
      <c r="E527" t="s">
        <v>696</v>
      </c>
      <c r="F527" t="s">
        <v>264</v>
      </c>
      <c r="G527" t="s">
        <v>20</v>
      </c>
      <c r="H527" t="s">
        <v>38</v>
      </c>
      <c r="I527" t="s">
        <v>156</v>
      </c>
      <c r="J527" t="s">
        <v>798</v>
      </c>
      <c r="K527" t="s">
        <v>787</v>
      </c>
      <c r="L527" t="s">
        <v>818</v>
      </c>
      <c r="M527" s="5">
        <v>45964</v>
      </c>
      <c r="O527">
        <v>12</v>
      </c>
      <c r="P527">
        <v>20.81</v>
      </c>
      <c r="Q527">
        <v>29.13</v>
      </c>
      <c r="R527">
        <v>0.05</v>
      </c>
      <c r="S527">
        <v>332.08</v>
      </c>
      <c r="T527" t="s">
        <v>814</v>
      </c>
      <c r="U527">
        <v>249.72</v>
      </c>
      <c r="V527">
        <v>82.36</v>
      </c>
    </row>
    <row r="528" spans="1:22" x14ac:dyDescent="0.35">
      <c r="A528" t="s">
        <v>1912</v>
      </c>
      <c r="B528" t="s">
        <v>1486</v>
      </c>
      <c r="C528" t="s">
        <v>595</v>
      </c>
      <c r="D528" t="s">
        <v>253</v>
      </c>
      <c r="E528" t="s">
        <v>674</v>
      </c>
      <c r="F528" t="s">
        <v>235</v>
      </c>
      <c r="G528" t="s">
        <v>797</v>
      </c>
      <c r="H528" t="s">
        <v>8</v>
      </c>
      <c r="I528" t="s">
        <v>192</v>
      </c>
      <c r="J528" t="s">
        <v>786</v>
      </c>
      <c r="K528" t="s">
        <v>799</v>
      </c>
      <c r="L528" t="s">
        <v>800</v>
      </c>
      <c r="M528" s="5">
        <v>45835</v>
      </c>
      <c r="N528" s="5">
        <v>45825</v>
      </c>
      <c r="O528">
        <v>1</v>
      </c>
      <c r="P528">
        <v>19.47</v>
      </c>
      <c r="Q528">
        <v>28.23</v>
      </c>
      <c r="R528">
        <v>0</v>
      </c>
      <c r="S528">
        <v>28.23</v>
      </c>
      <c r="T528" t="s">
        <v>935</v>
      </c>
      <c r="U528">
        <v>19.47</v>
      </c>
      <c r="V528">
        <v>8.76</v>
      </c>
    </row>
    <row r="529" spans="1:22" x14ac:dyDescent="0.35">
      <c r="A529" t="s">
        <v>1913</v>
      </c>
      <c r="B529" t="s">
        <v>1914</v>
      </c>
      <c r="C529" t="s">
        <v>541</v>
      </c>
      <c r="D529" t="s">
        <v>542</v>
      </c>
      <c r="E529" t="s">
        <v>637</v>
      </c>
      <c r="F529" t="s">
        <v>235</v>
      </c>
      <c r="G529" t="s">
        <v>797</v>
      </c>
      <c r="H529" t="s">
        <v>14</v>
      </c>
      <c r="I529" t="s">
        <v>56</v>
      </c>
      <c r="J529" t="s">
        <v>798</v>
      </c>
      <c r="K529" t="s">
        <v>817</v>
      </c>
      <c r="L529" t="s">
        <v>818</v>
      </c>
      <c r="M529" s="5">
        <v>45641</v>
      </c>
      <c r="O529">
        <v>12</v>
      </c>
      <c r="P529">
        <v>25.46</v>
      </c>
      <c r="Q529">
        <v>31.83</v>
      </c>
      <c r="R529">
        <v>0</v>
      </c>
      <c r="S529">
        <v>381.96</v>
      </c>
      <c r="T529" t="s">
        <v>794</v>
      </c>
      <c r="U529">
        <v>305.52</v>
      </c>
      <c r="V529">
        <v>76.44</v>
      </c>
    </row>
    <row r="530" spans="1:22" x14ac:dyDescent="0.35">
      <c r="A530" t="s">
        <v>1915</v>
      </c>
      <c r="B530" t="s">
        <v>1049</v>
      </c>
      <c r="C530" t="s">
        <v>437</v>
      </c>
      <c r="D530" t="s">
        <v>396</v>
      </c>
      <c r="E530" t="s">
        <v>633</v>
      </c>
      <c r="F530" t="s">
        <v>264</v>
      </c>
      <c r="G530" t="s">
        <v>797</v>
      </c>
      <c r="H530" t="s">
        <v>8</v>
      </c>
      <c r="I530" t="s">
        <v>174</v>
      </c>
      <c r="J530" t="s">
        <v>798</v>
      </c>
      <c r="K530" t="s">
        <v>787</v>
      </c>
      <c r="L530" t="s">
        <v>818</v>
      </c>
      <c r="M530" s="5">
        <v>45500</v>
      </c>
      <c r="O530">
        <v>3</v>
      </c>
      <c r="P530">
        <v>32.53</v>
      </c>
      <c r="Q530">
        <v>43.92</v>
      </c>
      <c r="R530">
        <v>0</v>
      </c>
      <c r="S530">
        <v>131.76</v>
      </c>
      <c r="T530" t="s">
        <v>803</v>
      </c>
      <c r="U530">
        <v>97.59</v>
      </c>
      <c r="V530">
        <v>34.17</v>
      </c>
    </row>
    <row r="531" spans="1:22" x14ac:dyDescent="0.35">
      <c r="A531" t="s">
        <v>1916</v>
      </c>
      <c r="B531" t="s">
        <v>1917</v>
      </c>
      <c r="C531" t="s">
        <v>401</v>
      </c>
      <c r="D531" t="s">
        <v>402</v>
      </c>
      <c r="E531" t="s">
        <v>674</v>
      </c>
      <c r="F531" t="s">
        <v>243</v>
      </c>
      <c r="G531" t="s">
        <v>797</v>
      </c>
      <c r="H531" t="s">
        <v>8</v>
      </c>
      <c r="I531" t="s">
        <v>73</v>
      </c>
      <c r="J531" t="s">
        <v>798</v>
      </c>
      <c r="K531" t="s">
        <v>793</v>
      </c>
      <c r="L531" t="s">
        <v>842</v>
      </c>
      <c r="M531" s="5">
        <v>45940</v>
      </c>
      <c r="O531">
        <v>12</v>
      </c>
      <c r="P531">
        <v>67.95</v>
      </c>
      <c r="Q531">
        <v>88.34</v>
      </c>
      <c r="R531">
        <v>0</v>
      </c>
      <c r="S531">
        <v>1060.08</v>
      </c>
      <c r="T531" t="s">
        <v>892</v>
      </c>
      <c r="U531">
        <v>815.4</v>
      </c>
      <c r="V531">
        <v>244.68</v>
      </c>
    </row>
    <row r="532" spans="1:22" x14ac:dyDescent="0.35">
      <c r="A532" t="s">
        <v>1918</v>
      </c>
      <c r="B532" t="s">
        <v>1181</v>
      </c>
      <c r="C532" t="s">
        <v>614</v>
      </c>
      <c r="D532" t="s">
        <v>615</v>
      </c>
      <c r="E532" t="s">
        <v>627</v>
      </c>
      <c r="F532" t="s">
        <v>235</v>
      </c>
      <c r="G532" t="s">
        <v>14</v>
      </c>
      <c r="H532" t="s">
        <v>20</v>
      </c>
      <c r="I532" t="s">
        <v>51</v>
      </c>
      <c r="J532" t="s">
        <v>786</v>
      </c>
      <c r="K532" t="s">
        <v>799</v>
      </c>
      <c r="L532" t="s">
        <v>842</v>
      </c>
      <c r="M532" s="5">
        <v>45548</v>
      </c>
      <c r="N532" s="5">
        <v>45535</v>
      </c>
      <c r="O532">
        <v>3</v>
      </c>
      <c r="P532">
        <v>11.28</v>
      </c>
      <c r="Q532">
        <v>15.23</v>
      </c>
      <c r="R532">
        <v>0</v>
      </c>
      <c r="S532">
        <v>45.69</v>
      </c>
      <c r="T532" t="s">
        <v>829</v>
      </c>
      <c r="U532">
        <v>33.840000000000003</v>
      </c>
      <c r="V532">
        <v>11.85</v>
      </c>
    </row>
    <row r="533" spans="1:22" x14ac:dyDescent="0.35">
      <c r="A533" t="s">
        <v>1919</v>
      </c>
      <c r="B533" t="s">
        <v>907</v>
      </c>
      <c r="C533" t="s">
        <v>585</v>
      </c>
      <c r="D533" t="s">
        <v>586</v>
      </c>
      <c r="E533" t="s">
        <v>254</v>
      </c>
      <c r="F533" t="s">
        <v>235</v>
      </c>
      <c r="G533" t="s">
        <v>20</v>
      </c>
      <c r="H533" t="s">
        <v>48</v>
      </c>
      <c r="I533" t="s">
        <v>179</v>
      </c>
      <c r="J533" t="s">
        <v>813</v>
      </c>
      <c r="K533" t="s">
        <v>799</v>
      </c>
      <c r="L533" t="s">
        <v>842</v>
      </c>
      <c r="M533" s="5">
        <v>45681</v>
      </c>
      <c r="N533" s="5">
        <v>45685</v>
      </c>
      <c r="O533">
        <v>20</v>
      </c>
      <c r="P533">
        <v>16.670000000000002</v>
      </c>
      <c r="Q533">
        <v>22.5</v>
      </c>
      <c r="R533">
        <v>0</v>
      </c>
      <c r="S533">
        <v>450</v>
      </c>
      <c r="T533" t="s">
        <v>946</v>
      </c>
      <c r="U533">
        <v>333.4</v>
      </c>
      <c r="V533">
        <v>116.6</v>
      </c>
    </row>
    <row r="534" spans="1:22" x14ac:dyDescent="0.35">
      <c r="A534" t="s">
        <v>1921</v>
      </c>
      <c r="B534" t="s">
        <v>1699</v>
      </c>
      <c r="C534" t="s">
        <v>579</v>
      </c>
      <c r="D534" t="s">
        <v>514</v>
      </c>
      <c r="E534" t="s">
        <v>254</v>
      </c>
      <c r="F534" t="s">
        <v>243</v>
      </c>
      <c r="G534" t="s">
        <v>14</v>
      </c>
      <c r="H534" t="s">
        <v>8</v>
      </c>
      <c r="I534" t="s">
        <v>95</v>
      </c>
      <c r="J534" t="s">
        <v>798</v>
      </c>
      <c r="K534" t="s">
        <v>793</v>
      </c>
      <c r="L534" t="s">
        <v>842</v>
      </c>
      <c r="M534" s="5">
        <v>45366</v>
      </c>
      <c r="O534">
        <v>3</v>
      </c>
      <c r="P534">
        <v>23.02</v>
      </c>
      <c r="Q534">
        <v>28.77</v>
      </c>
      <c r="R534">
        <v>0.1</v>
      </c>
      <c r="S534">
        <v>77.680000000000007</v>
      </c>
      <c r="T534" t="s">
        <v>876</v>
      </c>
      <c r="U534">
        <v>69.06</v>
      </c>
      <c r="V534">
        <v>8.6199999999999992</v>
      </c>
    </row>
    <row r="535" spans="1:22" x14ac:dyDescent="0.35">
      <c r="A535" t="s">
        <v>1922</v>
      </c>
      <c r="B535" t="s">
        <v>979</v>
      </c>
      <c r="C535" t="s">
        <v>573</v>
      </c>
      <c r="D535" t="s">
        <v>277</v>
      </c>
      <c r="E535" t="s">
        <v>627</v>
      </c>
      <c r="F535" t="s">
        <v>235</v>
      </c>
      <c r="G535" t="s">
        <v>797</v>
      </c>
      <c r="H535" t="s">
        <v>29</v>
      </c>
      <c r="I535" t="s">
        <v>158</v>
      </c>
      <c r="J535" t="s">
        <v>798</v>
      </c>
      <c r="K535" t="s">
        <v>799</v>
      </c>
      <c r="L535" t="s">
        <v>842</v>
      </c>
      <c r="M535" s="5">
        <v>45537</v>
      </c>
      <c r="N535" s="5">
        <v>45531</v>
      </c>
      <c r="O535">
        <v>1</v>
      </c>
      <c r="P535">
        <v>25.8</v>
      </c>
      <c r="Q535">
        <v>36.119999999999997</v>
      </c>
      <c r="R535">
        <v>0</v>
      </c>
      <c r="S535">
        <v>36.119999999999997</v>
      </c>
      <c r="T535" t="s">
        <v>869</v>
      </c>
      <c r="U535">
        <v>25.8</v>
      </c>
      <c r="V535">
        <v>10.32</v>
      </c>
    </row>
    <row r="536" spans="1:22" x14ac:dyDescent="0.35">
      <c r="A536" t="s">
        <v>1923</v>
      </c>
      <c r="B536" t="s">
        <v>1088</v>
      </c>
      <c r="C536" t="s">
        <v>437</v>
      </c>
      <c r="D536" t="s">
        <v>396</v>
      </c>
      <c r="E536" t="s">
        <v>627</v>
      </c>
      <c r="F536" t="s">
        <v>264</v>
      </c>
      <c r="G536" t="s">
        <v>797</v>
      </c>
      <c r="H536" t="s">
        <v>48</v>
      </c>
      <c r="I536" t="s">
        <v>177</v>
      </c>
      <c r="J536" t="s">
        <v>813</v>
      </c>
      <c r="K536" t="s">
        <v>799</v>
      </c>
      <c r="L536" t="s">
        <v>842</v>
      </c>
      <c r="M536" s="5">
        <v>45759</v>
      </c>
      <c r="N536" s="5">
        <v>45766</v>
      </c>
      <c r="O536">
        <v>2</v>
      </c>
      <c r="P536">
        <v>41.79</v>
      </c>
      <c r="Q536">
        <v>60.6</v>
      </c>
      <c r="R536">
        <v>0.1</v>
      </c>
      <c r="S536">
        <v>109.08</v>
      </c>
      <c r="T536" t="s">
        <v>963</v>
      </c>
      <c r="U536">
        <v>83.58</v>
      </c>
      <c r="V536">
        <v>25.5</v>
      </c>
    </row>
    <row r="537" spans="1:22" x14ac:dyDescent="0.35">
      <c r="A537" t="s">
        <v>1924</v>
      </c>
      <c r="B537" t="s">
        <v>1925</v>
      </c>
      <c r="C537" t="s">
        <v>515</v>
      </c>
      <c r="D537" t="s">
        <v>512</v>
      </c>
      <c r="E537" t="s">
        <v>633</v>
      </c>
      <c r="F537" t="s">
        <v>235</v>
      </c>
      <c r="G537" t="s">
        <v>797</v>
      </c>
      <c r="H537" t="s">
        <v>8</v>
      </c>
      <c r="I537" t="s">
        <v>73</v>
      </c>
      <c r="J537" t="s">
        <v>798</v>
      </c>
      <c r="K537" t="s">
        <v>799</v>
      </c>
      <c r="L537" t="s">
        <v>788</v>
      </c>
      <c r="M537" s="5">
        <v>45428</v>
      </c>
      <c r="N537" s="5">
        <v>45422</v>
      </c>
      <c r="O537">
        <v>3</v>
      </c>
      <c r="P537">
        <v>67.95</v>
      </c>
      <c r="Q537">
        <v>88.34</v>
      </c>
      <c r="R537">
        <v>0</v>
      </c>
      <c r="S537">
        <v>265.02</v>
      </c>
      <c r="T537" t="s">
        <v>888</v>
      </c>
      <c r="U537">
        <v>203.85</v>
      </c>
      <c r="V537">
        <v>61.17</v>
      </c>
    </row>
    <row r="538" spans="1:22" x14ac:dyDescent="0.35">
      <c r="A538" t="s">
        <v>1926</v>
      </c>
      <c r="B538" t="s">
        <v>1840</v>
      </c>
      <c r="C538" t="s">
        <v>428</v>
      </c>
      <c r="D538" t="s">
        <v>429</v>
      </c>
      <c r="E538" t="s">
        <v>627</v>
      </c>
      <c r="F538" t="s">
        <v>264</v>
      </c>
      <c r="G538" t="s">
        <v>797</v>
      </c>
      <c r="H538" t="s">
        <v>29</v>
      </c>
      <c r="I538" t="s">
        <v>86</v>
      </c>
      <c r="J538" t="s">
        <v>786</v>
      </c>
      <c r="K538" t="s">
        <v>799</v>
      </c>
      <c r="L538" t="s">
        <v>800</v>
      </c>
      <c r="M538" s="5">
        <v>45367</v>
      </c>
      <c r="N538" s="5">
        <v>45356</v>
      </c>
      <c r="O538">
        <v>12</v>
      </c>
      <c r="P538">
        <v>8.35</v>
      </c>
      <c r="Q538">
        <v>12.11</v>
      </c>
      <c r="R538">
        <v>0.1</v>
      </c>
      <c r="S538">
        <v>130.79</v>
      </c>
      <c r="T538" t="s">
        <v>790</v>
      </c>
      <c r="U538">
        <v>100.2</v>
      </c>
      <c r="V538">
        <v>30.59</v>
      </c>
    </row>
    <row r="539" spans="1:22" x14ac:dyDescent="0.35">
      <c r="A539" t="s">
        <v>1927</v>
      </c>
      <c r="B539" t="s">
        <v>1928</v>
      </c>
      <c r="C539" t="s">
        <v>428</v>
      </c>
      <c r="D539" t="s">
        <v>429</v>
      </c>
      <c r="E539" t="s">
        <v>627</v>
      </c>
      <c r="F539" t="s">
        <v>264</v>
      </c>
      <c r="G539" t="s">
        <v>797</v>
      </c>
      <c r="H539" t="s">
        <v>43</v>
      </c>
      <c r="I539" t="s">
        <v>99</v>
      </c>
      <c r="J539" t="s">
        <v>798</v>
      </c>
      <c r="K539" t="s">
        <v>787</v>
      </c>
      <c r="L539" t="s">
        <v>788</v>
      </c>
      <c r="M539" s="5">
        <v>45449</v>
      </c>
      <c r="O539">
        <v>12</v>
      </c>
      <c r="P539">
        <v>10.88</v>
      </c>
      <c r="Q539">
        <v>15.78</v>
      </c>
      <c r="R539">
        <v>0</v>
      </c>
      <c r="S539">
        <v>189.36</v>
      </c>
      <c r="T539" t="s">
        <v>794</v>
      </c>
      <c r="U539">
        <v>130.56</v>
      </c>
      <c r="V539">
        <v>58.8</v>
      </c>
    </row>
    <row r="540" spans="1:22" x14ac:dyDescent="0.35">
      <c r="A540" t="s">
        <v>1929</v>
      </c>
      <c r="B540" t="s">
        <v>1034</v>
      </c>
      <c r="C540" t="s">
        <v>283</v>
      </c>
      <c r="D540" t="s">
        <v>284</v>
      </c>
      <c r="E540" t="s">
        <v>696</v>
      </c>
      <c r="F540" t="s">
        <v>264</v>
      </c>
      <c r="G540" t="s">
        <v>797</v>
      </c>
      <c r="H540" t="s">
        <v>38</v>
      </c>
      <c r="I540" t="s">
        <v>69</v>
      </c>
      <c r="J540" t="s">
        <v>786</v>
      </c>
      <c r="K540" t="s">
        <v>799</v>
      </c>
      <c r="L540" t="s">
        <v>788</v>
      </c>
      <c r="M540" s="5">
        <v>45825</v>
      </c>
      <c r="N540" s="5">
        <v>45815</v>
      </c>
      <c r="O540">
        <v>12</v>
      </c>
      <c r="P540">
        <v>20.9</v>
      </c>
      <c r="Q540">
        <v>28.21</v>
      </c>
      <c r="R540">
        <v>0</v>
      </c>
      <c r="S540">
        <v>338.52</v>
      </c>
      <c r="T540" t="s">
        <v>1134</v>
      </c>
      <c r="U540">
        <v>250.8</v>
      </c>
      <c r="V540">
        <v>87.72</v>
      </c>
    </row>
    <row r="541" spans="1:22" x14ac:dyDescent="0.35">
      <c r="A541" t="s">
        <v>1930</v>
      </c>
      <c r="B541" t="s">
        <v>1586</v>
      </c>
      <c r="C541" t="s">
        <v>585</v>
      </c>
      <c r="D541" t="s">
        <v>586</v>
      </c>
      <c r="E541" t="s">
        <v>681</v>
      </c>
      <c r="F541" t="s">
        <v>235</v>
      </c>
      <c r="G541" t="s">
        <v>48</v>
      </c>
      <c r="H541" t="s">
        <v>8</v>
      </c>
      <c r="I541" t="s">
        <v>23</v>
      </c>
      <c r="J541" t="s">
        <v>798</v>
      </c>
      <c r="K541" t="s">
        <v>793</v>
      </c>
      <c r="L541" t="s">
        <v>800</v>
      </c>
      <c r="M541" s="5">
        <v>45982</v>
      </c>
      <c r="O541">
        <v>10</v>
      </c>
      <c r="P541">
        <v>58.47</v>
      </c>
      <c r="Q541">
        <v>84.78</v>
      </c>
      <c r="R541">
        <v>0.1</v>
      </c>
      <c r="S541">
        <v>763.02</v>
      </c>
      <c r="T541" t="s">
        <v>859</v>
      </c>
      <c r="U541">
        <v>584.70000000000005</v>
      </c>
      <c r="V541">
        <v>178.32</v>
      </c>
    </row>
    <row r="542" spans="1:22" x14ac:dyDescent="0.35">
      <c r="A542" t="s">
        <v>1931</v>
      </c>
      <c r="B542" t="s">
        <v>1342</v>
      </c>
      <c r="C542" t="s">
        <v>358</v>
      </c>
      <c r="D542" t="s">
        <v>287</v>
      </c>
      <c r="E542" t="s">
        <v>254</v>
      </c>
      <c r="F542" t="s">
        <v>243</v>
      </c>
      <c r="G542" t="s">
        <v>14</v>
      </c>
      <c r="H542" t="s">
        <v>20</v>
      </c>
      <c r="I542" t="s">
        <v>34</v>
      </c>
      <c r="J542" t="s">
        <v>786</v>
      </c>
      <c r="K542" t="s">
        <v>787</v>
      </c>
      <c r="L542" t="s">
        <v>788</v>
      </c>
      <c r="M542" s="5">
        <v>45734</v>
      </c>
      <c r="O542">
        <v>3</v>
      </c>
      <c r="P542">
        <v>28.02</v>
      </c>
      <c r="Q542">
        <v>36.43</v>
      </c>
      <c r="R542">
        <v>0</v>
      </c>
      <c r="S542">
        <v>109.29</v>
      </c>
      <c r="T542" t="s">
        <v>869</v>
      </c>
      <c r="U542">
        <v>84.06</v>
      </c>
      <c r="V542">
        <v>25.23</v>
      </c>
    </row>
    <row r="543" spans="1:22" x14ac:dyDescent="0.35">
      <c r="A543" t="s">
        <v>1932</v>
      </c>
      <c r="B543" t="s">
        <v>843</v>
      </c>
      <c r="C543" t="s">
        <v>497</v>
      </c>
      <c r="D543" t="s">
        <v>296</v>
      </c>
      <c r="E543" t="s">
        <v>627</v>
      </c>
      <c r="F543" t="s">
        <v>235</v>
      </c>
      <c r="G543" t="s">
        <v>797</v>
      </c>
      <c r="H543" t="s">
        <v>8</v>
      </c>
      <c r="I543" t="s">
        <v>73</v>
      </c>
      <c r="J543" t="s">
        <v>798</v>
      </c>
      <c r="K543" t="s">
        <v>799</v>
      </c>
      <c r="L543" t="s">
        <v>800</v>
      </c>
      <c r="M543" s="5">
        <v>45527</v>
      </c>
      <c r="N543" s="5">
        <v>45524</v>
      </c>
      <c r="O543">
        <v>20</v>
      </c>
      <c r="P543">
        <v>67.95</v>
      </c>
      <c r="Q543">
        <v>88.34</v>
      </c>
      <c r="R543">
        <v>0.15</v>
      </c>
      <c r="S543">
        <v>1501.78</v>
      </c>
      <c r="T543" t="s">
        <v>935</v>
      </c>
      <c r="U543">
        <v>1359</v>
      </c>
      <c r="V543">
        <v>142.78</v>
      </c>
    </row>
    <row r="544" spans="1:22" x14ac:dyDescent="0.35">
      <c r="A544" t="s">
        <v>1933</v>
      </c>
      <c r="B544" t="s">
        <v>1394</v>
      </c>
      <c r="C544" t="s">
        <v>238</v>
      </c>
      <c r="D544" t="s">
        <v>239</v>
      </c>
      <c r="E544" t="s">
        <v>633</v>
      </c>
      <c r="F544" t="s">
        <v>243</v>
      </c>
      <c r="G544" t="s">
        <v>797</v>
      </c>
      <c r="H544" t="s">
        <v>8</v>
      </c>
      <c r="I544" t="s">
        <v>129</v>
      </c>
      <c r="J544" t="s">
        <v>798</v>
      </c>
      <c r="K544" t="s">
        <v>799</v>
      </c>
      <c r="L544" t="s">
        <v>788</v>
      </c>
      <c r="M544" s="5">
        <v>45708</v>
      </c>
      <c r="N544" s="5">
        <v>45705</v>
      </c>
      <c r="O544">
        <v>12</v>
      </c>
      <c r="P544">
        <v>22.15</v>
      </c>
      <c r="Q544">
        <v>31.01</v>
      </c>
      <c r="R544">
        <v>0</v>
      </c>
      <c r="S544">
        <v>372.12</v>
      </c>
      <c r="T544" t="s">
        <v>845</v>
      </c>
      <c r="U544">
        <v>265.8</v>
      </c>
      <c r="V544">
        <v>106.32</v>
      </c>
    </row>
    <row r="545" spans="1:22" x14ac:dyDescent="0.35">
      <c r="A545" t="s">
        <v>1934</v>
      </c>
      <c r="B545" t="s">
        <v>1280</v>
      </c>
      <c r="C545" t="s">
        <v>611</v>
      </c>
      <c r="D545" t="s">
        <v>287</v>
      </c>
      <c r="E545" t="s">
        <v>633</v>
      </c>
      <c r="F545" t="s">
        <v>235</v>
      </c>
      <c r="G545" t="s">
        <v>797</v>
      </c>
      <c r="H545" t="s">
        <v>8</v>
      </c>
      <c r="I545" t="s">
        <v>192</v>
      </c>
      <c r="J545" t="s">
        <v>813</v>
      </c>
      <c r="K545" t="s">
        <v>793</v>
      </c>
      <c r="L545" t="s">
        <v>788</v>
      </c>
      <c r="M545" s="5">
        <v>45941</v>
      </c>
      <c r="O545">
        <v>12</v>
      </c>
      <c r="P545">
        <v>19.47</v>
      </c>
      <c r="Q545">
        <v>28.23</v>
      </c>
      <c r="R545">
        <v>0</v>
      </c>
      <c r="S545">
        <v>338.76</v>
      </c>
      <c r="T545" t="s">
        <v>1017</v>
      </c>
      <c r="U545">
        <v>233.64</v>
      </c>
      <c r="V545">
        <v>105.12</v>
      </c>
    </row>
    <row r="546" spans="1:22" x14ac:dyDescent="0.35">
      <c r="A546" t="s">
        <v>1935</v>
      </c>
      <c r="B546" t="s">
        <v>1402</v>
      </c>
      <c r="C546" t="s">
        <v>440</v>
      </c>
      <c r="D546" t="s">
        <v>441</v>
      </c>
      <c r="E546" t="s">
        <v>637</v>
      </c>
      <c r="F546" t="s">
        <v>264</v>
      </c>
      <c r="G546" t="s">
        <v>14</v>
      </c>
      <c r="H546" t="s">
        <v>43</v>
      </c>
      <c r="I546" t="s">
        <v>53</v>
      </c>
      <c r="J546" t="s">
        <v>813</v>
      </c>
      <c r="K546" t="s">
        <v>787</v>
      </c>
      <c r="L546" t="s">
        <v>800</v>
      </c>
      <c r="M546" s="5">
        <v>46031</v>
      </c>
      <c r="O546">
        <v>1</v>
      </c>
      <c r="P546">
        <v>54.93</v>
      </c>
      <c r="Q546">
        <v>79.650000000000006</v>
      </c>
      <c r="R546">
        <v>0</v>
      </c>
      <c r="S546">
        <v>79.650000000000006</v>
      </c>
      <c r="T546" t="s">
        <v>839</v>
      </c>
      <c r="U546">
        <v>54.93</v>
      </c>
      <c r="V546">
        <v>24.72</v>
      </c>
    </row>
    <row r="547" spans="1:22" x14ac:dyDescent="0.35">
      <c r="A547" t="s">
        <v>1936</v>
      </c>
      <c r="B547" t="s">
        <v>929</v>
      </c>
      <c r="C547" t="s">
        <v>459</v>
      </c>
      <c r="D547" t="s">
        <v>460</v>
      </c>
      <c r="E547" t="s">
        <v>681</v>
      </c>
      <c r="F547" t="s">
        <v>264</v>
      </c>
      <c r="G547" t="s">
        <v>20</v>
      </c>
      <c r="H547" t="s">
        <v>29</v>
      </c>
      <c r="I547" t="s">
        <v>154</v>
      </c>
      <c r="J547" t="s">
        <v>813</v>
      </c>
      <c r="K547" t="s">
        <v>822</v>
      </c>
      <c r="L547" t="s">
        <v>800</v>
      </c>
      <c r="M547" s="5">
        <v>45988</v>
      </c>
      <c r="N547" s="5">
        <v>45991</v>
      </c>
      <c r="O547">
        <v>5</v>
      </c>
      <c r="P547">
        <v>25.74</v>
      </c>
      <c r="Q547">
        <v>33.46</v>
      </c>
      <c r="R547">
        <v>0.05</v>
      </c>
      <c r="S547">
        <v>158.94</v>
      </c>
      <c r="T547" t="s">
        <v>794</v>
      </c>
      <c r="U547">
        <v>128.69999999999999</v>
      </c>
      <c r="V547">
        <v>30.24</v>
      </c>
    </row>
    <row r="548" spans="1:22" x14ac:dyDescent="0.35">
      <c r="A548" t="s">
        <v>1937</v>
      </c>
      <c r="B548" t="s">
        <v>906</v>
      </c>
      <c r="C548" t="s">
        <v>522</v>
      </c>
      <c r="D548" t="s">
        <v>523</v>
      </c>
      <c r="E548" t="s">
        <v>637</v>
      </c>
      <c r="F548" t="s">
        <v>264</v>
      </c>
      <c r="G548" t="s">
        <v>48</v>
      </c>
      <c r="H548" t="s">
        <v>48</v>
      </c>
      <c r="I548" t="s">
        <v>54</v>
      </c>
      <c r="J548" t="s">
        <v>786</v>
      </c>
      <c r="K548" t="s">
        <v>799</v>
      </c>
      <c r="L548" t="s">
        <v>842</v>
      </c>
      <c r="M548" s="5">
        <v>45687</v>
      </c>
      <c r="N548" s="5">
        <v>45676</v>
      </c>
      <c r="O548">
        <v>5</v>
      </c>
      <c r="P548">
        <v>21.67</v>
      </c>
      <c r="Q548">
        <v>28.17</v>
      </c>
      <c r="R548">
        <v>0</v>
      </c>
      <c r="S548">
        <v>140.85</v>
      </c>
      <c r="T548" t="s">
        <v>888</v>
      </c>
      <c r="U548">
        <v>108.35</v>
      </c>
      <c r="V548">
        <v>32.5</v>
      </c>
    </row>
    <row r="549" spans="1:22" x14ac:dyDescent="0.35">
      <c r="A549" t="s">
        <v>1940</v>
      </c>
      <c r="B549" t="s">
        <v>1229</v>
      </c>
      <c r="C549" t="s">
        <v>525</v>
      </c>
      <c r="D549" t="s">
        <v>526</v>
      </c>
      <c r="E549" t="s">
        <v>696</v>
      </c>
      <c r="F549" t="s">
        <v>243</v>
      </c>
      <c r="G549" t="s">
        <v>14</v>
      </c>
      <c r="H549" t="s">
        <v>14</v>
      </c>
      <c r="I549" t="s">
        <v>128</v>
      </c>
      <c r="J549" t="s">
        <v>798</v>
      </c>
      <c r="K549" t="s">
        <v>793</v>
      </c>
      <c r="L549" t="s">
        <v>788</v>
      </c>
      <c r="M549" s="5">
        <v>45493</v>
      </c>
      <c r="O549">
        <v>2</v>
      </c>
      <c r="P549">
        <v>18.850000000000001</v>
      </c>
      <c r="Q549">
        <v>27.33</v>
      </c>
      <c r="R549">
        <v>0</v>
      </c>
      <c r="S549">
        <v>54.66</v>
      </c>
      <c r="T549" t="s">
        <v>946</v>
      </c>
      <c r="U549">
        <v>37.700000000000003</v>
      </c>
      <c r="V549">
        <v>16.96</v>
      </c>
    </row>
    <row r="550" spans="1:22" x14ac:dyDescent="0.35">
      <c r="A550" t="s">
        <v>1941</v>
      </c>
      <c r="B550" t="s">
        <v>1268</v>
      </c>
      <c r="C550" t="s">
        <v>527</v>
      </c>
      <c r="D550" t="s">
        <v>282</v>
      </c>
      <c r="E550" t="s">
        <v>633</v>
      </c>
      <c r="F550" t="s">
        <v>235</v>
      </c>
      <c r="G550" t="s">
        <v>20</v>
      </c>
      <c r="H550" t="s">
        <v>14</v>
      </c>
      <c r="I550" t="s">
        <v>67</v>
      </c>
      <c r="J550" t="s">
        <v>798</v>
      </c>
      <c r="K550" t="s">
        <v>787</v>
      </c>
      <c r="L550" t="s">
        <v>800</v>
      </c>
      <c r="M550" s="5">
        <v>45900</v>
      </c>
      <c r="O550">
        <v>10</v>
      </c>
      <c r="P550">
        <v>17.63</v>
      </c>
      <c r="Q550">
        <v>22.92</v>
      </c>
      <c r="R550">
        <v>0</v>
      </c>
      <c r="S550">
        <v>229.2</v>
      </c>
      <c r="T550" t="s">
        <v>892</v>
      </c>
      <c r="U550">
        <v>176.3</v>
      </c>
      <c r="V550">
        <v>52.9</v>
      </c>
    </row>
    <row r="551" spans="1:22" x14ac:dyDescent="0.35">
      <c r="A551" t="s">
        <v>1942</v>
      </c>
      <c r="B551" t="s">
        <v>1179</v>
      </c>
      <c r="C551" t="s">
        <v>379</v>
      </c>
      <c r="D551" t="s">
        <v>380</v>
      </c>
      <c r="E551" t="s">
        <v>681</v>
      </c>
      <c r="F551" t="s">
        <v>264</v>
      </c>
      <c r="G551" t="s">
        <v>797</v>
      </c>
      <c r="H551" t="s">
        <v>48</v>
      </c>
      <c r="I551" t="s">
        <v>143</v>
      </c>
      <c r="J551" t="s">
        <v>798</v>
      </c>
      <c r="K551" t="s">
        <v>799</v>
      </c>
      <c r="L551" t="s">
        <v>842</v>
      </c>
      <c r="M551" s="5">
        <v>45897</v>
      </c>
      <c r="N551" s="5">
        <v>45897</v>
      </c>
      <c r="O551">
        <v>5</v>
      </c>
      <c r="P551">
        <v>29.93</v>
      </c>
      <c r="Q551">
        <v>38.909999999999997</v>
      </c>
      <c r="R551">
        <v>0</v>
      </c>
      <c r="S551">
        <v>194.55</v>
      </c>
      <c r="T551" t="s">
        <v>892</v>
      </c>
      <c r="U551">
        <v>149.65</v>
      </c>
      <c r="V551">
        <v>44.9</v>
      </c>
    </row>
    <row r="552" spans="1:22" x14ac:dyDescent="0.35">
      <c r="A552" t="s">
        <v>1943</v>
      </c>
      <c r="B552" t="s">
        <v>1131</v>
      </c>
      <c r="C552" t="s">
        <v>455</v>
      </c>
      <c r="D552" t="s">
        <v>456</v>
      </c>
      <c r="E552" t="s">
        <v>696</v>
      </c>
      <c r="F552" t="s">
        <v>264</v>
      </c>
      <c r="G552" t="s">
        <v>14</v>
      </c>
      <c r="H552" t="s">
        <v>14</v>
      </c>
      <c r="I552" t="s">
        <v>111</v>
      </c>
      <c r="J552" t="s">
        <v>813</v>
      </c>
      <c r="K552" t="s">
        <v>799</v>
      </c>
      <c r="L552" t="s">
        <v>818</v>
      </c>
      <c r="M552" s="5">
        <v>45955</v>
      </c>
      <c r="N552" s="5">
        <v>45960</v>
      </c>
      <c r="O552">
        <v>12</v>
      </c>
      <c r="P552">
        <v>19.850000000000001</v>
      </c>
      <c r="Q552">
        <v>28.78</v>
      </c>
      <c r="R552">
        <v>0.15</v>
      </c>
      <c r="S552">
        <v>293.56</v>
      </c>
      <c r="T552" t="s">
        <v>819</v>
      </c>
      <c r="U552">
        <v>238.2</v>
      </c>
      <c r="V552">
        <v>55.36</v>
      </c>
    </row>
    <row r="553" spans="1:22" x14ac:dyDescent="0.35">
      <c r="A553" t="s">
        <v>1944</v>
      </c>
      <c r="B553" t="s">
        <v>1945</v>
      </c>
      <c r="C553" t="s">
        <v>467</v>
      </c>
      <c r="D553" t="s">
        <v>468</v>
      </c>
      <c r="E553" t="s">
        <v>681</v>
      </c>
      <c r="F553" t="s">
        <v>235</v>
      </c>
      <c r="G553" t="s">
        <v>48</v>
      </c>
      <c r="H553" t="s">
        <v>29</v>
      </c>
      <c r="I553" t="s">
        <v>49</v>
      </c>
      <c r="J553" t="s">
        <v>798</v>
      </c>
      <c r="K553" t="s">
        <v>787</v>
      </c>
      <c r="L553" t="s">
        <v>788</v>
      </c>
      <c r="M553" s="5">
        <v>45573</v>
      </c>
      <c r="O553">
        <v>5</v>
      </c>
      <c r="P553">
        <v>14.89</v>
      </c>
      <c r="Q553">
        <v>20.85</v>
      </c>
      <c r="R553">
        <v>0</v>
      </c>
      <c r="S553">
        <v>104.25</v>
      </c>
      <c r="T553" t="s">
        <v>845</v>
      </c>
      <c r="U553">
        <v>74.45</v>
      </c>
      <c r="V553">
        <v>29.8</v>
      </c>
    </row>
    <row r="554" spans="1:22" x14ac:dyDescent="0.35">
      <c r="A554" t="s">
        <v>1946</v>
      </c>
      <c r="B554" t="s">
        <v>1782</v>
      </c>
      <c r="C554" t="s">
        <v>384</v>
      </c>
      <c r="D554" t="s">
        <v>385</v>
      </c>
      <c r="E554" t="s">
        <v>633</v>
      </c>
      <c r="F554" t="s">
        <v>264</v>
      </c>
      <c r="G554" t="s">
        <v>797</v>
      </c>
      <c r="H554" t="s">
        <v>8</v>
      </c>
      <c r="I554" t="s">
        <v>174</v>
      </c>
      <c r="J554" t="s">
        <v>798</v>
      </c>
      <c r="K554" t="s">
        <v>787</v>
      </c>
      <c r="L554" t="s">
        <v>800</v>
      </c>
      <c r="M554" s="5">
        <v>45539</v>
      </c>
      <c r="O554">
        <v>10</v>
      </c>
      <c r="P554">
        <v>32.53</v>
      </c>
      <c r="Q554">
        <v>43.92</v>
      </c>
      <c r="R554">
        <v>0</v>
      </c>
      <c r="S554">
        <v>439.2</v>
      </c>
      <c r="T554" t="s">
        <v>790</v>
      </c>
      <c r="U554">
        <v>325.3</v>
      </c>
      <c r="V554">
        <v>113.9</v>
      </c>
    </row>
    <row r="555" spans="1:22" x14ac:dyDescent="0.35">
      <c r="A555" t="s">
        <v>1947</v>
      </c>
      <c r="B555" t="s">
        <v>1767</v>
      </c>
      <c r="C555" t="s">
        <v>606</v>
      </c>
      <c r="D555" t="s">
        <v>600</v>
      </c>
      <c r="E555" t="s">
        <v>254</v>
      </c>
      <c r="G555" t="s">
        <v>797</v>
      </c>
      <c r="H555" t="s">
        <v>8</v>
      </c>
      <c r="I555" t="s">
        <v>6</v>
      </c>
      <c r="J555" t="s">
        <v>798</v>
      </c>
      <c r="K555" t="s">
        <v>793</v>
      </c>
      <c r="L555" t="s">
        <v>842</v>
      </c>
      <c r="M555" s="5">
        <v>45385</v>
      </c>
      <c r="O555">
        <v>3</v>
      </c>
      <c r="P555">
        <v>32.24</v>
      </c>
      <c r="Q555">
        <v>41.91</v>
      </c>
      <c r="R555">
        <v>0.05</v>
      </c>
      <c r="S555">
        <v>119.44</v>
      </c>
      <c r="T555" t="s">
        <v>892</v>
      </c>
      <c r="U555">
        <v>96.72</v>
      </c>
      <c r="V555">
        <v>22.72</v>
      </c>
    </row>
    <row r="556" spans="1:22" x14ac:dyDescent="0.35">
      <c r="A556" t="s">
        <v>1948</v>
      </c>
      <c r="B556" t="s">
        <v>1016</v>
      </c>
      <c r="C556" t="s">
        <v>479</v>
      </c>
      <c r="D556" t="s">
        <v>480</v>
      </c>
      <c r="E556" t="s">
        <v>696</v>
      </c>
      <c r="F556" t="s">
        <v>243</v>
      </c>
      <c r="G556" t="s">
        <v>14</v>
      </c>
      <c r="H556" t="s">
        <v>8</v>
      </c>
      <c r="I556" t="s">
        <v>198</v>
      </c>
      <c r="J556" t="s">
        <v>798</v>
      </c>
      <c r="K556" t="s">
        <v>799</v>
      </c>
      <c r="L556" t="s">
        <v>800</v>
      </c>
      <c r="M556" s="5">
        <v>45935</v>
      </c>
      <c r="N556" s="5">
        <v>45929</v>
      </c>
      <c r="O556">
        <v>1</v>
      </c>
      <c r="P556">
        <v>30.64</v>
      </c>
      <c r="Q556">
        <v>42.9</v>
      </c>
      <c r="R556">
        <v>0</v>
      </c>
      <c r="S556">
        <v>42.9</v>
      </c>
      <c r="T556" t="s">
        <v>935</v>
      </c>
      <c r="U556">
        <v>30.64</v>
      </c>
      <c r="V556">
        <v>12.26</v>
      </c>
    </row>
    <row r="557" spans="1:22" x14ac:dyDescent="0.35">
      <c r="A557" t="s">
        <v>1949</v>
      </c>
      <c r="B557" t="s">
        <v>1745</v>
      </c>
      <c r="C557" t="s">
        <v>394</v>
      </c>
      <c r="D557" t="s">
        <v>356</v>
      </c>
      <c r="E557" t="s">
        <v>633</v>
      </c>
      <c r="F557" t="s">
        <v>264</v>
      </c>
      <c r="G557" t="s">
        <v>14</v>
      </c>
      <c r="H557" t="s">
        <v>48</v>
      </c>
      <c r="I557" t="s">
        <v>54</v>
      </c>
      <c r="J557" t="s">
        <v>798</v>
      </c>
      <c r="K557" t="s">
        <v>787</v>
      </c>
      <c r="L557" t="s">
        <v>842</v>
      </c>
      <c r="M557" s="5">
        <v>45482</v>
      </c>
      <c r="O557">
        <v>10</v>
      </c>
      <c r="P557">
        <v>21.67</v>
      </c>
      <c r="Q557">
        <v>28.17</v>
      </c>
      <c r="R557">
        <v>0</v>
      </c>
      <c r="S557">
        <v>281.7</v>
      </c>
      <c r="T557" t="s">
        <v>794</v>
      </c>
      <c r="U557">
        <v>216.7</v>
      </c>
      <c r="V557">
        <v>65</v>
      </c>
    </row>
    <row r="558" spans="1:22" x14ac:dyDescent="0.35">
      <c r="A558" t="s">
        <v>1950</v>
      </c>
      <c r="B558" t="s">
        <v>1615</v>
      </c>
      <c r="C558" t="s">
        <v>303</v>
      </c>
      <c r="D558" t="s">
        <v>304</v>
      </c>
      <c r="E558" t="s">
        <v>633</v>
      </c>
      <c r="F558" t="s">
        <v>243</v>
      </c>
      <c r="G558" t="s">
        <v>797</v>
      </c>
      <c r="H558" t="s">
        <v>29</v>
      </c>
      <c r="I558" t="s">
        <v>121</v>
      </c>
      <c r="J558" t="s">
        <v>798</v>
      </c>
      <c r="K558" t="s">
        <v>793</v>
      </c>
      <c r="L558" t="s">
        <v>800</v>
      </c>
      <c r="M558" s="5">
        <v>45399</v>
      </c>
      <c r="O558">
        <v>2</v>
      </c>
      <c r="P558">
        <v>15.46</v>
      </c>
      <c r="Q558">
        <v>22.42</v>
      </c>
      <c r="R558">
        <v>0</v>
      </c>
      <c r="S558">
        <v>44.84</v>
      </c>
      <c r="T558" t="s">
        <v>859</v>
      </c>
      <c r="U558">
        <v>30.92</v>
      </c>
      <c r="V558">
        <v>13.92</v>
      </c>
    </row>
    <row r="559" spans="1:22" x14ac:dyDescent="0.35">
      <c r="A559" t="s">
        <v>1951</v>
      </c>
      <c r="B559" t="s">
        <v>1076</v>
      </c>
      <c r="C559" t="s">
        <v>370</v>
      </c>
      <c r="D559" t="s">
        <v>371</v>
      </c>
      <c r="E559" t="s">
        <v>681</v>
      </c>
      <c r="F559" t="s">
        <v>264</v>
      </c>
      <c r="G559" t="s">
        <v>14</v>
      </c>
      <c r="H559" t="s">
        <v>43</v>
      </c>
      <c r="I559" t="s">
        <v>222</v>
      </c>
      <c r="J559" t="s">
        <v>813</v>
      </c>
      <c r="K559" t="s">
        <v>799</v>
      </c>
      <c r="L559" t="s">
        <v>800</v>
      </c>
      <c r="M559" s="5">
        <v>45994</v>
      </c>
      <c r="N559" s="5">
        <v>45996</v>
      </c>
      <c r="O559">
        <v>3</v>
      </c>
      <c r="P559">
        <v>37.1</v>
      </c>
      <c r="Q559">
        <v>48.23</v>
      </c>
      <c r="R559">
        <v>0</v>
      </c>
      <c r="S559">
        <v>144.69</v>
      </c>
      <c r="T559" t="s">
        <v>859</v>
      </c>
      <c r="U559">
        <v>111.3</v>
      </c>
      <c r="V559">
        <v>33.39</v>
      </c>
    </row>
    <row r="560" spans="1:22" x14ac:dyDescent="0.35">
      <c r="A560" t="s">
        <v>1952</v>
      </c>
      <c r="B560" t="s">
        <v>1953</v>
      </c>
      <c r="C560" t="s">
        <v>469</v>
      </c>
      <c r="D560" t="s">
        <v>470</v>
      </c>
      <c r="E560" t="s">
        <v>637</v>
      </c>
      <c r="F560" t="s">
        <v>235</v>
      </c>
      <c r="G560" t="s">
        <v>14</v>
      </c>
      <c r="H560" t="s">
        <v>29</v>
      </c>
      <c r="I560" t="s">
        <v>27</v>
      </c>
      <c r="J560" t="s">
        <v>798</v>
      </c>
      <c r="K560" t="s">
        <v>799</v>
      </c>
      <c r="L560" t="s">
        <v>788</v>
      </c>
      <c r="M560" s="5">
        <v>45653</v>
      </c>
      <c r="N560" s="5">
        <v>45650</v>
      </c>
      <c r="O560">
        <v>12</v>
      </c>
      <c r="P560">
        <v>33.06</v>
      </c>
      <c r="Q560">
        <v>47.94</v>
      </c>
      <c r="R560">
        <v>0.05</v>
      </c>
      <c r="S560">
        <v>546.52</v>
      </c>
      <c r="T560" t="s">
        <v>794</v>
      </c>
      <c r="U560">
        <v>396.72</v>
      </c>
      <c r="V560">
        <v>149.80000000000001</v>
      </c>
    </row>
    <row r="561" spans="1:22" x14ac:dyDescent="0.35">
      <c r="A561" t="s">
        <v>1954</v>
      </c>
      <c r="B561" t="s">
        <v>1955</v>
      </c>
      <c r="C561" t="s">
        <v>500</v>
      </c>
      <c r="D561" t="s">
        <v>447</v>
      </c>
      <c r="E561" t="s">
        <v>674</v>
      </c>
      <c r="F561" t="s">
        <v>235</v>
      </c>
      <c r="G561" t="s">
        <v>14</v>
      </c>
      <c r="H561" t="s">
        <v>43</v>
      </c>
      <c r="I561" t="s">
        <v>41</v>
      </c>
      <c r="J561" t="s">
        <v>786</v>
      </c>
      <c r="K561" t="s">
        <v>799</v>
      </c>
      <c r="L561" t="s">
        <v>818</v>
      </c>
      <c r="M561" s="5">
        <v>46046</v>
      </c>
      <c r="N561" s="5">
        <v>46038</v>
      </c>
      <c r="O561">
        <v>10</v>
      </c>
      <c r="P561">
        <v>18.010000000000002</v>
      </c>
      <c r="Q561">
        <v>22.51</v>
      </c>
      <c r="R561">
        <v>0</v>
      </c>
      <c r="S561">
        <v>225.1</v>
      </c>
      <c r="T561" t="s">
        <v>834</v>
      </c>
      <c r="U561">
        <v>180.1</v>
      </c>
      <c r="V561">
        <v>45</v>
      </c>
    </row>
    <row r="562" spans="1:22" x14ac:dyDescent="0.35">
      <c r="A562" t="s">
        <v>1957</v>
      </c>
      <c r="B562" t="s">
        <v>984</v>
      </c>
      <c r="C562" t="s">
        <v>613</v>
      </c>
      <c r="D562" t="s">
        <v>304</v>
      </c>
      <c r="E562" t="s">
        <v>681</v>
      </c>
      <c r="F562" t="s">
        <v>243</v>
      </c>
      <c r="G562" t="s">
        <v>797</v>
      </c>
      <c r="H562" t="s">
        <v>43</v>
      </c>
      <c r="I562" t="s">
        <v>41</v>
      </c>
      <c r="J562" t="s">
        <v>798</v>
      </c>
      <c r="K562" t="s">
        <v>799</v>
      </c>
      <c r="L562" t="s">
        <v>842</v>
      </c>
      <c r="M562" s="5">
        <v>45491</v>
      </c>
      <c r="N562" s="5">
        <v>45494</v>
      </c>
      <c r="O562">
        <v>20</v>
      </c>
      <c r="P562">
        <v>18.010000000000002</v>
      </c>
      <c r="Q562">
        <v>22.51</v>
      </c>
      <c r="R562">
        <v>0</v>
      </c>
      <c r="S562">
        <v>450.2</v>
      </c>
      <c r="T562" t="s">
        <v>888</v>
      </c>
      <c r="U562">
        <v>360.2</v>
      </c>
      <c r="V562">
        <v>90</v>
      </c>
    </row>
    <row r="563" spans="1:22" x14ac:dyDescent="0.35">
      <c r="A563" t="s">
        <v>1958</v>
      </c>
      <c r="B563" t="s">
        <v>955</v>
      </c>
      <c r="C563" t="s">
        <v>601</v>
      </c>
      <c r="D563" t="s">
        <v>602</v>
      </c>
      <c r="E563" t="s">
        <v>254</v>
      </c>
      <c r="F563" t="s">
        <v>235</v>
      </c>
      <c r="G563" t="s">
        <v>14</v>
      </c>
      <c r="H563" t="s">
        <v>79</v>
      </c>
      <c r="I563" t="s">
        <v>184</v>
      </c>
      <c r="J563" t="s">
        <v>798</v>
      </c>
      <c r="K563" t="s">
        <v>793</v>
      </c>
      <c r="L563" t="s">
        <v>788</v>
      </c>
      <c r="M563" s="5">
        <v>45430</v>
      </c>
      <c r="O563">
        <v>3</v>
      </c>
      <c r="P563">
        <v>28.87</v>
      </c>
      <c r="Q563">
        <v>40.42</v>
      </c>
      <c r="R563">
        <v>0.05</v>
      </c>
      <c r="S563">
        <v>115.2</v>
      </c>
      <c r="T563" t="s">
        <v>876</v>
      </c>
      <c r="U563">
        <v>86.61</v>
      </c>
      <c r="V563">
        <v>28.59</v>
      </c>
    </row>
    <row r="564" spans="1:22" x14ac:dyDescent="0.35">
      <c r="A564" t="s">
        <v>1959</v>
      </c>
      <c r="B564" t="s">
        <v>1110</v>
      </c>
      <c r="C564" t="s">
        <v>611</v>
      </c>
      <c r="D564" t="s">
        <v>287</v>
      </c>
      <c r="E564" t="s">
        <v>637</v>
      </c>
      <c r="F564" t="s">
        <v>235</v>
      </c>
      <c r="G564" t="s">
        <v>14</v>
      </c>
      <c r="H564" t="s">
        <v>48</v>
      </c>
      <c r="I564" t="s">
        <v>179</v>
      </c>
      <c r="J564" t="s">
        <v>798</v>
      </c>
      <c r="K564" t="s">
        <v>799</v>
      </c>
      <c r="L564" t="s">
        <v>842</v>
      </c>
      <c r="M564" s="5">
        <v>46001</v>
      </c>
      <c r="N564" s="5">
        <v>46000</v>
      </c>
      <c r="O564">
        <v>2</v>
      </c>
      <c r="P564">
        <v>16.670000000000002</v>
      </c>
      <c r="Q564">
        <v>22.5</v>
      </c>
      <c r="R564">
        <v>0</v>
      </c>
      <c r="S564">
        <v>45</v>
      </c>
      <c r="T564" t="s">
        <v>888</v>
      </c>
      <c r="U564">
        <v>33.340000000000003</v>
      </c>
      <c r="V564">
        <v>11.66</v>
      </c>
    </row>
    <row r="565" spans="1:22" x14ac:dyDescent="0.35">
      <c r="A565" t="s">
        <v>1960</v>
      </c>
      <c r="B565" t="s">
        <v>941</v>
      </c>
      <c r="C565" t="s">
        <v>554</v>
      </c>
      <c r="D565" t="s">
        <v>445</v>
      </c>
      <c r="E565" t="s">
        <v>627</v>
      </c>
      <c r="F565" t="s">
        <v>235</v>
      </c>
      <c r="G565" t="s">
        <v>14</v>
      </c>
      <c r="H565" t="s">
        <v>43</v>
      </c>
      <c r="I565" t="s">
        <v>215</v>
      </c>
      <c r="J565" t="s">
        <v>798</v>
      </c>
      <c r="K565" t="s">
        <v>793</v>
      </c>
      <c r="L565" t="s">
        <v>818</v>
      </c>
      <c r="M565" s="5">
        <v>45880</v>
      </c>
      <c r="O565">
        <v>2</v>
      </c>
      <c r="P565">
        <v>28.96</v>
      </c>
      <c r="Q565">
        <v>40.54</v>
      </c>
      <c r="R565">
        <v>0</v>
      </c>
      <c r="S565">
        <v>81.08</v>
      </c>
      <c r="T565" t="s">
        <v>790</v>
      </c>
      <c r="U565">
        <v>57.92</v>
      </c>
      <c r="V565">
        <v>23.16</v>
      </c>
    </row>
    <row r="566" spans="1:22" x14ac:dyDescent="0.35">
      <c r="A566" t="s">
        <v>1961</v>
      </c>
      <c r="B566" t="s">
        <v>1938</v>
      </c>
      <c r="C566" t="s">
        <v>500</v>
      </c>
      <c r="D566" t="s">
        <v>447</v>
      </c>
      <c r="E566" t="s">
        <v>254</v>
      </c>
      <c r="F566" t="s">
        <v>235</v>
      </c>
      <c r="G566" t="s">
        <v>797</v>
      </c>
      <c r="H566" t="s">
        <v>38</v>
      </c>
      <c r="I566" t="s">
        <v>130</v>
      </c>
      <c r="J566" t="s">
        <v>786</v>
      </c>
      <c r="K566" t="s">
        <v>799</v>
      </c>
      <c r="L566" t="s">
        <v>800</v>
      </c>
      <c r="M566" s="5">
        <v>45701</v>
      </c>
      <c r="N566" s="5">
        <v>45689</v>
      </c>
      <c r="O566">
        <v>10</v>
      </c>
      <c r="P566">
        <v>13.35</v>
      </c>
      <c r="Q566">
        <v>17.36</v>
      </c>
      <c r="R566">
        <v>0</v>
      </c>
      <c r="S566">
        <v>173.6</v>
      </c>
      <c r="T566" t="s">
        <v>810</v>
      </c>
      <c r="U566">
        <v>133.5</v>
      </c>
      <c r="V566">
        <v>40.1</v>
      </c>
    </row>
    <row r="567" spans="1:22" x14ac:dyDescent="0.35">
      <c r="A567" t="s">
        <v>1962</v>
      </c>
      <c r="B567" t="s">
        <v>1887</v>
      </c>
      <c r="C567" t="s">
        <v>366</v>
      </c>
      <c r="D567" t="s">
        <v>245</v>
      </c>
      <c r="E567" t="s">
        <v>254</v>
      </c>
      <c r="F567" t="s">
        <v>243</v>
      </c>
      <c r="G567" t="s">
        <v>20</v>
      </c>
      <c r="H567" t="s">
        <v>29</v>
      </c>
      <c r="I567" t="s">
        <v>123</v>
      </c>
      <c r="J567" t="s">
        <v>798</v>
      </c>
      <c r="K567" t="s">
        <v>787</v>
      </c>
      <c r="L567" t="s">
        <v>788</v>
      </c>
      <c r="M567" s="5">
        <v>45990</v>
      </c>
      <c r="O567">
        <v>20</v>
      </c>
      <c r="P567">
        <v>20.7</v>
      </c>
      <c r="Q567">
        <v>30.01</v>
      </c>
      <c r="R567">
        <v>0</v>
      </c>
      <c r="S567">
        <v>600.20000000000005</v>
      </c>
      <c r="T567" t="s">
        <v>935</v>
      </c>
      <c r="U567">
        <v>414</v>
      </c>
      <c r="V567">
        <v>186.2</v>
      </c>
    </row>
    <row r="568" spans="1:22" x14ac:dyDescent="0.35">
      <c r="A568" t="s">
        <v>1963</v>
      </c>
      <c r="B568" t="s">
        <v>945</v>
      </c>
      <c r="C568" t="s">
        <v>394</v>
      </c>
      <c r="D568" t="s">
        <v>356</v>
      </c>
      <c r="E568" t="s">
        <v>633</v>
      </c>
      <c r="F568" t="s">
        <v>264</v>
      </c>
      <c r="G568" t="s">
        <v>14</v>
      </c>
      <c r="H568" t="s">
        <v>79</v>
      </c>
      <c r="I568" t="s">
        <v>184</v>
      </c>
      <c r="J568" t="s">
        <v>813</v>
      </c>
      <c r="K568" t="s">
        <v>787</v>
      </c>
      <c r="L568" t="s">
        <v>842</v>
      </c>
      <c r="M568" s="5">
        <v>45585</v>
      </c>
      <c r="O568">
        <v>5</v>
      </c>
      <c r="P568">
        <v>28.87</v>
      </c>
      <c r="Q568">
        <v>40.42</v>
      </c>
      <c r="R568">
        <v>0</v>
      </c>
      <c r="S568">
        <v>202.1</v>
      </c>
      <c r="T568" t="s">
        <v>1134</v>
      </c>
      <c r="U568">
        <v>144.35</v>
      </c>
      <c r="V568">
        <v>57.75</v>
      </c>
    </row>
    <row r="569" spans="1:22" x14ac:dyDescent="0.35">
      <c r="A569" t="s">
        <v>1964</v>
      </c>
      <c r="B569" t="s">
        <v>899</v>
      </c>
      <c r="C569" t="s">
        <v>355</v>
      </c>
      <c r="D569" t="s">
        <v>356</v>
      </c>
      <c r="E569" t="s">
        <v>254</v>
      </c>
      <c r="F569" t="s">
        <v>264</v>
      </c>
      <c r="G569" t="s">
        <v>797</v>
      </c>
      <c r="H569" t="s">
        <v>79</v>
      </c>
      <c r="I569" t="s">
        <v>220</v>
      </c>
      <c r="J569" t="s">
        <v>798</v>
      </c>
      <c r="K569" t="s">
        <v>799</v>
      </c>
      <c r="L569" t="s">
        <v>818</v>
      </c>
      <c r="M569" s="5">
        <v>45719</v>
      </c>
      <c r="N569" s="5">
        <v>45716</v>
      </c>
      <c r="O569">
        <v>1</v>
      </c>
      <c r="P569">
        <v>46</v>
      </c>
      <c r="Q569">
        <v>62.1</v>
      </c>
      <c r="R569">
        <v>0</v>
      </c>
      <c r="S569">
        <v>62.1</v>
      </c>
      <c r="T569" t="s">
        <v>888</v>
      </c>
      <c r="U569">
        <v>46</v>
      </c>
      <c r="V569">
        <v>16.100000000000001</v>
      </c>
    </row>
    <row r="570" spans="1:22" x14ac:dyDescent="0.35">
      <c r="A570" t="s">
        <v>1966</v>
      </c>
      <c r="B570" t="s">
        <v>1967</v>
      </c>
      <c r="C570" t="s">
        <v>590</v>
      </c>
      <c r="D570" t="s">
        <v>591</v>
      </c>
      <c r="E570" t="s">
        <v>681</v>
      </c>
      <c r="F570" t="s">
        <v>235</v>
      </c>
      <c r="G570" t="s">
        <v>14</v>
      </c>
      <c r="H570" t="s">
        <v>14</v>
      </c>
      <c r="I570" t="s">
        <v>128</v>
      </c>
      <c r="J570" t="s">
        <v>798</v>
      </c>
      <c r="K570" t="s">
        <v>822</v>
      </c>
      <c r="L570" t="s">
        <v>788</v>
      </c>
      <c r="M570" s="5">
        <v>45616</v>
      </c>
      <c r="N570" s="5">
        <v>45617</v>
      </c>
      <c r="O570">
        <v>3</v>
      </c>
      <c r="P570">
        <v>18.850000000000001</v>
      </c>
      <c r="Q570">
        <v>27.33</v>
      </c>
      <c r="R570">
        <v>0.1</v>
      </c>
      <c r="S570">
        <v>73.790000000000006</v>
      </c>
      <c r="T570" t="s">
        <v>1001</v>
      </c>
      <c r="U570">
        <v>56.55</v>
      </c>
      <c r="V570">
        <v>17.239999999999998</v>
      </c>
    </row>
    <row r="571" spans="1:22" x14ac:dyDescent="0.35">
      <c r="A571" t="s">
        <v>1968</v>
      </c>
      <c r="B571" t="s">
        <v>875</v>
      </c>
      <c r="C571" t="s">
        <v>238</v>
      </c>
      <c r="D571" t="s">
        <v>239</v>
      </c>
      <c r="E571" t="s">
        <v>674</v>
      </c>
      <c r="F571" t="s">
        <v>243</v>
      </c>
      <c r="G571" t="s">
        <v>797</v>
      </c>
      <c r="H571" t="s">
        <v>48</v>
      </c>
      <c r="I571" t="s">
        <v>202</v>
      </c>
      <c r="J571" t="s">
        <v>786</v>
      </c>
      <c r="K571" t="s">
        <v>799</v>
      </c>
      <c r="L571" t="s">
        <v>788</v>
      </c>
      <c r="M571" s="5">
        <v>45588</v>
      </c>
      <c r="N571" s="5">
        <v>45584</v>
      </c>
      <c r="O571">
        <v>1</v>
      </c>
      <c r="P571">
        <v>27</v>
      </c>
      <c r="Q571">
        <v>39.15</v>
      </c>
      <c r="R571">
        <v>0.1</v>
      </c>
      <c r="S571">
        <v>35.229999999999997</v>
      </c>
      <c r="T571" t="s">
        <v>1134</v>
      </c>
      <c r="U571">
        <v>27</v>
      </c>
      <c r="V571">
        <v>8.23</v>
      </c>
    </row>
    <row r="572" spans="1:22" x14ac:dyDescent="0.35">
      <c r="A572" t="s">
        <v>1969</v>
      </c>
      <c r="B572" t="s">
        <v>1158</v>
      </c>
      <c r="C572" t="s">
        <v>495</v>
      </c>
      <c r="D572" t="s">
        <v>496</v>
      </c>
      <c r="E572" t="s">
        <v>627</v>
      </c>
      <c r="F572" t="s">
        <v>264</v>
      </c>
      <c r="G572" t="s">
        <v>797</v>
      </c>
      <c r="H572" t="s">
        <v>8</v>
      </c>
      <c r="I572" t="s">
        <v>95</v>
      </c>
      <c r="J572" t="s">
        <v>813</v>
      </c>
      <c r="K572" t="s">
        <v>799</v>
      </c>
      <c r="L572" t="s">
        <v>818</v>
      </c>
      <c r="M572" s="5">
        <v>45797</v>
      </c>
      <c r="N572" s="5">
        <v>45799</v>
      </c>
      <c r="O572">
        <v>1</v>
      </c>
      <c r="P572">
        <v>23.02</v>
      </c>
      <c r="Q572">
        <v>28.77</v>
      </c>
      <c r="R572">
        <v>0</v>
      </c>
      <c r="S572">
        <v>28.77</v>
      </c>
      <c r="T572" t="s">
        <v>1001</v>
      </c>
      <c r="U572">
        <v>23.02</v>
      </c>
      <c r="V572">
        <v>5.75</v>
      </c>
    </row>
    <row r="573" spans="1:22" x14ac:dyDescent="0.35">
      <c r="A573" t="s">
        <v>1970</v>
      </c>
      <c r="B573" t="s">
        <v>1873</v>
      </c>
      <c r="C573" t="s">
        <v>364</v>
      </c>
      <c r="D573" t="s">
        <v>365</v>
      </c>
      <c r="E573" t="s">
        <v>696</v>
      </c>
      <c r="F573" t="s">
        <v>243</v>
      </c>
      <c r="G573" t="s">
        <v>797</v>
      </c>
      <c r="H573" t="s">
        <v>20</v>
      </c>
      <c r="I573" t="s">
        <v>134</v>
      </c>
      <c r="J573" t="s">
        <v>786</v>
      </c>
      <c r="K573" t="s">
        <v>799</v>
      </c>
      <c r="L573" t="s">
        <v>818</v>
      </c>
      <c r="M573" s="5">
        <v>45706</v>
      </c>
      <c r="N573" s="5">
        <v>45695</v>
      </c>
      <c r="O573">
        <v>5</v>
      </c>
      <c r="P573">
        <v>38.36</v>
      </c>
      <c r="Q573">
        <v>53.7</v>
      </c>
      <c r="R573">
        <v>0.05</v>
      </c>
      <c r="S573">
        <v>255.07</v>
      </c>
      <c r="T573" t="s">
        <v>825</v>
      </c>
      <c r="U573">
        <v>191.8</v>
      </c>
      <c r="V573">
        <v>63.27</v>
      </c>
    </row>
    <row r="574" spans="1:22" x14ac:dyDescent="0.35">
      <c r="A574" t="s">
        <v>1971</v>
      </c>
      <c r="B574" t="s">
        <v>1428</v>
      </c>
      <c r="C574" t="s">
        <v>320</v>
      </c>
      <c r="D574" t="s">
        <v>321</v>
      </c>
      <c r="E574" t="s">
        <v>696</v>
      </c>
      <c r="F574" t="s">
        <v>235</v>
      </c>
      <c r="G574" t="s">
        <v>14</v>
      </c>
      <c r="H574" t="s">
        <v>29</v>
      </c>
      <c r="I574" t="s">
        <v>176</v>
      </c>
      <c r="J574" t="s">
        <v>813</v>
      </c>
      <c r="K574" t="s">
        <v>822</v>
      </c>
      <c r="L574" t="s">
        <v>788</v>
      </c>
      <c r="M574" s="5">
        <v>46010</v>
      </c>
      <c r="N574" s="5">
        <v>46016</v>
      </c>
      <c r="O574">
        <v>5</v>
      </c>
      <c r="P574">
        <v>25.88</v>
      </c>
      <c r="Q574">
        <v>36.229999999999997</v>
      </c>
      <c r="R574">
        <v>0</v>
      </c>
      <c r="S574">
        <v>181.15</v>
      </c>
      <c r="T574" t="s">
        <v>869</v>
      </c>
      <c r="U574">
        <v>129.4</v>
      </c>
      <c r="V574">
        <v>51.75</v>
      </c>
    </row>
    <row r="575" spans="1:22" x14ac:dyDescent="0.35">
      <c r="A575" t="s">
        <v>1972</v>
      </c>
      <c r="B575" t="s">
        <v>1448</v>
      </c>
      <c r="C575" t="s">
        <v>587</v>
      </c>
      <c r="D575" t="s">
        <v>431</v>
      </c>
      <c r="E575" t="s">
        <v>681</v>
      </c>
      <c r="F575" t="s">
        <v>235</v>
      </c>
      <c r="G575" t="s">
        <v>20</v>
      </c>
      <c r="H575" t="s">
        <v>48</v>
      </c>
      <c r="I575" t="s">
        <v>54</v>
      </c>
      <c r="J575" t="s">
        <v>798</v>
      </c>
      <c r="K575" t="s">
        <v>799</v>
      </c>
      <c r="L575" t="s">
        <v>842</v>
      </c>
      <c r="M575" s="5">
        <v>45597</v>
      </c>
      <c r="N575" s="5">
        <v>45592</v>
      </c>
      <c r="O575">
        <v>5</v>
      </c>
      <c r="P575">
        <v>21.67</v>
      </c>
      <c r="Q575">
        <v>28.17</v>
      </c>
      <c r="R575">
        <v>0</v>
      </c>
      <c r="S575">
        <v>140.85</v>
      </c>
      <c r="T575" t="s">
        <v>834</v>
      </c>
      <c r="U575">
        <v>108.35</v>
      </c>
      <c r="V575">
        <v>32.5</v>
      </c>
    </row>
    <row r="576" spans="1:22" x14ac:dyDescent="0.35">
      <c r="A576" t="s">
        <v>1973</v>
      </c>
      <c r="B576" t="s">
        <v>1366</v>
      </c>
      <c r="C576" t="s">
        <v>471</v>
      </c>
      <c r="D576" t="s">
        <v>472</v>
      </c>
      <c r="E576" t="s">
        <v>696</v>
      </c>
      <c r="F576" t="s">
        <v>235</v>
      </c>
      <c r="G576" t="s">
        <v>797</v>
      </c>
      <c r="H576" t="s">
        <v>29</v>
      </c>
      <c r="I576" t="s">
        <v>176</v>
      </c>
      <c r="J576" t="s">
        <v>798</v>
      </c>
      <c r="K576" t="s">
        <v>787</v>
      </c>
      <c r="L576" t="s">
        <v>842</v>
      </c>
      <c r="M576" s="5">
        <v>45815</v>
      </c>
      <c r="O576">
        <v>10</v>
      </c>
      <c r="P576">
        <v>25.88</v>
      </c>
      <c r="Q576">
        <v>36.229999999999997</v>
      </c>
      <c r="R576">
        <v>0</v>
      </c>
      <c r="S576">
        <v>362.3</v>
      </c>
      <c r="T576" t="s">
        <v>869</v>
      </c>
      <c r="U576">
        <v>258.8</v>
      </c>
      <c r="V576">
        <v>103.5</v>
      </c>
    </row>
    <row r="577" spans="1:22" x14ac:dyDescent="0.35">
      <c r="A577" t="s">
        <v>1974</v>
      </c>
      <c r="B577" t="s">
        <v>1712</v>
      </c>
      <c r="C577" t="s">
        <v>459</v>
      </c>
      <c r="D577" t="s">
        <v>460</v>
      </c>
      <c r="E577" t="s">
        <v>633</v>
      </c>
      <c r="F577" t="s">
        <v>264</v>
      </c>
      <c r="G577" t="s">
        <v>20</v>
      </c>
      <c r="H577" t="s">
        <v>79</v>
      </c>
      <c r="I577" t="s">
        <v>220</v>
      </c>
      <c r="J577" t="s">
        <v>786</v>
      </c>
      <c r="K577" t="s">
        <v>793</v>
      </c>
      <c r="L577" t="s">
        <v>842</v>
      </c>
      <c r="M577" s="5">
        <v>46017</v>
      </c>
      <c r="O577">
        <v>5</v>
      </c>
      <c r="P577">
        <v>46</v>
      </c>
      <c r="Q577">
        <v>62.1</v>
      </c>
      <c r="R577">
        <v>0</v>
      </c>
      <c r="S577">
        <v>310.5</v>
      </c>
      <c r="T577" t="s">
        <v>919</v>
      </c>
      <c r="U577">
        <v>230</v>
      </c>
      <c r="V577">
        <v>80.5</v>
      </c>
    </row>
    <row r="578" spans="1:22" x14ac:dyDescent="0.35">
      <c r="A578" t="s">
        <v>1975</v>
      </c>
      <c r="B578" t="s">
        <v>1065</v>
      </c>
      <c r="C578" t="s">
        <v>436</v>
      </c>
      <c r="D578" t="s">
        <v>396</v>
      </c>
      <c r="E578" t="s">
        <v>681</v>
      </c>
      <c r="F578" t="s">
        <v>235</v>
      </c>
      <c r="G578" t="s">
        <v>20</v>
      </c>
      <c r="H578" t="s">
        <v>29</v>
      </c>
      <c r="I578" t="s">
        <v>183</v>
      </c>
      <c r="J578" t="s">
        <v>798</v>
      </c>
      <c r="K578" t="s">
        <v>787</v>
      </c>
      <c r="L578" t="s">
        <v>788</v>
      </c>
      <c r="M578" s="5">
        <v>46025</v>
      </c>
      <c r="O578">
        <v>20</v>
      </c>
      <c r="P578">
        <v>10.97</v>
      </c>
      <c r="Q578">
        <v>15.91</v>
      </c>
      <c r="R578">
        <v>0.15</v>
      </c>
      <c r="S578">
        <v>270.47000000000003</v>
      </c>
      <c r="T578" t="s">
        <v>845</v>
      </c>
      <c r="U578">
        <v>219.4</v>
      </c>
      <c r="V578">
        <v>51.07</v>
      </c>
    </row>
    <row r="579" spans="1:22" x14ac:dyDescent="0.35">
      <c r="A579" t="s">
        <v>1977</v>
      </c>
      <c r="B579" t="s">
        <v>1978</v>
      </c>
      <c r="C579" t="s">
        <v>414</v>
      </c>
      <c r="D579" t="s">
        <v>415</v>
      </c>
      <c r="E579" t="s">
        <v>637</v>
      </c>
      <c r="F579" t="s">
        <v>235</v>
      </c>
      <c r="G579" t="s">
        <v>797</v>
      </c>
      <c r="H579" t="s">
        <v>29</v>
      </c>
      <c r="I579" t="s">
        <v>158</v>
      </c>
      <c r="J579" t="s">
        <v>786</v>
      </c>
      <c r="K579" t="s">
        <v>799</v>
      </c>
      <c r="L579" t="s">
        <v>788</v>
      </c>
      <c r="M579" s="5">
        <v>45449</v>
      </c>
      <c r="N579" s="5">
        <v>45444</v>
      </c>
      <c r="O579">
        <v>3</v>
      </c>
      <c r="P579">
        <v>25.8</v>
      </c>
      <c r="Q579">
        <v>36.119999999999997</v>
      </c>
      <c r="R579">
        <v>0</v>
      </c>
      <c r="S579">
        <v>108.36</v>
      </c>
      <c r="T579" t="s">
        <v>919</v>
      </c>
      <c r="U579">
        <v>77.400000000000006</v>
      </c>
      <c r="V579">
        <v>30.96</v>
      </c>
    </row>
    <row r="580" spans="1:22" x14ac:dyDescent="0.35">
      <c r="A580" t="s">
        <v>1979</v>
      </c>
      <c r="B580" t="s">
        <v>1576</v>
      </c>
      <c r="C580" t="s">
        <v>362</v>
      </c>
      <c r="D580" t="s">
        <v>363</v>
      </c>
      <c r="E580" t="s">
        <v>254</v>
      </c>
      <c r="F580" t="s">
        <v>235</v>
      </c>
      <c r="G580" t="s">
        <v>14</v>
      </c>
      <c r="H580" t="s">
        <v>38</v>
      </c>
      <c r="I580" t="s">
        <v>71</v>
      </c>
      <c r="J580" t="s">
        <v>813</v>
      </c>
      <c r="K580" t="s">
        <v>793</v>
      </c>
      <c r="L580" t="s">
        <v>818</v>
      </c>
      <c r="M580" s="5">
        <v>46054</v>
      </c>
      <c r="O580">
        <v>5</v>
      </c>
      <c r="P580">
        <v>17.62</v>
      </c>
      <c r="Q580">
        <v>24.67</v>
      </c>
      <c r="R580">
        <v>0</v>
      </c>
      <c r="S580">
        <v>123.35</v>
      </c>
      <c r="T580" t="s">
        <v>810</v>
      </c>
      <c r="U580">
        <v>88.1</v>
      </c>
      <c r="V580">
        <v>35.25</v>
      </c>
    </row>
    <row r="581" spans="1:22" x14ac:dyDescent="0.35">
      <c r="A581" t="s">
        <v>1980</v>
      </c>
      <c r="B581" t="s">
        <v>844</v>
      </c>
      <c r="C581" t="s">
        <v>578</v>
      </c>
      <c r="D581" t="s">
        <v>368</v>
      </c>
      <c r="E581" t="s">
        <v>627</v>
      </c>
      <c r="F581" t="s">
        <v>235</v>
      </c>
      <c r="G581" t="s">
        <v>797</v>
      </c>
      <c r="H581" t="s">
        <v>8</v>
      </c>
      <c r="I581" t="s">
        <v>192</v>
      </c>
      <c r="J581" t="s">
        <v>798</v>
      </c>
      <c r="K581" t="s">
        <v>799</v>
      </c>
      <c r="L581" t="s">
        <v>842</v>
      </c>
      <c r="M581" s="5">
        <v>45520</v>
      </c>
      <c r="N581" s="5">
        <v>45518</v>
      </c>
      <c r="O581">
        <v>1</v>
      </c>
      <c r="P581">
        <v>19.47</v>
      </c>
      <c r="Q581">
        <v>28.23</v>
      </c>
      <c r="R581">
        <v>0.05</v>
      </c>
      <c r="S581">
        <v>26.82</v>
      </c>
      <c r="T581" t="s">
        <v>1001</v>
      </c>
      <c r="U581">
        <v>19.47</v>
      </c>
      <c r="V581">
        <v>7.35</v>
      </c>
    </row>
    <row r="582" spans="1:22" x14ac:dyDescent="0.35">
      <c r="A582" t="s">
        <v>1981</v>
      </c>
      <c r="B582" t="s">
        <v>1378</v>
      </c>
      <c r="C582" t="s">
        <v>552</v>
      </c>
      <c r="D582" t="s">
        <v>553</v>
      </c>
      <c r="E582" t="s">
        <v>254</v>
      </c>
      <c r="F582" t="s">
        <v>235</v>
      </c>
      <c r="G582" t="s">
        <v>797</v>
      </c>
      <c r="H582" t="s">
        <v>48</v>
      </c>
      <c r="I582" t="s">
        <v>139</v>
      </c>
      <c r="J582" t="s">
        <v>798</v>
      </c>
      <c r="K582" t="s">
        <v>793</v>
      </c>
      <c r="L582" t="s">
        <v>788</v>
      </c>
      <c r="M582" s="5">
        <v>45753</v>
      </c>
      <c r="O582">
        <v>5</v>
      </c>
      <c r="P582">
        <v>29.93</v>
      </c>
      <c r="Q582">
        <v>41.9</v>
      </c>
      <c r="R582">
        <v>0</v>
      </c>
      <c r="S582">
        <v>209.5</v>
      </c>
      <c r="T582" t="s">
        <v>794</v>
      </c>
      <c r="U582">
        <v>149.65</v>
      </c>
      <c r="V582">
        <v>59.85</v>
      </c>
    </row>
    <row r="583" spans="1:22" x14ac:dyDescent="0.35">
      <c r="A583" t="s">
        <v>1982</v>
      </c>
      <c r="B583" t="s">
        <v>1144</v>
      </c>
      <c r="C583" t="s">
        <v>252</v>
      </c>
      <c r="D583" t="s">
        <v>253</v>
      </c>
      <c r="E583" t="s">
        <v>696</v>
      </c>
      <c r="F583" t="s">
        <v>243</v>
      </c>
      <c r="G583" t="s">
        <v>797</v>
      </c>
      <c r="H583" t="s">
        <v>14</v>
      </c>
      <c r="I583" t="s">
        <v>56</v>
      </c>
      <c r="J583" t="s">
        <v>813</v>
      </c>
      <c r="K583" t="s">
        <v>799</v>
      </c>
      <c r="L583" t="s">
        <v>842</v>
      </c>
      <c r="M583" s="5">
        <v>45499</v>
      </c>
      <c r="N583" s="5">
        <v>45499</v>
      </c>
      <c r="O583">
        <v>20</v>
      </c>
      <c r="P583">
        <v>25.46</v>
      </c>
      <c r="Q583">
        <v>31.83</v>
      </c>
      <c r="R583">
        <v>0</v>
      </c>
      <c r="S583">
        <v>636.6</v>
      </c>
      <c r="T583" t="s">
        <v>919</v>
      </c>
      <c r="U583">
        <v>509.2</v>
      </c>
      <c r="V583">
        <v>127.4</v>
      </c>
    </row>
    <row r="584" spans="1:22" x14ac:dyDescent="0.35">
      <c r="A584" t="s">
        <v>1983</v>
      </c>
      <c r="B584" t="s">
        <v>1208</v>
      </c>
      <c r="C584" t="s">
        <v>278</v>
      </c>
      <c r="D584" t="s">
        <v>279</v>
      </c>
      <c r="E584" t="s">
        <v>696</v>
      </c>
      <c r="F584" t="s">
        <v>235</v>
      </c>
      <c r="G584" t="s">
        <v>14</v>
      </c>
      <c r="H584" t="s">
        <v>20</v>
      </c>
      <c r="I584" t="s">
        <v>39</v>
      </c>
      <c r="J584" t="s">
        <v>786</v>
      </c>
      <c r="K584" t="s">
        <v>793</v>
      </c>
      <c r="L584" t="s">
        <v>788</v>
      </c>
      <c r="M584" s="5">
        <v>46047</v>
      </c>
      <c r="O584">
        <v>2</v>
      </c>
      <c r="P584">
        <v>9.5</v>
      </c>
      <c r="Q584">
        <v>12.83</v>
      </c>
      <c r="R584">
        <v>0.1</v>
      </c>
      <c r="S584">
        <v>23.09</v>
      </c>
      <c r="T584" t="s">
        <v>963</v>
      </c>
      <c r="U584">
        <v>19</v>
      </c>
      <c r="V584">
        <v>4.09</v>
      </c>
    </row>
    <row r="585" spans="1:22" x14ac:dyDescent="0.35">
      <c r="A585" t="s">
        <v>1984</v>
      </c>
      <c r="B585" t="s">
        <v>1985</v>
      </c>
      <c r="C585" t="s">
        <v>479</v>
      </c>
      <c r="D585" t="s">
        <v>480</v>
      </c>
      <c r="E585" t="s">
        <v>254</v>
      </c>
      <c r="F585" t="s">
        <v>243</v>
      </c>
      <c r="G585" t="s">
        <v>797</v>
      </c>
      <c r="H585" t="s">
        <v>48</v>
      </c>
      <c r="I585" t="s">
        <v>219</v>
      </c>
      <c r="J585" t="s">
        <v>813</v>
      </c>
      <c r="K585" t="s">
        <v>793</v>
      </c>
      <c r="L585" t="s">
        <v>842</v>
      </c>
      <c r="M585" s="5">
        <v>45849</v>
      </c>
      <c r="O585">
        <v>3</v>
      </c>
      <c r="P585">
        <v>12.9</v>
      </c>
      <c r="Q585">
        <v>18.7</v>
      </c>
      <c r="R585">
        <v>0.05</v>
      </c>
      <c r="S585">
        <v>53.29</v>
      </c>
      <c r="T585" t="s">
        <v>869</v>
      </c>
      <c r="U585">
        <v>38.700000000000003</v>
      </c>
      <c r="V585">
        <v>14.59</v>
      </c>
    </row>
    <row r="586" spans="1:22" x14ac:dyDescent="0.35">
      <c r="A586" t="s">
        <v>1986</v>
      </c>
      <c r="B586" t="s">
        <v>971</v>
      </c>
      <c r="C586" t="s">
        <v>463</v>
      </c>
      <c r="D586" t="s">
        <v>464</v>
      </c>
      <c r="E586" t="s">
        <v>674</v>
      </c>
      <c r="F586" t="s">
        <v>264</v>
      </c>
      <c r="G586" t="s">
        <v>14</v>
      </c>
      <c r="H586" t="s">
        <v>20</v>
      </c>
      <c r="I586" t="s">
        <v>18</v>
      </c>
      <c r="J586" t="s">
        <v>813</v>
      </c>
      <c r="K586" t="s">
        <v>799</v>
      </c>
      <c r="L586" t="s">
        <v>800</v>
      </c>
      <c r="M586" s="5">
        <v>45618</v>
      </c>
      <c r="N586" s="5">
        <v>45619</v>
      </c>
      <c r="O586">
        <v>1</v>
      </c>
      <c r="P586">
        <v>21.57</v>
      </c>
      <c r="Q586">
        <v>26.96</v>
      </c>
      <c r="R586">
        <v>0</v>
      </c>
      <c r="S586">
        <v>26.96</v>
      </c>
      <c r="T586" t="s">
        <v>834</v>
      </c>
      <c r="U586">
        <v>21.57</v>
      </c>
      <c r="V586">
        <v>5.39</v>
      </c>
    </row>
    <row r="587" spans="1:22" x14ac:dyDescent="0.35">
      <c r="A587" t="s">
        <v>1988</v>
      </c>
      <c r="B587" t="s">
        <v>899</v>
      </c>
      <c r="C587" t="s">
        <v>612</v>
      </c>
      <c r="D587" t="s">
        <v>447</v>
      </c>
      <c r="E587" t="s">
        <v>627</v>
      </c>
      <c r="F587" t="s">
        <v>235</v>
      </c>
      <c r="G587" t="s">
        <v>14</v>
      </c>
      <c r="H587" t="s">
        <v>79</v>
      </c>
      <c r="I587" t="s">
        <v>184</v>
      </c>
      <c r="J587" t="s">
        <v>786</v>
      </c>
      <c r="K587" t="s">
        <v>799</v>
      </c>
      <c r="L587" t="s">
        <v>788</v>
      </c>
      <c r="M587" s="5">
        <v>45726</v>
      </c>
      <c r="N587" s="5">
        <v>45722</v>
      </c>
      <c r="O587">
        <v>10</v>
      </c>
      <c r="P587">
        <v>28.87</v>
      </c>
      <c r="Q587">
        <v>40.42</v>
      </c>
      <c r="R587">
        <v>0</v>
      </c>
      <c r="S587">
        <v>404.2</v>
      </c>
      <c r="T587" t="s">
        <v>919</v>
      </c>
      <c r="U587">
        <v>288.7</v>
      </c>
      <c r="V587">
        <v>115.5</v>
      </c>
    </row>
    <row r="588" spans="1:22" x14ac:dyDescent="0.35">
      <c r="A588" t="s">
        <v>1990</v>
      </c>
      <c r="B588" t="s">
        <v>1991</v>
      </c>
      <c r="C588" t="s">
        <v>587</v>
      </c>
      <c r="D588" t="s">
        <v>431</v>
      </c>
      <c r="E588" t="s">
        <v>696</v>
      </c>
      <c r="F588" t="s">
        <v>235</v>
      </c>
      <c r="G588" t="s">
        <v>14</v>
      </c>
      <c r="H588" t="s">
        <v>29</v>
      </c>
      <c r="I588" t="s">
        <v>183</v>
      </c>
      <c r="J588" t="s">
        <v>786</v>
      </c>
      <c r="K588" t="s">
        <v>799</v>
      </c>
      <c r="L588" t="s">
        <v>800</v>
      </c>
      <c r="M588" s="5">
        <v>45638</v>
      </c>
      <c r="N588" s="5">
        <v>45630</v>
      </c>
      <c r="O588">
        <v>3</v>
      </c>
      <c r="P588">
        <v>10.97</v>
      </c>
      <c r="Q588">
        <v>15.91</v>
      </c>
      <c r="R588">
        <v>0</v>
      </c>
      <c r="S588">
        <v>47.73</v>
      </c>
      <c r="T588" t="s">
        <v>869</v>
      </c>
      <c r="U588">
        <v>32.909999999999997</v>
      </c>
      <c r="V588">
        <v>14.82</v>
      </c>
    </row>
    <row r="589" spans="1:22" x14ac:dyDescent="0.35">
      <c r="A589" t="s">
        <v>1992</v>
      </c>
      <c r="B589" t="s">
        <v>1656</v>
      </c>
      <c r="C589" t="s">
        <v>299</v>
      </c>
      <c r="D589" t="s">
        <v>300</v>
      </c>
      <c r="E589" t="s">
        <v>633</v>
      </c>
      <c r="F589" t="s">
        <v>264</v>
      </c>
      <c r="G589" t="s">
        <v>797</v>
      </c>
      <c r="H589" t="s">
        <v>14</v>
      </c>
      <c r="I589" t="s">
        <v>209</v>
      </c>
      <c r="J589" t="s">
        <v>786</v>
      </c>
      <c r="K589" t="s">
        <v>799</v>
      </c>
      <c r="L589" t="s">
        <v>788</v>
      </c>
      <c r="M589" s="5">
        <v>45988</v>
      </c>
      <c r="N589" s="5">
        <v>45975</v>
      </c>
      <c r="O589">
        <v>12</v>
      </c>
      <c r="P589">
        <v>24.18</v>
      </c>
      <c r="Q589">
        <v>33.85</v>
      </c>
      <c r="R589">
        <v>0.1</v>
      </c>
      <c r="S589">
        <v>365.58</v>
      </c>
      <c r="T589" t="s">
        <v>803</v>
      </c>
      <c r="U589">
        <v>290.16000000000003</v>
      </c>
      <c r="V589">
        <v>75.42</v>
      </c>
    </row>
    <row r="590" spans="1:22" x14ac:dyDescent="0.35">
      <c r="A590" t="s">
        <v>1993</v>
      </c>
      <c r="B590" t="s">
        <v>979</v>
      </c>
      <c r="C590" t="s">
        <v>557</v>
      </c>
      <c r="D590" t="s">
        <v>558</v>
      </c>
      <c r="E590" t="s">
        <v>637</v>
      </c>
      <c r="F590" t="s">
        <v>235</v>
      </c>
      <c r="G590" t="s">
        <v>20</v>
      </c>
      <c r="H590" t="s">
        <v>14</v>
      </c>
      <c r="I590" t="s">
        <v>194</v>
      </c>
      <c r="J590" t="s">
        <v>798</v>
      </c>
      <c r="K590" t="s">
        <v>799</v>
      </c>
      <c r="L590" t="s">
        <v>788</v>
      </c>
      <c r="M590" s="5">
        <v>45537</v>
      </c>
      <c r="N590" s="5">
        <v>45531</v>
      </c>
      <c r="O590">
        <v>12</v>
      </c>
      <c r="P590">
        <v>20.32</v>
      </c>
      <c r="Q590">
        <v>25.4</v>
      </c>
      <c r="R590">
        <v>0.1</v>
      </c>
      <c r="S590">
        <v>274.32</v>
      </c>
      <c r="T590" t="s">
        <v>834</v>
      </c>
      <c r="U590">
        <v>243.84</v>
      </c>
      <c r="V590">
        <v>30.48</v>
      </c>
    </row>
    <row r="591" spans="1:22" x14ac:dyDescent="0.35">
      <c r="A591" t="s">
        <v>1994</v>
      </c>
      <c r="B591" t="s">
        <v>1527</v>
      </c>
      <c r="C591" t="s">
        <v>509</v>
      </c>
      <c r="D591" t="s">
        <v>510</v>
      </c>
      <c r="E591" t="s">
        <v>633</v>
      </c>
      <c r="F591" t="s">
        <v>235</v>
      </c>
      <c r="G591" t="s">
        <v>797</v>
      </c>
      <c r="H591" t="s">
        <v>14</v>
      </c>
      <c r="I591" t="s">
        <v>167</v>
      </c>
      <c r="J591" t="s">
        <v>798</v>
      </c>
      <c r="K591" t="s">
        <v>799</v>
      </c>
      <c r="L591" t="s">
        <v>788</v>
      </c>
      <c r="M591" s="5">
        <v>45439</v>
      </c>
      <c r="N591" s="5">
        <v>45440</v>
      </c>
      <c r="O591">
        <v>2</v>
      </c>
      <c r="P591">
        <v>18.62</v>
      </c>
      <c r="Q591">
        <v>26.07</v>
      </c>
      <c r="R591">
        <v>0.15</v>
      </c>
      <c r="S591">
        <v>44.32</v>
      </c>
      <c r="T591" t="s">
        <v>946</v>
      </c>
      <c r="U591">
        <v>37.24</v>
      </c>
      <c r="V591">
        <v>7.08</v>
      </c>
    </row>
    <row r="592" spans="1:22" x14ac:dyDescent="0.35">
      <c r="A592" t="s">
        <v>1996</v>
      </c>
      <c r="B592" t="s">
        <v>1057</v>
      </c>
      <c r="C592" t="s">
        <v>343</v>
      </c>
      <c r="D592" t="s">
        <v>344</v>
      </c>
      <c r="E592" t="s">
        <v>633</v>
      </c>
      <c r="F592" t="s">
        <v>235</v>
      </c>
      <c r="G592" t="s">
        <v>797</v>
      </c>
      <c r="H592" t="s">
        <v>8</v>
      </c>
      <c r="I592" t="s">
        <v>101</v>
      </c>
      <c r="J592" t="s">
        <v>786</v>
      </c>
      <c r="K592" t="s">
        <v>787</v>
      </c>
      <c r="L592" t="s">
        <v>818</v>
      </c>
      <c r="M592" s="5">
        <v>46062</v>
      </c>
      <c r="O592">
        <v>3</v>
      </c>
      <c r="P592">
        <v>16.510000000000002</v>
      </c>
      <c r="Q592">
        <v>23.94</v>
      </c>
      <c r="R592">
        <v>0.15</v>
      </c>
      <c r="S592">
        <v>61.05</v>
      </c>
      <c r="T592" t="s">
        <v>859</v>
      </c>
      <c r="U592">
        <v>49.53</v>
      </c>
      <c r="V592">
        <v>11.52</v>
      </c>
    </row>
    <row r="593" spans="1:22" x14ac:dyDescent="0.35">
      <c r="A593" t="s">
        <v>1997</v>
      </c>
      <c r="B593" t="s">
        <v>1632</v>
      </c>
      <c r="C593" t="s">
        <v>599</v>
      </c>
      <c r="D593" t="s">
        <v>600</v>
      </c>
      <c r="E593" t="s">
        <v>633</v>
      </c>
      <c r="F593" t="s">
        <v>243</v>
      </c>
      <c r="G593" t="s">
        <v>797</v>
      </c>
      <c r="H593" t="s">
        <v>29</v>
      </c>
      <c r="I593" t="s">
        <v>176</v>
      </c>
      <c r="J593" t="s">
        <v>798</v>
      </c>
      <c r="K593" t="s">
        <v>787</v>
      </c>
      <c r="L593" t="s">
        <v>788</v>
      </c>
      <c r="M593" s="5">
        <v>45323</v>
      </c>
      <c r="O593">
        <v>2</v>
      </c>
      <c r="P593">
        <v>25.88</v>
      </c>
      <c r="Q593">
        <v>36.229999999999997</v>
      </c>
      <c r="R593">
        <v>0.15</v>
      </c>
      <c r="S593">
        <v>61.59</v>
      </c>
      <c r="T593" t="s">
        <v>1001</v>
      </c>
      <c r="U593">
        <v>51.76</v>
      </c>
      <c r="V593">
        <v>9.83</v>
      </c>
    </row>
    <row r="594" spans="1:22" x14ac:dyDescent="0.35">
      <c r="A594" t="s">
        <v>1998</v>
      </c>
      <c r="B594" t="s">
        <v>1402</v>
      </c>
      <c r="C594" t="s">
        <v>555</v>
      </c>
      <c r="D594" t="s">
        <v>391</v>
      </c>
      <c r="E594" t="s">
        <v>637</v>
      </c>
      <c r="F594" t="s">
        <v>264</v>
      </c>
      <c r="G594" t="s">
        <v>797</v>
      </c>
      <c r="H594" t="s">
        <v>43</v>
      </c>
      <c r="I594" t="s">
        <v>171</v>
      </c>
      <c r="J594" t="s">
        <v>798</v>
      </c>
      <c r="K594" t="s">
        <v>799</v>
      </c>
      <c r="L594" t="s">
        <v>842</v>
      </c>
      <c r="M594" s="5">
        <v>46035</v>
      </c>
      <c r="N594" s="5">
        <v>46030</v>
      </c>
      <c r="O594">
        <v>1</v>
      </c>
      <c r="P594">
        <v>29.39</v>
      </c>
      <c r="Q594">
        <v>39.68</v>
      </c>
      <c r="R594">
        <v>0</v>
      </c>
      <c r="S594">
        <v>39.68</v>
      </c>
      <c r="T594" t="s">
        <v>819</v>
      </c>
      <c r="U594">
        <v>29.39</v>
      </c>
      <c r="V594">
        <v>10.29</v>
      </c>
    </row>
    <row r="595" spans="1:22" x14ac:dyDescent="0.35">
      <c r="A595" t="s">
        <v>2000</v>
      </c>
      <c r="B595" t="s">
        <v>1391</v>
      </c>
      <c r="C595" t="s">
        <v>564</v>
      </c>
      <c r="D595" t="s">
        <v>526</v>
      </c>
      <c r="E595" t="s">
        <v>674</v>
      </c>
      <c r="F595" t="s">
        <v>243</v>
      </c>
      <c r="G595" t="s">
        <v>48</v>
      </c>
      <c r="H595" t="s">
        <v>14</v>
      </c>
      <c r="I595" t="s">
        <v>16</v>
      </c>
      <c r="J595" t="s">
        <v>813</v>
      </c>
      <c r="K595" t="s">
        <v>787</v>
      </c>
      <c r="L595" t="s">
        <v>788</v>
      </c>
      <c r="M595" s="5">
        <v>45492</v>
      </c>
      <c r="O595">
        <v>3</v>
      </c>
      <c r="P595">
        <v>56.69</v>
      </c>
      <c r="Q595">
        <v>79.37</v>
      </c>
      <c r="R595">
        <v>0</v>
      </c>
      <c r="S595">
        <v>238.11</v>
      </c>
      <c r="T595" t="s">
        <v>892</v>
      </c>
      <c r="U595">
        <v>170.07</v>
      </c>
      <c r="V595">
        <v>68.040000000000006</v>
      </c>
    </row>
    <row r="596" spans="1:22" x14ac:dyDescent="0.35">
      <c r="A596" t="s">
        <v>2001</v>
      </c>
      <c r="B596" t="s">
        <v>1537</v>
      </c>
      <c r="C596" t="s">
        <v>596</v>
      </c>
      <c r="D596" t="s">
        <v>443</v>
      </c>
      <c r="E596" t="s">
        <v>696</v>
      </c>
      <c r="F596" t="s">
        <v>264</v>
      </c>
      <c r="G596" t="s">
        <v>797</v>
      </c>
      <c r="H596" t="s">
        <v>43</v>
      </c>
      <c r="I596" t="s">
        <v>161</v>
      </c>
      <c r="J596" t="s">
        <v>798</v>
      </c>
      <c r="K596" t="s">
        <v>793</v>
      </c>
      <c r="L596" t="s">
        <v>788</v>
      </c>
      <c r="M596" s="5">
        <v>45379</v>
      </c>
      <c r="O596">
        <v>1</v>
      </c>
      <c r="P596">
        <v>21.74</v>
      </c>
      <c r="Q596">
        <v>30.44</v>
      </c>
      <c r="R596">
        <v>0.1</v>
      </c>
      <c r="S596">
        <v>27.4</v>
      </c>
      <c r="T596" t="s">
        <v>794</v>
      </c>
      <c r="U596">
        <v>21.74</v>
      </c>
      <c r="V596">
        <v>5.66</v>
      </c>
    </row>
    <row r="597" spans="1:22" x14ac:dyDescent="0.35">
      <c r="A597" t="s">
        <v>2002</v>
      </c>
      <c r="B597" t="s">
        <v>1404</v>
      </c>
      <c r="C597" t="s">
        <v>543</v>
      </c>
      <c r="D597" t="s">
        <v>544</v>
      </c>
      <c r="E597" t="s">
        <v>696</v>
      </c>
      <c r="F597" t="s">
        <v>243</v>
      </c>
      <c r="G597" t="s">
        <v>48</v>
      </c>
      <c r="H597" t="s">
        <v>8</v>
      </c>
      <c r="I597" t="s">
        <v>181</v>
      </c>
      <c r="J597" t="s">
        <v>798</v>
      </c>
      <c r="K597" t="s">
        <v>799</v>
      </c>
      <c r="L597" t="s">
        <v>818</v>
      </c>
      <c r="M597" s="5">
        <v>45609</v>
      </c>
      <c r="N597" s="5">
        <v>45609</v>
      </c>
      <c r="O597">
        <v>5</v>
      </c>
      <c r="P597">
        <v>20.49</v>
      </c>
      <c r="Q597">
        <v>29.71</v>
      </c>
      <c r="R597">
        <v>0</v>
      </c>
      <c r="S597">
        <v>148.55000000000001</v>
      </c>
      <c r="T597" t="s">
        <v>814</v>
      </c>
      <c r="U597">
        <v>102.45</v>
      </c>
      <c r="V597">
        <v>46.1</v>
      </c>
    </row>
    <row r="598" spans="1:22" x14ac:dyDescent="0.35">
      <c r="A598" t="s">
        <v>2003</v>
      </c>
      <c r="B598" t="s">
        <v>907</v>
      </c>
      <c r="C598" t="s">
        <v>498</v>
      </c>
      <c r="D598" t="s">
        <v>499</v>
      </c>
      <c r="E598" t="s">
        <v>696</v>
      </c>
      <c r="F598" t="s">
        <v>235</v>
      </c>
      <c r="G598" t="s">
        <v>797</v>
      </c>
      <c r="H598" t="s">
        <v>14</v>
      </c>
      <c r="I598" t="s">
        <v>25</v>
      </c>
      <c r="J598" t="s">
        <v>798</v>
      </c>
      <c r="K598" t="s">
        <v>799</v>
      </c>
      <c r="L598" t="s">
        <v>788</v>
      </c>
      <c r="M598" s="5">
        <v>45685</v>
      </c>
      <c r="N598" s="5">
        <v>45685</v>
      </c>
      <c r="O598">
        <v>2</v>
      </c>
      <c r="P598">
        <v>18.95</v>
      </c>
      <c r="Q598">
        <v>25.58</v>
      </c>
      <c r="R598">
        <v>0.05</v>
      </c>
      <c r="S598">
        <v>48.6</v>
      </c>
      <c r="T598" t="s">
        <v>839</v>
      </c>
      <c r="U598">
        <v>37.9</v>
      </c>
      <c r="V598">
        <v>10.7</v>
      </c>
    </row>
    <row r="599" spans="1:22" x14ac:dyDescent="0.35">
      <c r="A599" t="s">
        <v>2004</v>
      </c>
      <c r="B599" t="s">
        <v>1074</v>
      </c>
      <c r="C599" t="s">
        <v>609</v>
      </c>
      <c r="D599" t="s">
        <v>610</v>
      </c>
      <c r="E599" t="s">
        <v>633</v>
      </c>
      <c r="G599" t="s">
        <v>14</v>
      </c>
      <c r="H599" t="s">
        <v>14</v>
      </c>
      <c r="I599" t="s">
        <v>111</v>
      </c>
      <c r="J599" t="s">
        <v>813</v>
      </c>
      <c r="K599" t="s">
        <v>799</v>
      </c>
      <c r="L599" t="s">
        <v>800</v>
      </c>
      <c r="M599" s="5">
        <v>45732</v>
      </c>
      <c r="N599" s="5">
        <v>45734</v>
      </c>
      <c r="O599">
        <v>2</v>
      </c>
      <c r="P599">
        <v>19.850000000000001</v>
      </c>
      <c r="Q599">
        <v>28.78</v>
      </c>
      <c r="R599">
        <v>0.05</v>
      </c>
      <c r="S599">
        <v>54.68</v>
      </c>
      <c r="T599" t="s">
        <v>845</v>
      </c>
      <c r="U599">
        <v>39.700000000000003</v>
      </c>
      <c r="V599">
        <v>14.98</v>
      </c>
    </row>
    <row r="600" spans="1:22" x14ac:dyDescent="0.35">
      <c r="A600" t="s">
        <v>2005</v>
      </c>
      <c r="B600" t="s">
        <v>1088</v>
      </c>
      <c r="C600" t="s">
        <v>457</v>
      </c>
      <c r="D600" t="s">
        <v>458</v>
      </c>
      <c r="E600" t="s">
        <v>627</v>
      </c>
      <c r="F600" t="s">
        <v>243</v>
      </c>
      <c r="G600" t="s">
        <v>14</v>
      </c>
      <c r="H600" t="s">
        <v>43</v>
      </c>
      <c r="I600" t="s">
        <v>161</v>
      </c>
      <c r="J600" t="s">
        <v>813</v>
      </c>
      <c r="K600" t="s">
        <v>787</v>
      </c>
      <c r="L600" t="s">
        <v>818</v>
      </c>
      <c r="M600" s="5">
        <v>45759</v>
      </c>
      <c r="O600">
        <v>12</v>
      </c>
      <c r="P600">
        <v>21.74</v>
      </c>
      <c r="Q600">
        <v>30.44</v>
      </c>
      <c r="R600">
        <v>0</v>
      </c>
      <c r="S600">
        <v>365.28</v>
      </c>
      <c r="T600" t="s">
        <v>888</v>
      </c>
      <c r="U600">
        <v>260.88</v>
      </c>
      <c r="V600">
        <v>104.4</v>
      </c>
    </row>
    <row r="601" spans="1:22" x14ac:dyDescent="0.35">
      <c r="A601" t="s">
        <v>2006</v>
      </c>
      <c r="B601" t="s">
        <v>1229</v>
      </c>
      <c r="C601" t="s">
        <v>248</v>
      </c>
      <c r="D601" t="s">
        <v>249</v>
      </c>
      <c r="E601" t="s">
        <v>637</v>
      </c>
      <c r="G601" t="s">
        <v>14</v>
      </c>
      <c r="H601" t="s">
        <v>14</v>
      </c>
      <c r="I601" t="s">
        <v>24</v>
      </c>
      <c r="J601" t="s">
        <v>798</v>
      </c>
      <c r="K601" t="s">
        <v>799</v>
      </c>
      <c r="L601" t="s">
        <v>818</v>
      </c>
      <c r="M601" s="5">
        <v>45493</v>
      </c>
      <c r="N601" s="5">
        <v>45493</v>
      </c>
      <c r="O601">
        <v>1</v>
      </c>
      <c r="P601">
        <v>37.42</v>
      </c>
      <c r="Q601">
        <v>50.52</v>
      </c>
      <c r="R601">
        <v>0.05</v>
      </c>
      <c r="S601">
        <v>47.99</v>
      </c>
      <c r="T601" t="s">
        <v>814</v>
      </c>
      <c r="U601">
        <v>37.42</v>
      </c>
      <c r="V601">
        <v>10.57</v>
      </c>
    </row>
    <row r="602" spans="1:22" x14ac:dyDescent="0.35">
      <c r="A602" t="s">
        <v>2007</v>
      </c>
      <c r="B602" t="s">
        <v>1359</v>
      </c>
      <c r="C602" t="s">
        <v>568</v>
      </c>
      <c r="D602" t="s">
        <v>360</v>
      </c>
      <c r="E602" t="s">
        <v>627</v>
      </c>
      <c r="G602" t="s">
        <v>797</v>
      </c>
      <c r="H602" t="s">
        <v>38</v>
      </c>
      <c r="I602" t="s">
        <v>117</v>
      </c>
      <c r="J602" t="s">
        <v>786</v>
      </c>
      <c r="K602" t="s">
        <v>817</v>
      </c>
      <c r="L602" t="s">
        <v>842</v>
      </c>
      <c r="M602" s="5">
        <v>45807</v>
      </c>
      <c r="O602">
        <v>2</v>
      </c>
      <c r="P602">
        <v>43.25</v>
      </c>
      <c r="Q602">
        <v>60.55</v>
      </c>
      <c r="R602">
        <v>0.05</v>
      </c>
      <c r="S602">
        <v>115.04</v>
      </c>
      <c r="T602" t="s">
        <v>803</v>
      </c>
      <c r="U602">
        <v>86.5</v>
      </c>
      <c r="V602">
        <v>28.54</v>
      </c>
    </row>
    <row r="603" spans="1:22" x14ac:dyDescent="0.35">
      <c r="A603" t="s">
        <v>2008</v>
      </c>
      <c r="B603" t="s">
        <v>2009</v>
      </c>
      <c r="C603" t="s">
        <v>611</v>
      </c>
      <c r="D603" t="s">
        <v>287</v>
      </c>
      <c r="E603" t="s">
        <v>696</v>
      </c>
      <c r="F603" t="s">
        <v>235</v>
      </c>
      <c r="G603" t="s">
        <v>48</v>
      </c>
      <c r="H603" t="s">
        <v>38</v>
      </c>
      <c r="I603" t="s">
        <v>117</v>
      </c>
      <c r="J603" t="s">
        <v>786</v>
      </c>
      <c r="K603" t="s">
        <v>799</v>
      </c>
      <c r="L603" t="s">
        <v>800</v>
      </c>
      <c r="M603" s="5">
        <v>45472</v>
      </c>
      <c r="N603" s="5">
        <v>45466</v>
      </c>
      <c r="O603">
        <v>5</v>
      </c>
      <c r="P603">
        <v>43.25</v>
      </c>
      <c r="Q603">
        <v>60.55</v>
      </c>
      <c r="R603">
        <v>0.1</v>
      </c>
      <c r="S603">
        <v>272.48</v>
      </c>
      <c r="T603" t="s">
        <v>1001</v>
      </c>
      <c r="U603">
        <v>216.25</v>
      </c>
      <c r="V603">
        <v>56.23</v>
      </c>
    </row>
    <row r="604" spans="1:22" x14ac:dyDescent="0.35">
      <c r="A604" t="s">
        <v>2010</v>
      </c>
      <c r="B604" t="s">
        <v>1619</v>
      </c>
      <c r="C604" t="s">
        <v>587</v>
      </c>
      <c r="D604" t="s">
        <v>431</v>
      </c>
      <c r="E604" t="s">
        <v>254</v>
      </c>
      <c r="F604" t="s">
        <v>235</v>
      </c>
      <c r="G604" t="s">
        <v>14</v>
      </c>
      <c r="H604" t="s">
        <v>43</v>
      </c>
      <c r="I604" t="s">
        <v>222</v>
      </c>
      <c r="J604" t="s">
        <v>786</v>
      </c>
      <c r="K604" t="s">
        <v>799</v>
      </c>
      <c r="L604" t="s">
        <v>788</v>
      </c>
      <c r="M604" s="5">
        <v>45956</v>
      </c>
      <c r="N604" s="5">
        <v>45948</v>
      </c>
      <c r="O604">
        <v>10</v>
      </c>
      <c r="P604">
        <v>37.1</v>
      </c>
      <c r="Q604">
        <v>48.23</v>
      </c>
      <c r="R604">
        <v>0.05</v>
      </c>
      <c r="S604">
        <v>458.18</v>
      </c>
      <c r="T604" t="s">
        <v>829</v>
      </c>
      <c r="U604">
        <v>371</v>
      </c>
      <c r="V604">
        <v>87.18</v>
      </c>
    </row>
    <row r="605" spans="1:22" x14ac:dyDescent="0.35">
      <c r="A605" t="s">
        <v>2012</v>
      </c>
      <c r="B605" t="s">
        <v>1280</v>
      </c>
      <c r="C605" t="s">
        <v>587</v>
      </c>
      <c r="D605" t="s">
        <v>431</v>
      </c>
      <c r="E605" t="s">
        <v>681</v>
      </c>
      <c r="F605" t="s">
        <v>235</v>
      </c>
      <c r="G605" t="s">
        <v>14</v>
      </c>
      <c r="H605" t="s">
        <v>43</v>
      </c>
      <c r="I605" t="s">
        <v>58</v>
      </c>
      <c r="J605" t="s">
        <v>798</v>
      </c>
      <c r="K605" t="s">
        <v>799</v>
      </c>
      <c r="L605" t="s">
        <v>788</v>
      </c>
      <c r="M605" s="5">
        <v>45945</v>
      </c>
      <c r="N605" s="5">
        <v>45948</v>
      </c>
      <c r="O605">
        <v>5</v>
      </c>
      <c r="P605">
        <v>11.21</v>
      </c>
      <c r="Q605">
        <v>15.13</v>
      </c>
      <c r="R605">
        <v>0</v>
      </c>
      <c r="S605">
        <v>75.650000000000006</v>
      </c>
      <c r="T605" t="s">
        <v>794</v>
      </c>
      <c r="U605">
        <v>56.05</v>
      </c>
      <c r="V605">
        <v>19.600000000000001</v>
      </c>
    </row>
    <row r="606" spans="1:22" x14ac:dyDescent="0.35">
      <c r="A606" t="s">
        <v>2013</v>
      </c>
      <c r="B606" t="s">
        <v>1572</v>
      </c>
      <c r="C606" t="s">
        <v>248</v>
      </c>
      <c r="D606" t="s">
        <v>249</v>
      </c>
      <c r="E606" t="s">
        <v>254</v>
      </c>
      <c r="G606" t="s">
        <v>20</v>
      </c>
      <c r="H606" t="s">
        <v>14</v>
      </c>
      <c r="I606" t="s">
        <v>30</v>
      </c>
      <c r="J606" t="s">
        <v>798</v>
      </c>
      <c r="K606" t="s">
        <v>822</v>
      </c>
      <c r="L606" t="s">
        <v>818</v>
      </c>
      <c r="M606" s="5">
        <v>45891</v>
      </c>
      <c r="N606" s="5">
        <v>45886</v>
      </c>
      <c r="O606">
        <v>1</v>
      </c>
      <c r="P606">
        <v>19.010000000000002</v>
      </c>
      <c r="Q606">
        <v>27.56</v>
      </c>
      <c r="R606">
        <v>0.15</v>
      </c>
      <c r="S606">
        <v>23.43</v>
      </c>
      <c r="T606" t="s">
        <v>803</v>
      </c>
      <c r="U606">
        <v>19.010000000000002</v>
      </c>
      <c r="V606">
        <v>4.42</v>
      </c>
    </row>
    <row r="607" spans="1:22" x14ac:dyDescent="0.35">
      <c r="A607" t="s">
        <v>2015</v>
      </c>
      <c r="B607" t="s">
        <v>1809</v>
      </c>
      <c r="C607" t="s">
        <v>477</v>
      </c>
      <c r="D607" t="s">
        <v>478</v>
      </c>
      <c r="E607" t="s">
        <v>674</v>
      </c>
      <c r="F607" t="s">
        <v>243</v>
      </c>
      <c r="G607" t="s">
        <v>20</v>
      </c>
      <c r="H607" t="s">
        <v>8</v>
      </c>
      <c r="I607" t="s">
        <v>21</v>
      </c>
      <c r="J607" t="s">
        <v>798</v>
      </c>
      <c r="K607" t="s">
        <v>793</v>
      </c>
      <c r="L607" t="s">
        <v>818</v>
      </c>
      <c r="M607" s="5">
        <v>45829</v>
      </c>
      <c r="O607">
        <v>10</v>
      </c>
      <c r="P607">
        <v>21.57</v>
      </c>
      <c r="Q607">
        <v>26.96</v>
      </c>
      <c r="R607">
        <v>0.1</v>
      </c>
      <c r="S607">
        <v>242.64</v>
      </c>
      <c r="T607" t="s">
        <v>859</v>
      </c>
      <c r="U607">
        <v>215.7</v>
      </c>
      <c r="V607">
        <v>26.94</v>
      </c>
    </row>
    <row r="608" spans="1:22" x14ac:dyDescent="0.35">
      <c r="A608" t="s">
        <v>2016</v>
      </c>
      <c r="B608" t="s">
        <v>2017</v>
      </c>
      <c r="C608" t="s">
        <v>606</v>
      </c>
      <c r="D608" t="s">
        <v>600</v>
      </c>
      <c r="E608" t="s">
        <v>681</v>
      </c>
      <c r="G608" t="s">
        <v>20</v>
      </c>
      <c r="H608" t="s">
        <v>29</v>
      </c>
      <c r="I608" t="s">
        <v>121</v>
      </c>
      <c r="J608" t="s">
        <v>813</v>
      </c>
      <c r="K608" t="s">
        <v>799</v>
      </c>
      <c r="L608" t="s">
        <v>800</v>
      </c>
      <c r="M608" s="5">
        <v>46046</v>
      </c>
      <c r="N608" s="5">
        <v>46047</v>
      </c>
      <c r="O608">
        <v>12</v>
      </c>
      <c r="P608">
        <v>15.46</v>
      </c>
      <c r="Q608">
        <v>22.42</v>
      </c>
      <c r="R608">
        <v>0</v>
      </c>
      <c r="S608">
        <v>269.04000000000002</v>
      </c>
      <c r="T608" t="s">
        <v>1017</v>
      </c>
      <c r="U608">
        <v>185.52</v>
      </c>
      <c r="V608">
        <v>83.52</v>
      </c>
    </row>
    <row r="609" spans="1:22" x14ac:dyDescent="0.35">
      <c r="A609" t="s">
        <v>2018</v>
      </c>
      <c r="B609" t="s">
        <v>1422</v>
      </c>
      <c r="C609" t="s">
        <v>238</v>
      </c>
      <c r="D609" t="s">
        <v>239</v>
      </c>
      <c r="E609" t="s">
        <v>674</v>
      </c>
      <c r="F609" t="s">
        <v>243</v>
      </c>
      <c r="G609" t="s">
        <v>20</v>
      </c>
      <c r="H609" t="s">
        <v>14</v>
      </c>
      <c r="I609" t="s">
        <v>128</v>
      </c>
      <c r="J609" t="s">
        <v>813</v>
      </c>
      <c r="K609" t="s">
        <v>787</v>
      </c>
      <c r="L609" t="s">
        <v>818</v>
      </c>
      <c r="M609" s="5">
        <v>45702</v>
      </c>
      <c r="O609">
        <v>2</v>
      </c>
      <c r="P609">
        <v>18.850000000000001</v>
      </c>
      <c r="Q609">
        <v>27.33</v>
      </c>
      <c r="R609">
        <v>0.1</v>
      </c>
      <c r="S609">
        <v>49.19</v>
      </c>
      <c r="T609" t="s">
        <v>876</v>
      </c>
      <c r="U609">
        <v>37.700000000000003</v>
      </c>
      <c r="V609">
        <v>11.49</v>
      </c>
    </row>
    <row r="610" spans="1:22" x14ac:dyDescent="0.35">
      <c r="A610" t="s">
        <v>2019</v>
      </c>
      <c r="B610" t="s">
        <v>1040</v>
      </c>
      <c r="C610" t="s">
        <v>599</v>
      </c>
      <c r="D610" t="s">
        <v>600</v>
      </c>
      <c r="E610" t="s">
        <v>696</v>
      </c>
      <c r="F610" t="s">
        <v>243</v>
      </c>
      <c r="G610" t="s">
        <v>797</v>
      </c>
      <c r="H610" t="s">
        <v>14</v>
      </c>
      <c r="I610" t="s">
        <v>30</v>
      </c>
      <c r="J610" t="s">
        <v>798</v>
      </c>
      <c r="K610" t="s">
        <v>799</v>
      </c>
      <c r="L610" t="s">
        <v>788</v>
      </c>
      <c r="M610" s="5">
        <v>45969</v>
      </c>
      <c r="N610" s="5">
        <v>45971</v>
      </c>
      <c r="O610">
        <v>10</v>
      </c>
      <c r="P610">
        <v>19.010000000000002</v>
      </c>
      <c r="Q610">
        <v>27.56</v>
      </c>
      <c r="R610">
        <v>0.05</v>
      </c>
      <c r="S610">
        <v>261.82</v>
      </c>
      <c r="T610" t="s">
        <v>810</v>
      </c>
      <c r="U610">
        <v>190.1</v>
      </c>
      <c r="V610">
        <v>71.72</v>
      </c>
    </row>
    <row r="611" spans="1:22" x14ac:dyDescent="0.35">
      <c r="A611" t="s">
        <v>2020</v>
      </c>
      <c r="B611" t="s">
        <v>2021</v>
      </c>
      <c r="C611" t="s">
        <v>540</v>
      </c>
      <c r="D611" t="s">
        <v>458</v>
      </c>
      <c r="E611" t="s">
        <v>637</v>
      </c>
      <c r="F611" t="s">
        <v>264</v>
      </c>
      <c r="G611" t="s">
        <v>797</v>
      </c>
      <c r="H611" t="s">
        <v>48</v>
      </c>
      <c r="I611" t="s">
        <v>61</v>
      </c>
      <c r="J611" t="s">
        <v>798</v>
      </c>
      <c r="K611" t="s">
        <v>799</v>
      </c>
      <c r="L611" t="s">
        <v>788</v>
      </c>
      <c r="M611" s="5">
        <v>45411</v>
      </c>
      <c r="N611" s="5">
        <v>45412</v>
      </c>
      <c r="O611">
        <v>10</v>
      </c>
      <c r="P611">
        <v>26.08</v>
      </c>
      <c r="Q611">
        <v>35.21</v>
      </c>
      <c r="R611">
        <v>0</v>
      </c>
      <c r="S611">
        <v>352.1</v>
      </c>
      <c r="T611" t="s">
        <v>876</v>
      </c>
      <c r="U611">
        <v>260.8</v>
      </c>
      <c r="V611">
        <v>91.3</v>
      </c>
    </row>
    <row r="612" spans="1:22" x14ac:dyDescent="0.35">
      <c r="A612" t="s">
        <v>2023</v>
      </c>
      <c r="B612" t="s">
        <v>1917</v>
      </c>
      <c r="C612" t="s">
        <v>327</v>
      </c>
      <c r="D612" t="s">
        <v>328</v>
      </c>
      <c r="E612" t="s">
        <v>637</v>
      </c>
      <c r="F612" t="s">
        <v>264</v>
      </c>
      <c r="G612" t="s">
        <v>14</v>
      </c>
      <c r="H612" t="s">
        <v>38</v>
      </c>
      <c r="I612" t="s">
        <v>206</v>
      </c>
      <c r="J612" t="s">
        <v>813</v>
      </c>
      <c r="K612" t="s">
        <v>787</v>
      </c>
      <c r="L612" t="s">
        <v>842</v>
      </c>
      <c r="M612" s="5">
        <v>45936</v>
      </c>
      <c r="O612">
        <v>3</v>
      </c>
      <c r="P612">
        <v>23.55</v>
      </c>
      <c r="Q612">
        <v>31.79</v>
      </c>
      <c r="R612">
        <v>0</v>
      </c>
      <c r="S612">
        <v>95.37</v>
      </c>
      <c r="T612" t="s">
        <v>834</v>
      </c>
      <c r="U612">
        <v>70.650000000000006</v>
      </c>
      <c r="V612">
        <v>24.72</v>
      </c>
    </row>
    <row r="613" spans="1:22" x14ac:dyDescent="0.35">
      <c r="A613" t="s">
        <v>2025</v>
      </c>
      <c r="B613" t="s">
        <v>1559</v>
      </c>
      <c r="C613" t="s">
        <v>547</v>
      </c>
      <c r="D613" t="s">
        <v>375</v>
      </c>
      <c r="E613" t="s">
        <v>674</v>
      </c>
      <c r="F613" t="s">
        <v>243</v>
      </c>
      <c r="G613" t="s">
        <v>14</v>
      </c>
      <c r="H613" t="s">
        <v>38</v>
      </c>
      <c r="I613" t="s">
        <v>132</v>
      </c>
      <c r="J613" t="s">
        <v>798</v>
      </c>
      <c r="K613" t="s">
        <v>787</v>
      </c>
      <c r="L613" t="s">
        <v>842</v>
      </c>
      <c r="M613" s="5">
        <v>45649</v>
      </c>
      <c r="O613">
        <v>10</v>
      </c>
      <c r="P613">
        <v>12.71</v>
      </c>
      <c r="Q613">
        <v>17.79</v>
      </c>
      <c r="R613">
        <v>0</v>
      </c>
      <c r="S613">
        <v>177.9</v>
      </c>
      <c r="T613" t="s">
        <v>839</v>
      </c>
      <c r="U613">
        <v>127.1</v>
      </c>
      <c r="V613">
        <v>50.8</v>
      </c>
    </row>
    <row r="614" spans="1:22" x14ac:dyDescent="0.35">
      <c r="A614" t="s">
        <v>2026</v>
      </c>
      <c r="B614" t="s">
        <v>997</v>
      </c>
      <c r="C614" t="s">
        <v>276</v>
      </c>
      <c r="D614" t="s">
        <v>277</v>
      </c>
      <c r="E614" t="s">
        <v>254</v>
      </c>
      <c r="F614" t="s">
        <v>243</v>
      </c>
      <c r="G614" t="s">
        <v>797</v>
      </c>
      <c r="H614" t="s">
        <v>8</v>
      </c>
      <c r="I614" t="s">
        <v>6</v>
      </c>
      <c r="J614" t="s">
        <v>786</v>
      </c>
      <c r="K614" t="s">
        <v>793</v>
      </c>
      <c r="L614" t="s">
        <v>800</v>
      </c>
      <c r="M614" s="5">
        <v>45987</v>
      </c>
      <c r="O614">
        <v>12</v>
      </c>
      <c r="P614">
        <v>32.24</v>
      </c>
      <c r="Q614">
        <v>41.91</v>
      </c>
      <c r="R614">
        <v>0.05</v>
      </c>
      <c r="S614">
        <v>477.77</v>
      </c>
      <c r="T614" t="s">
        <v>819</v>
      </c>
      <c r="U614">
        <v>386.88</v>
      </c>
      <c r="V614">
        <v>90.89</v>
      </c>
    </row>
    <row r="615" spans="1:22" x14ac:dyDescent="0.35">
      <c r="A615" t="s">
        <v>2027</v>
      </c>
      <c r="B615" t="s">
        <v>1426</v>
      </c>
      <c r="C615" t="s">
        <v>479</v>
      </c>
      <c r="D615" t="s">
        <v>480</v>
      </c>
      <c r="E615" t="s">
        <v>633</v>
      </c>
      <c r="F615" t="s">
        <v>243</v>
      </c>
      <c r="G615" t="s">
        <v>797</v>
      </c>
      <c r="H615" t="s">
        <v>20</v>
      </c>
      <c r="I615" t="s">
        <v>102</v>
      </c>
      <c r="J615" t="s">
        <v>786</v>
      </c>
      <c r="K615" t="s">
        <v>817</v>
      </c>
      <c r="L615" t="s">
        <v>788</v>
      </c>
      <c r="M615" s="5">
        <v>45651</v>
      </c>
      <c r="O615">
        <v>3</v>
      </c>
      <c r="P615">
        <v>19.04</v>
      </c>
      <c r="Q615">
        <v>25.7</v>
      </c>
      <c r="R615">
        <v>0</v>
      </c>
      <c r="S615">
        <v>77.099999999999994</v>
      </c>
      <c r="T615" t="s">
        <v>825</v>
      </c>
      <c r="U615">
        <v>57.12</v>
      </c>
      <c r="V615">
        <v>19.98</v>
      </c>
    </row>
    <row r="616" spans="1:22" x14ac:dyDescent="0.35">
      <c r="A616" t="s">
        <v>2028</v>
      </c>
      <c r="B616" t="s">
        <v>1805</v>
      </c>
      <c r="C616" t="s">
        <v>556</v>
      </c>
      <c r="D616" t="s">
        <v>472</v>
      </c>
      <c r="E616" t="s">
        <v>254</v>
      </c>
      <c r="F616" t="s">
        <v>235</v>
      </c>
      <c r="G616" t="s">
        <v>48</v>
      </c>
      <c r="H616" t="s">
        <v>48</v>
      </c>
      <c r="I616" t="s">
        <v>210</v>
      </c>
      <c r="J616" t="s">
        <v>786</v>
      </c>
      <c r="K616" t="s">
        <v>799</v>
      </c>
      <c r="L616" t="s">
        <v>842</v>
      </c>
      <c r="M616" s="5">
        <v>45714</v>
      </c>
      <c r="N616" s="5">
        <v>45707</v>
      </c>
      <c r="O616">
        <v>10</v>
      </c>
      <c r="P616">
        <v>25.36</v>
      </c>
      <c r="Q616">
        <v>34.24</v>
      </c>
      <c r="R616">
        <v>0.05</v>
      </c>
      <c r="S616">
        <v>325.27999999999997</v>
      </c>
      <c r="T616" t="s">
        <v>1001</v>
      </c>
      <c r="U616">
        <v>253.6</v>
      </c>
      <c r="V616">
        <v>71.680000000000007</v>
      </c>
    </row>
    <row r="617" spans="1:22" x14ac:dyDescent="0.35">
      <c r="A617" t="s">
        <v>2029</v>
      </c>
      <c r="B617" t="s">
        <v>2030</v>
      </c>
      <c r="C617" t="s">
        <v>260</v>
      </c>
      <c r="D617" t="s">
        <v>261</v>
      </c>
      <c r="E617" t="s">
        <v>627</v>
      </c>
      <c r="F617" t="s">
        <v>264</v>
      </c>
      <c r="G617" t="s">
        <v>797</v>
      </c>
      <c r="H617" t="s">
        <v>20</v>
      </c>
      <c r="I617" t="s">
        <v>34</v>
      </c>
      <c r="J617" t="s">
        <v>798</v>
      </c>
      <c r="K617" t="s">
        <v>822</v>
      </c>
      <c r="L617" t="s">
        <v>788</v>
      </c>
      <c r="M617" s="5">
        <v>46041</v>
      </c>
      <c r="N617" s="5">
        <v>46044</v>
      </c>
      <c r="O617">
        <v>3</v>
      </c>
      <c r="P617">
        <v>28.02</v>
      </c>
      <c r="Q617">
        <v>36.43</v>
      </c>
      <c r="R617">
        <v>0</v>
      </c>
      <c r="S617">
        <v>109.29</v>
      </c>
      <c r="T617" t="s">
        <v>845</v>
      </c>
      <c r="U617">
        <v>84.06</v>
      </c>
      <c r="V617">
        <v>25.23</v>
      </c>
    </row>
    <row r="618" spans="1:22" x14ac:dyDescent="0.35">
      <c r="A618" t="s">
        <v>2031</v>
      </c>
      <c r="B618" t="s">
        <v>1110</v>
      </c>
      <c r="C618" t="s">
        <v>500</v>
      </c>
      <c r="D618" t="s">
        <v>447</v>
      </c>
      <c r="E618" t="s">
        <v>627</v>
      </c>
      <c r="F618" t="s">
        <v>235</v>
      </c>
      <c r="G618" t="s">
        <v>797</v>
      </c>
      <c r="H618" t="s">
        <v>48</v>
      </c>
      <c r="I618" t="s">
        <v>219</v>
      </c>
      <c r="J618" t="s">
        <v>813</v>
      </c>
      <c r="K618" t="s">
        <v>817</v>
      </c>
      <c r="L618" t="s">
        <v>800</v>
      </c>
      <c r="M618" s="5">
        <v>45997</v>
      </c>
      <c r="O618">
        <v>10</v>
      </c>
      <c r="P618">
        <v>12.9</v>
      </c>
      <c r="Q618">
        <v>18.7</v>
      </c>
      <c r="R618">
        <v>0</v>
      </c>
      <c r="S618">
        <v>187</v>
      </c>
      <c r="T618" t="s">
        <v>869</v>
      </c>
      <c r="U618">
        <v>129</v>
      </c>
      <c r="V618">
        <v>58</v>
      </c>
    </row>
    <row r="619" spans="1:22" x14ac:dyDescent="0.35">
      <c r="A619" t="s">
        <v>2032</v>
      </c>
      <c r="B619" t="s">
        <v>1350</v>
      </c>
      <c r="C619" t="s">
        <v>601</v>
      </c>
      <c r="D619" t="s">
        <v>602</v>
      </c>
      <c r="E619" t="s">
        <v>633</v>
      </c>
      <c r="F619" t="s">
        <v>235</v>
      </c>
      <c r="G619" t="s">
        <v>14</v>
      </c>
      <c r="H619" t="s">
        <v>8</v>
      </c>
      <c r="I619" t="s">
        <v>181</v>
      </c>
      <c r="J619" t="s">
        <v>798</v>
      </c>
      <c r="K619" t="s">
        <v>799</v>
      </c>
      <c r="L619" t="s">
        <v>842</v>
      </c>
      <c r="M619" s="5">
        <v>45667</v>
      </c>
      <c r="N619" s="5">
        <v>45668</v>
      </c>
      <c r="O619">
        <v>10</v>
      </c>
      <c r="P619">
        <v>20.49</v>
      </c>
      <c r="Q619">
        <v>29.71</v>
      </c>
      <c r="R619">
        <v>0</v>
      </c>
      <c r="S619">
        <v>297.10000000000002</v>
      </c>
      <c r="T619" t="s">
        <v>876</v>
      </c>
      <c r="U619">
        <v>204.9</v>
      </c>
      <c r="V619">
        <v>92.2</v>
      </c>
    </row>
    <row r="620" spans="1:22" x14ac:dyDescent="0.35">
      <c r="A620" t="s">
        <v>2034</v>
      </c>
      <c r="B620" t="s">
        <v>824</v>
      </c>
      <c r="C620" t="s">
        <v>599</v>
      </c>
      <c r="D620" t="s">
        <v>600</v>
      </c>
      <c r="E620" t="s">
        <v>696</v>
      </c>
      <c r="F620" t="s">
        <v>243</v>
      </c>
      <c r="G620" t="s">
        <v>797</v>
      </c>
      <c r="H620" t="s">
        <v>14</v>
      </c>
      <c r="I620" t="s">
        <v>25</v>
      </c>
      <c r="J620" t="s">
        <v>813</v>
      </c>
      <c r="K620" t="s">
        <v>787</v>
      </c>
      <c r="L620" t="s">
        <v>842</v>
      </c>
      <c r="M620" s="5">
        <v>45969</v>
      </c>
      <c r="O620">
        <v>12</v>
      </c>
      <c r="P620">
        <v>18.95</v>
      </c>
      <c r="Q620">
        <v>25.58</v>
      </c>
      <c r="R620">
        <v>0</v>
      </c>
      <c r="S620">
        <v>306.95999999999998</v>
      </c>
      <c r="T620" t="s">
        <v>819</v>
      </c>
      <c r="U620">
        <v>227.4</v>
      </c>
      <c r="V620">
        <v>79.56</v>
      </c>
    </row>
    <row r="621" spans="1:22" x14ac:dyDescent="0.35">
      <c r="A621" t="s">
        <v>2035</v>
      </c>
      <c r="B621" t="s">
        <v>864</v>
      </c>
      <c r="C621" t="s">
        <v>578</v>
      </c>
      <c r="D621" t="s">
        <v>368</v>
      </c>
      <c r="E621" t="s">
        <v>627</v>
      </c>
      <c r="F621" t="s">
        <v>235</v>
      </c>
      <c r="G621" t="s">
        <v>48</v>
      </c>
      <c r="H621" t="s">
        <v>8</v>
      </c>
      <c r="I621" t="s">
        <v>207</v>
      </c>
      <c r="J621" t="s">
        <v>798</v>
      </c>
      <c r="K621" t="s">
        <v>822</v>
      </c>
      <c r="L621" t="s">
        <v>842</v>
      </c>
      <c r="M621" s="5">
        <v>45388</v>
      </c>
      <c r="N621" s="5">
        <v>45390</v>
      </c>
      <c r="O621">
        <v>5</v>
      </c>
      <c r="P621">
        <v>8.5399999999999991</v>
      </c>
      <c r="Q621">
        <v>10.67</v>
      </c>
      <c r="R621">
        <v>0.05</v>
      </c>
      <c r="S621">
        <v>50.68</v>
      </c>
      <c r="T621" t="s">
        <v>825</v>
      </c>
      <c r="U621">
        <v>42.7</v>
      </c>
      <c r="V621">
        <v>7.98</v>
      </c>
    </row>
    <row r="622" spans="1:22" x14ac:dyDescent="0.35">
      <c r="A622" t="s">
        <v>2036</v>
      </c>
      <c r="B622" t="s">
        <v>1554</v>
      </c>
      <c r="C622" t="s">
        <v>382</v>
      </c>
      <c r="D622" t="s">
        <v>383</v>
      </c>
      <c r="E622" t="s">
        <v>674</v>
      </c>
      <c r="F622" t="s">
        <v>264</v>
      </c>
      <c r="G622" t="s">
        <v>20</v>
      </c>
      <c r="H622" t="s">
        <v>14</v>
      </c>
      <c r="I622" t="s">
        <v>25</v>
      </c>
      <c r="J622" t="s">
        <v>798</v>
      </c>
      <c r="K622" t="s">
        <v>787</v>
      </c>
      <c r="L622" t="s">
        <v>818</v>
      </c>
      <c r="M622" s="5">
        <v>45545</v>
      </c>
      <c r="O622">
        <v>3</v>
      </c>
      <c r="P622">
        <v>18.95</v>
      </c>
      <c r="Q622">
        <v>25.58</v>
      </c>
      <c r="R622">
        <v>0.15</v>
      </c>
      <c r="S622">
        <v>65.23</v>
      </c>
      <c r="T622" t="s">
        <v>839</v>
      </c>
      <c r="U622">
        <v>56.85</v>
      </c>
      <c r="V622">
        <v>8.3800000000000008</v>
      </c>
    </row>
    <row r="623" spans="1:22" x14ac:dyDescent="0.35">
      <c r="A623" t="s">
        <v>2037</v>
      </c>
      <c r="B623" t="s">
        <v>1550</v>
      </c>
      <c r="C623" t="s">
        <v>462</v>
      </c>
      <c r="D623" t="s">
        <v>396</v>
      </c>
      <c r="E623" t="s">
        <v>637</v>
      </c>
      <c r="F623" t="s">
        <v>264</v>
      </c>
      <c r="G623" t="s">
        <v>797</v>
      </c>
      <c r="H623" t="s">
        <v>20</v>
      </c>
      <c r="I623" t="s">
        <v>97</v>
      </c>
      <c r="J623" t="s">
        <v>798</v>
      </c>
      <c r="K623" t="s">
        <v>799</v>
      </c>
      <c r="L623" t="s">
        <v>842</v>
      </c>
      <c r="M623" s="5">
        <v>45463</v>
      </c>
      <c r="N623" s="5">
        <v>45465</v>
      </c>
      <c r="O623">
        <v>2</v>
      </c>
      <c r="P623">
        <v>20.79</v>
      </c>
      <c r="Q623">
        <v>28.07</v>
      </c>
      <c r="R623">
        <v>0.15</v>
      </c>
      <c r="S623">
        <v>47.72</v>
      </c>
      <c r="T623" t="s">
        <v>888</v>
      </c>
      <c r="U623">
        <v>41.58</v>
      </c>
      <c r="V623">
        <v>6.14</v>
      </c>
    </row>
    <row r="624" spans="1:22" x14ac:dyDescent="0.35">
      <c r="A624" t="s">
        <v>2038</v>
      </c>
      <c r="B624" t="s">
        <v>1051</v>
      </c>
      <c r="C624" t="s">
        <v>317</v>
      </c>
      <c r="D624" t="s">
        <v>318</v>
      </c>
      <c r="E624" t="s">
        <v>637</v>
      </c>
      <c r="F624" t="s">
        <v>264</v>
      </c>
      <c r="G624" t="s">
        <v>14</v>
      </c>
      <c r="H624" t="s">
        <v>38</v>
      </c>
      <c r="I624" t="s">
        <v>165</v>
      </c>
      <c r="J624" t="s">
        <v>786</v>
      </c>
      <c r="K624" t="s">
        <v>822</v>
      </c>
      <c r="L624" t="s">
        <v>842</v>
      </c>
      <c r="M624" s="5">
        <v>45954</v>
      </c>
      <c r="N624" s="5">
        <v>45947</v>
      </c>
      <c r="O624">
        <v>3</v>
      </c>
      <c r="P624">
        <v>18.45</v>
      </c>
      <c r="Q624">
        <v>25.83</v>
      </c>
      <c r="R624">
        <v>0.15</v>
      </c>
      <c r="S624">
        <v>65.87</v>
      </c>
      <c r="T624" t="s">
        <v>1134</v>
      </c>
      <c r="U624">
        <v>55.35</v>
      </c>
      <c r="V624">
        <v>10.52</v>
      </c>
    </row>
    <row r="625" spans="1:22" x14ac:dyDescent="0.35">
      <c r="A625" t="s">
        <v>2039</v>
      </c>
      <c r="B625" t="s">
        <v>1068</v>
      </c>
      <c r="C625" t="s">
        <v>572</v>
      </c>
      <c r="D625" t="s">
        <v>304</v>
      </c>
      <c r="E625" t="s">
        <v>681</v>
      </c>
      <c r="F625" t="s">
        <v>235</v>
      </c>
      <c r="G625" t="s">
        <v>20</v>
      </c>
      <c r="H625" t="s">
        <v>79</v>
      </c>
      <c r="I625" t="s">
        <v>184</v>
      </c>
      <c r="J625" t="s">
        <v>786</v>
      </c>
      <c r="K625" t="s">
        <v>799</v>
      </c>
      <c r="L625" t="s">
        <v>788</v>
      </c>
      <c r="M625" s="5">
        <v>46040</v>
      </c>
      <c r="N625" s="5">
        <v>46028</v>
      </c>
      <c r="O625">
        <v>2</v>
      </c>
      <c r="P625">
        <v>28.87</v>
      </c>
      <c r="Q625">
        <v>40.42</v>
      </c>
      <c r="R625">
        <v>0</v>
      </c>
      <c r="S625">
        <v>80.84</v>
      </c>
      <c r="T625" t="s">
        <v>1017</v>
      </c>
      <c r="U625">
        <v>57.74</v>
      </c>
      <c r="V625">
        <v>23.1</v>
      </c>
    </row>
    <row r="626" spans="1:22" x14ac:dyDescent="0.35">
      <c r="A626" t="s">
        <v>2040</v>
      </c>
      <c r="B626" t="s">
        <v>981</v>
      </c>
      <c r="C626" t="s">
        <v>329</v>
      </c>
      <c r="D626" t="s">
        <v>330</v>
      </c>
      <c r="E626" t="s">
        <v>254</v>
      </c>
      <c r="F626" t="s">
        <v>235</v>
      </c>
      <c r="G626" t="s">
        <v>797</v>
      </c>
      <c r="H626" t="s">
        <v>29</v>
      </c>
      <c r="I626" t="s">
        <v>176</v>
      </c>
      <c r="J626" t="s">
        <v>798</v>
      </c>
      <c r="K626" t="s">
        <v>793</v>
      </c>
      <c r="L626" t="s">
        <v>842</v>
      </c>
      <c r="M626" s="5">
        <v>45596</v>
      </c>
      <c r="O626">
        <v>3</v>
      </c>
      <c r="P626">
        <v>25.88</v>
      </c>
      <c r="Q626">
        <v>36.229999999999997</v>
      </c>
      <c r="R626">
        <v>0.1</v>
      </c>
      <c r="S626">
        <v>97.82</v>
      </c>
      <c r="T626" t="s">
        <v>814</v>
      </c>
      <c r="U626">
        <v>77.64</v>
      </c>
      <c r="V626">
        <v>20.18</v>
      </c>
    </row>
    <row r="627" spans="1:22" x14ac:dyDescent="0.35">
      <c r="A627" t="s">
        <v>2041</v>
      </c>
      <c r="B627" t="s">
        <v>1258</v>
      </c>
      <c r="C627" t="s">
        <v>459</v>
      </c>
      <c r="D627" t="s">
        <v>460</v>
      </c>
      <c r="E627" t="s">
        <v>627</v>
      </c>
      <c r="F627" t="s">
        <v>264</v>
      </c>
      <c r="G627" t="s">
        <v>20</v>
      </c>
      <c r="H627" t="s">
        <v>14</v>
      </c>
      <c r="I627" t="s">
        <v>209</v>
      </c>
      <c r="J627" t="s">
        <v>798</v>
      </c>
      <c r="K627" t="s">
        <v>799</v>
      </c>
      <c r="L627" t="s">
        <v>788</v>
      </c>
      <c r="M627" s="5">
        <v>45429</v>
      </c>
      <c r="N627" s="5">
        <v>45428</v>
      </c>
      <c r="O627">
        <v>5</v>
      </c>
      <c r="P627">
        <v>24.18</v>
      </c>
      <c r="Q627">
        <v>33.85</v>
      </c>
      <c r="R627">
        <v>0.05</v>
      </c>
      <c r="S627">
        <v>160.79</v>
      </c>
      <c r="T627" t="s">
        <v>876</v>
      </c>
      <c r="U627">
        <v>120.9</v>
      </c>
      <c r="V627">
        <v>39.89</v>
      </c>
    </row>
    <row r="628" spans="1:22" x14ac:dyDescent="0.35">
      <c r="A628" t="s">
        <v>2042</v>
      </c>
      <c r="B628" t="s">
        <v>1578</v>
      </c>
      <c r="C628" t="s">
        <v>520</v>
      </c>
      <c r="D628" t="s">
        <v>521</v>
      </c>
      <c r="E628" t="s">
        <v>681</v>
      </c>
      <c r="F628" t="s">
        <v>243</v>
      </c>
      <c r="G628" t="s">
        <v>14</v>
      </c>
      <c r="H628" t="s">
        <v>8</v>
      </c>
      <c r="I628" t="s">
        <v>162</v>
      </c>
      <c r="J628" t="s">
        <v>798</v>
      </c>
      <c r="K628" t="s">
        <v>793</v>
      </c>
      <c r="L628" t="s">
        <v>818</v>
      </c>
      <c r="M628" s="5">
        <v>45672</v>
      </c>
      <c r="O628">
        <v>12</v>
      </c>
      <c r="P628">
        <v>29.86</v>
      </c>
      <c r="Q628">
        <v>38.82</v>
      </c>
      <c r="R628">
        <v>0</v>
      </c>
      <c r="S628">
        <v>465.84</v>
      </c>
      <c r="T628" t="s">
        <v>888</v>
      </c>
      <c r="U628">
        <v>358.32</v>
      </c>
      <c r="V628">
        <v>107.52</v>
      </c>
    </row>
    <row r="629" spans="1:22" x14ac:dyDescent="0.35">
      <c r="A629" t="s">
        <v>2043</v>
      </c>
      <c r="B629" t="s">
        <v>982</v>
      </c>
      <c r="C629" t="s">
        <v>509</v>
      </c>
      <c r="D629" t="s">
        <v>510</v>
      </c>
      <c r="E629" t="s">
        <v>681</v>
      </c>
      <c r="F629" t="s">
        <v>235</v>
      </c>
      <c r="G629" t="s">
        <v>14</v>
      </c>
      <c r="H629" t="s">
        <v>8</v>
      </c>
      <c r="I629" t="s">
        <v>95</v>
      </c>
      <c r="J629" t="s">
        <v>798</v>
      </c>
      <c r="K629" t="s">
        <v>787</v>
      </c>
      <c r="L629" t="s">
        <v>842</v>
      </c>
      <c r="M629" s="5">
        <v>45602</v>
      </c>
      <c r="O629">
        <v>1</v>
      </c>
      <c r="P629">
        <v>23.02</v>
      </c>
      <c r="Q629">
        <v>28.77</v>
      </c>
      <c r="R629">
        <v>0.1</v>
      </c>
      <c r="S629">
        <v>25.89</v>
      </c>
      <c r="T629" t="s">
        <v>1134</v>
      </c>
      <c r="U629">
        <v>23.02</v>
      </c>
      <c r="V629">
        <v>2.87</v>
      </c>
    </row>
    <row r="630" spans="1:22" x14ac:dyDescent="0.35">
      <c r="A630" t="s">
        <v>2044</v>
      </c>
      <c r="B630" t="s">
        <v>1354</v>
      </c>
      <c r="C630" t="s">
        <v>584</v>
      </c>
      <c r="D630" t="s">
        <v>562</v>
      </c>
      <c r="E630" t="s">
        <v>254</v>
      </c>
      <c r="F630" t="s">
        <v>264</v>
      </c>
      <c r="G630" t="s">
        <v>797</v>
      </c>
      <c r="H630" t="s">
        <v>48</v>
      </c>
      <c r="I630" t="s">
        <v>219</v>
      </c>
      <c r="J630" t="s">
        <v>786</v>
      </c>
      <c r="K630" t="s">
        <v>799</v>
      </c>
      <c r="L630" t="s">
        <v>788</v>
      </c>
      <c r="M630" s="5">
        <v>45622</v>
      </c>
      <c r="N630" s="5">
        <v>45615</v>
      </c>
      <c r="O630">
        <v>2</v>
      </c>
      <c r="P630">
        <v>12.9</v>
      </c>
      <c r="Q630">
        <v>18.7</v>
      </c>
      <c r="R630">
        <v>0.05</v>
      </c>
      <c r="S630">
        <v>35.53</v>
      </c>
      <c r="T630" t="s">
        <v>859</v>
      </c>
      <c r="U630">
        <v>25.8</v>
      </c>
      <c r="V630">
        <v>9.73</v>
      </c>
    </row>
    <row r="631" spans="1:22" x14ac:dyDescent="0.35">
      <c r="A631" t="s">
        <v>2045</v>
      </c>
      <c r="B631" t="s">
        <v>812</v>
      </c>
      <c r="C631" t="s">
        <v>354</v>
      </c>
      <c r="D631" t="s">
        <v>321</v>
      </c>
      <c r="E631" t="s">
        <v>637</v>
      </c>
      <c r="F631" t="s">
        <v>243</v>
      </c>
      <c r="G631" t="s">
        <v>20</v>
      </c>
      <c r="H631" t="s">
        <v>14</v>
      </c>
      <c r="I631" t="s">
        <v>186</v>
      </c>
      <c r="J631" t="s">
        <v>786</v>
      </c>
      <c r="K631" t="s">
        <v>822</v>
      </c>
      <c r="L631" t="s">
        <v>788</v>
      </c>
      <c r="M631" s="5">
        <v>45366</v>
      </c>
      <c r="N631" s="5">
        <v>45355</v>
      </c>
      <c r="O631">
        <v>2</v>
      </c>
      <c r="P631">
        <v>28.32</v>
      </c>
      <c r="Q631">
        <v>35.4</v>
      </c>
      <c r="R631">
        <v>0.15</v>
      </c>
      <c r="S631">
        <v>60.18</v>
      </c>
      <c r="T631" t="s">
        <v>829</v>
      </c>
      <c r="U631">
        <v>56.64</v>
      </c>
      <c r="V631">
        <v>3.54</v>
      </c>
    </row>
    <row r="632" spans="1:22" x14ac:dyDescent="0.35">
      <c r="A632" t="s">
        <v>2046</v>
      </c>
      <c r="B632" t="s">
        <v>1157</v>
      </c>
      <c r="C632" t="s">
        <v>423</v>
      </c>
      <c r="D632" t="s">
        <v>424</v>
      </c>
      <c r="E632" t="s">
        <v>637</v>
      </c>
      <c r="F632" t="s">
        <v>235</v>
      </c>
      <c r="G632" t="s">
        <v>14</v>
      </c>
      <c r="H632" t="s">
        <v>48</v>
      </c>
      <c r="I632" t="s">
        <v>54</v>
      </c>
      <c r="J632" t="s">
        <v>786</v>
      </c>
      <c r="K632" t="s">
        <v>817</v>
      </c>
      <c r="L632" t="s">
        <v>818</v>
      </c>
      <c r="M632" s="5">
        <v>45805</v>
      </c>
      <c r="O632">
        <v>1</v>
      </c>
      <c r="P632">
        <v>21.67</v>
      </c>
      <c r="Q632">
        <v>28.17</v>
      </c>
      <c r="R632">
        <v>0</v>
      </c>
      <c r="S632">
        <v>28.17</v>
      </c>
      <c r="T632" t="s">
        <v>876</v>
      </c>
      <c r="U632">
        <v>21.67</v>
      </c>
      <c r="V632">
        <v>6.5</v>
      </c>
    </row>
    <row r="633" spans="1:22" x14ac:dyDescent="0.35">
      <c r="A633" t="s">
        <v>2048</v>
      </c>
      <c r="B633" t="s">
        <v>1645</v>
      </c>
      <c r="C633" t="s">
        <v>446</v>
      </c>
      <c r="D633" t="s">
        <v>447</v>
      </c>
      <c r="E633" t="s">
        <v>637</v>
      </c>
      <c r="F633" t="s">
        <v>243</v>
      </c>
      <c r="G633" t="s">
        <v>797</v>
      </c>
      <c r="H633" t="s">
        <v>20</v>
      </c>
      <c r="I633" t="s">
        <v>39</v>
      </c>
      <c r="J633" t="s">
        <v>813</v>
      </c>
      <c r="K633" t="s">
        <v>799</v>
      </c>
      <c r="L633" t="s">
        <v>800</v>
      </c>
      <c r="M633" s="5">
        <v>45989</v>
      </c>
      <c r="N633" s="5">
        <v>45995</v>
      </c>
      <c r="O633">
        <v>5</v>
      </c>
      <c r="P633">
        <v>9.5</v>
      </c>
      <c r="Q633">
        <v>12.83</v>
      </c>
      <c r="R633">
        <v>0.15</v>
      </c>
      <c r="S633">
        <v>54.53</v>
      </c>
      <c r="T633" t="s">
        <v>963</v>
      </c>
      <c r="U633">
        <v>47.5</v>
      </c>
      <c r="V633">
        <v>7.03</v>
      </c>
    </row>
    <row r="634" spans="1:22" x14ac:dyDescent="0.35">
      <c r="A634" t="s">
        <v>2049</v>
      </c>
      <c r="B634" t="s">
        <v>872</v>
      </c>
      <c r="C634" t="s">
        <v>342</v>
      </c>
      <c r="D634" t="s">
        <v>245</v>
      </c>
      <c r="E634" t="s">
        <v>633</v>
      </c>
      <c r="F634" t="s">
        <v>235</v>
      </c>
      <c r="G634" t="s">
        <v>20</v>
      </c>
      <c r="H634" t="s">
        <v>20</v>
      </c>
      <c r="I634" t="s">
        <v>163</v>
      </c>
      <c r="J634" t="s">
        <v>798</v>
      </c>
      <c r="K634" t="s">
        <v>799</v>
      </c>
      <c r="L634" t="s">
        <v>800</v>
      </c>
      <c r="M634" s="5">
        <v>45702</v>
      </c>
      <c r="N634" s="5">
        <v>45698</v>
      </c>
      <c r="O634">
        <v>2</v>
      </c>
      <c r="P634">
        <v>55.3</v>
      </c>
      <c r="Q634">
        <v>74.66</v>
      </c>
      <c r="R634">
        <v>0.05</v>
      </c>
      <c r="S634">
        <v>141.85</v>
      </c>
      <c r="T634" t="s">
        <v>869</v>
      </c>
      <c r="U634">
        <v>110.6</v>
      </c>
      <c r="V634">
        <v>31.25</v>
      </c>
    </row>
    <row r="635" spans="1:22" x14ac:dyDescent="0.35">
      <c r="A635" t="s">
        <v>2050</v>
      </c>
      <c r="B635" t="s">
        <v>1193</v>
      </c>
      <c r="C635" t="s">
        <v>487</v>
      </c>
      <c r="D635" t="s">
        <v>488</v>
      </c>
      <c r="E635" t="s">
        <v>681</v>
      </c>
      <c r="F635" t="s">
        <v>243</v>
      </c>
      <c r="G635" t="s">
        <v>14</v>
      </c>
      <c r="H635" t="s">
        <v>79</v>
      </c>
      <c r="I635" t="s">
        <v>166</v>
      </c>
      <c r="J635" t="s">
        <v>786</v>
      </c>
      <c r="K635" t="s">
        <v>793</v>
      </c>
      <c r="L635" t="s">
        <v>788</v>
      </c>
      <c r="M635" s="5">
        <v>45897</v>
      </c>
      <c r="O635">
        <v>1</v>
      </c>
      <c r="P635">
        <v>15.73</v>
      </c>
      <c r="Q635">
        <v>19.66</v>
      </c>
      <c r="R635">
        <v>0.15</v>
      </c>
      <c r="S635">
        <v>16.71</v>
      </c>
      <c r="T635" t="s">
        <v>869</v>
      </c>
      <c r="U635">
        <v>15.73</v>
      </c>
      <c r="V635">
        <v>0.98</v>
      </c>
    </row>
    <row r="636" spans="1:22" x14ac:dyDescent="0.35">
      <c r="A636" t="s">
        <v>2051</v>
      </c>
      <c r="B636" t="s">
        <v>2052</v>
      </c>
      <c r="C636" t="s">
        <v>596</v>
      </c>
      <c r="D636" t="s">
        <v>443</v>
      </c>
      <c r="E636" t="s">
        <v>637</v>
      </c>
      <c r="F636" t="s">
        <v>264</v>
      </c>
      <c r="G636" t="s">
        <v>14</v>
      </c>
      <c r="H636" t="s">
        <v>43</v>
      </c>
      <c r="I636" t="s">
        <v>171</v>
      </c>
      <c r="J636" t="s">
        <v>798</v>
      </c>
      <c r="K636" t="s">
        <v>817</v>
      </c>
      <c r="L636" t="s">
        <v>788</v>
      </c>
      <c r="M636" s="5">
        <v>45308</v>
      </c>
      <c r="O636">
        <v>20</v>
      </c>
      <c r="P636">
        <v>29.39</v>
      </c>
      <c r="Q636">
        <v>39.68</v>
      </c>
      <c r="R636">
        <v>0.05</v>
      </c>
      <c r="S636">
        <v>753.92</v>
      </c>
      <c r="T636" t="s">
        <v>876</v>
      </c>
      <c r="U636">
        <v>587.79999999999995</v>
      </c>
      <c r="V636">
        <v>166.12</v>
      </c>
    </row>
    <row r="637" spans="1:22" x14ac:dyDescent="0.35">
      <c r="A637" t="s">
        <v>2053</v>
      </c>
      <c r="B637" t="s">
        <v>1116</v>
      </c>
      <c r="C637" t="s">
        <v>286</v>
      </c>
      <c r="D637" t="s">
        <v>287</v>
      </c>
      <c r="E637" t="s">
        <v>254</v>
      </c>
      <c r="F637" t="s">
        <v>264</v>
      </c>
      <c r="G637" t="s">
        <v>797</v>
      </c>
      <c r="H637" t="s">
        <v>8</v>
      </c>
      <c r="I637" t="s">
        <v>181</v>
      </c>
      <c r="J637" t="s">
        <v>798</v>
      </c>
      <c r="K637" t="s">
        <v>822</v>
      </c>
      <c r="L637" t="s">
        <v>842</v>
      </c>
      <c r="M637" s="5">
        <v>45994</v>
      </c>
      <c r="N637" s="5">
        <v>45993</v>
      </c>
      <c r="O637">
        <v>10</v>
      </c>
      <c r="P637">
        <v>20.49</v>
      </c>
      <c r="Q637">
        <v>29.71</v>
      </c>
      <c r="R637">
        <v>0.1</v>
      </c>
      <c r="S637">
        <v>267.39</v>
      </c>
      <c r="T637" t="s">
        <v>869</v>
      </c>
      <c r="U637">
        <v>204.9</v>
      </c>
      <c r="V637">
        <v>62.49</v>
      </c>
    </row>
    <row r="638" spans="1:22" x14ac:dyDescent="0.35">
      <c r="A638" t="s">
        <v>2054</v>
      </c>
      <c r="B638" t="s">
        <v>1224</v>
      </c>
      <c r="C638" t="s">
        <v>353</v>
      </c>
      <c r="D638" t="s">
        <v>258</v>
      </c>
      <c r="E638" t="s">
        <v>681</v>
      </c>
      <c r="F638" t="s">
        <v>264</v>
      </c>
      <c r="G638" t="s">
        <v>20</v>
      </c>
      <c r="H638" t="s">
        <v>38</v>
      </c>
      <c r="I638" t="s">
        <v>109</v>
      </c>
      <c r="J638" t="s">
        <v>798</v>
      </c>
      <c r="K638" t="s">
        <v>787</v>
      </c>
      <c r="L638" t="s">
        <v>818</v>
      </c>
      <c r="M638" s="5">
        <v>45906</v>
      </c>
      <c r="O638">
        <v>12</v>
      </c>
      <c r="P638">
        <v>29.32</v>
      </c>
      <c r="Q638">
        <v>36.65</v>
      </c>
      <c r="R638">
        <v>0.05</v>
      </c>
      <c r="S638">
        <v>417.81</v>
      </c>
      <c r="T638" t="s">
        <v>859</v>
      </c>
      <c r="U638">
        <v>351.84</v>
      </c>
      <c r="V638">
        <v>65.97</v>
      </c>
    </row>
    <row r="639" spans="1:22" x14ac:dyDescent="0.35">
      <c r="A639" t="s">
        <v>2055</v>
      </c>
      <c r="B639" t="s">
        <v>1199</v>
      </c>
      <c r="C639" t="s">
        <v>364</v>
      </c>
      <c r="D639" t="s">
        <v>365</v>
      </c>
      <c r="E639" t="s">
        <v>681</v>
      </c>
      <c r="F639" t="s">
        <v>243</v>
      </c>
      <c r="G639" t="s">
        <v>20</v>
      </c>
      <c r="H639" t="s">
        <v>8</v>
      </c>
      <c r="I639" t="s">
        <v>207</v>
      </c>
      <c r="J639" t="s">
        <v>786</v>
      </c>
      <c r="K639" t="s">
        <v>817</v>
      </c>
      <c r="L639" t="s">
        <v>842</v>
      </c>
      <c r="M639" s="5">
        <v>46010</v>
      </c>
      <c r="O639">
        <v>20</v>
      </c>
      <c r="P639">
        <v>8.5399999999999991</v>
      </c>
      <c r="Q639">
        <v>10.67</v>
      </c>
      <c r="R639">
        <v>0.05</v>
      </c>
      <c r="S639">
        <v>202.73</v>
      </c>
      <c r="T639" t="s">
        <v>869</v>
      </c>
      <c r="U639">
        <v>170.8</v>
      </c>
      <c r="V639">
        <v>31.93</v>
      </c>
    </row>
    <row r="640" spans="1:22" x14ac:dyDescent="0.35">
      <c r="A640" t="s">
        <v>2056</v>
      </c>
      <c r="B640" t="s">
        <v>1556</v>
      </c>
      <c r="C640" t="s">
        <v>563</v>
      </c>
      <c r="D640" t="s">
        <v>311</v>
      </c>
      <c r="E640" t="s">
        <v>681</v>
      </c>
      <c r="F640" t="s">
        <v>264</v>
      </c>
      <c r="G640" t="s">
        <v>797</v>
      </c>
      <c r="H640" t="s">
        <v>79</v>
      </c>
      <c r="I640" t="s">
        <v>220</v>
      </c>
      <c r="J640" t="s">
        <v>813</v>
      </c>
      <c r="K640" t="s">
        <v>787</v>
      </c>
      <c r="L640" t="s">
        <v>842</v>
      </c>
      <c r="M640" s="5">
        <v>45686</v>
      </c>
      <c r="O640">
        <v>3</v>
      </c>
      <c r="P640">
        <v>46</v>
      </c>
      <c r="Q640">
        <v>62.1</v>
      </c>
      <c r="R640">
        <v>0.05</v>
      </c>
      <c r="S640">
        <v>176.99</v>
      </c>
      <c r="T640" t="s">
        <v>869</v>
      </c>
      <c r="U640">
        <v>138</v>
      </c>
      <c r="V640">
        <v>38.99</v>
      </c>
    </row>
    <row r="641" spans="1:22" x14ac:dyDescent="0.35">
      <c r="A641" t="s">
        <v>2057</v>
      </c>
      <c r="B641" t="s">
        <v>1041</v>
      </c>
      <c r="C641" t="s">
        <v>388</v>
      </c>
      <c r="D641" t="s">
        <v>389</v>
      </c>
      <c r="E641" t="s">
        <v>254</v>
      </c>
      <c r="F641" t="s">
        <v>243</v>
      </c>
      <c r="G641" t="s">
        <v>14</v>
      </c>
      <c r="H641" t="s">
        <v>8</v>
      </c>
      <c r="I641" t="s">
        <v>212</v>
      </c>
      <c r="J641" t="s">
        <v>786</v>
      </c>
      <c r="K641" t="s">
        <v>799</v>
      </c>
      <c r="L641" t="s">
        <v>842</v>
      </c>
      <c r="M641" s="5">
        <v>45990</v>
      </c>
      <c r="N641" s="5">
        <v>45983</v>
      </c>
      <c r="O641">
        <v>5</v>
      </c>
      <c r="P641">
        <v>95.09</v>
      </c>
      <c r="Q641">
        <v>133.13</v>
      </c>
      <c r="R641">
        <v>0.1</v>
      </c>
      <c r="S641">
        <v>599.09</v>
      </c>
      <c r="T641" t="s">
        <v>810</v>
      </c>
      <c r="U641">
        <v>475.45</v>
      </c>
      <c r="V641">
        <v>123.64</v>
      </c>
    </row>
    <row r="642" spans="1:22" x14ac:dyDescent="0.35">
      <c r="A642" t="s">
        <v>2058</v>
      </c>
      <c r="B642" t="s">
        <v>1191</v>
      </c>
      <c r="C642" t="s">
        <v>588</v>
      </c>
      <c r="D642" t="s">
        <v>435</v>
      </c>
      <c r="E642" t="s">
        <v>696</v>
      </c>
      <c r="F642" t="s">
        <v>264</v>
      </c>
      <c r="G642" t="s">
        <v>797</v>
      </c>
      <c r="H642" t="s">
        <v>8</v>
      </c>
      <c r="I642" t="s">
        <v>162</v>
      </c>
      <c r="J642" t="s">
        <v>813</v>
      </c>
      <c r="K642" t="s">
        <v>793</v>
      </c>
      <c r="L642" t="s">
        <v>788</v>
      </c>
      <c r="M642" s="5">
        <v>45790</v>
      </c>
      <c r="O642">
        <v>1</v>
      </c>
      <c r="P642">
        <v>29.86</v>
      </c>
      <c r="Q642">
        <v>38.82</v>
      </c>
      <c r="R642">
        <v>0.05</v>
      </c>
      <c r="S642">
        <v>36.880000000000003</v>
      </c>
      <c r="T642" t="s">
        <v>1001</v>
      </c>
      <c r="U642">
        <v>29.86</v>
      </c>
      <c r="V642">
        <v>7.02</v>
      </c>
    </row>
    <row r="643" spans="1:22" x14ac:dyDescent="0.35">
      <c r="A643" t="s">
        <v>2059</v>
      </c>
      <c r="B643" t="s">
        <v>808</v>
      </c>
      <c r="C643" t="s">
        <v>534</v>
      </c>
      <c r="D643" t="s">
        <v>535</v>
      </c>
      <c r="E643" t="s">
        <v>637</v>
      </c>
      <c r="G643" t="s">
        <v>14</v>
      </c>
      <c r="H643" t="s">
        <v>29</v>
      </c>
      <c r="I643" t="s">
        <v>183</v>
      </c>
      <c r="J643" t="s">
        <v>786</v>
      </c>
      <c r="K643" t="s">
        <v>799</v>
      </c>
      <c r="L643" t="s">
        <v>842</v>
      </c>
      <c r="M643" s="5">
        <v>45326</v>
      </c>
      <c r="N643" s="5">
        <v>45314</v>
      </c>
      <c r="O643">
        <v>10</v>
      </c>
      <c r="P643">
        <v>10.97</v>
      </c>
      <c r="Q643">
        <v>15.91</v>
      </c>
      <c r="R643">
        <v>0</v>
      </c>
      <c r="S643">
        <v>159.1</v>
      </c>
      <c r="T643" t="s">
        <v>825</v>
      </c>
      <c r="U643">
        <v>109.7</v>
      </c>
      <c r="V643">
        <v>49.4</v>
      </c>
    </row>
    <row r="644" spans="1:22" x14ac:dyDescent="0.35">
      <c r="A644" t="s">
        <v>2061</v>
      </c>
      <c r="B644" t="s">
        <v>1746</v>
      </c>
      <c r="C644" t="s">
        <v>585</v>
      </c>
      <c r="D644" t="s">
        <v>586</v>
      </c>
      <c r="E644" t="s">
        <v>674</v>
      </c>
      <c r="F644" t="s">
        <v>235</v>
      </c>
      <c r="G644" t="s">
        <v>797</v>
      </c>
      <c r="H644" t="s">
        <v>79</v>
      </c>
      <c r="I644" t="s">
        <v>220</v>
      </c>
      <c r="J644" t="s">
        <v>798</v>
      </c>
      <c r="K644" t="s">
        <v>793</v>
      </c>
      <c r="L644" t="s">
        <v>842</v>
      </c>
      <c r="M644" s="5">
        <v>45484</v>
      </c>
      <c r="O644">
        <v>10</v>
      </c>
      <c r="P644">
        <v>46</v>
      </c>
      <c r="Q644">
        <v>62.1</v>
      </c>
      <c r="R644">
        <v>0</v>
      </c>
      <c r="S644">
        <v>621</v>
      </c>
      <c r="T644" t="s">
        <v>803</v>
      </c>
      <c r="U644">
        <v>460</v>
      </c>
      <c r="V644">
        <v>161</v>
      </c>
    </row>
    <row r="645" spans="1:22" x14ac:dyDescent="0.35">
      <c r="A645" t="s">
        <v>2062</v>
      </c>
      <c r="B645" t="s">
        <v>1439</v>
      </c>
      <c r="C645" t="s">
        <v>358</v>
      </c>
      <c r="D645" t="s">
        <v>287</v>
      </c>
      <c r="E645" t="s">
        <v>254</v>
      </c>
      <c r="F645" t="s">
        <v>243</v>
      </c>
      <c r="G645" t="s">
        <v>14</v>
      </c>
      <c r="H645" t="s">
        <v>20</v>
      </c>
      <c r="I645" t="s">
        <v>134</v>
      </c>
      <c r="J645" t="s">
        <v>786</v>
      </c>
      <c r="K645" t="s">
        <v>787</v>
      </c>
      <c r="L645" t="s">
        <v>842</v>
      </c>
      <c r="M645" s="5">
        <v>45517</v>
      </c>
      <c r="O645">
        <v>10</v>
      </c>
      <c r="P645">
        <v>38.36</v>
      </c>
      <c r="Q645">
        <v>53.7</v>
      </c>
      <c r="R645">
        <v>0.1</v>
      </c>
      <c r="S645">
        <v>483.3</v>
      </c>
      <c r="T645" t="s">
        <v>859</v>
      </c>
      <c r="U645">
        <v>383.6</v>
      </c>
      <c r="V645">
        <v>99.7</v>
      </c>
    </row>
    <row r="646" spans="1:22" x14ac:dyDescent="0.35">
      <c r="A646" t="s">
        <v>2063</v>
      </c>
      <c r="B646" t="s">
        <v>1822</v>
      </c>
      <c r="C646" t="s">
        <v>362</v>
      </c>
      <c r="D646" t="s">
        <v>363</v>
      </c>
      <c r="E646" t="s">
        <v>696</v>
      </c>
      <c r="F646" t="s">
        <v>235</v>
      </c>
      <c r="G646" t="s">
        <v>48</v>
      </c>
      <c r="H646" t="s">
        <v>29</v>
      </c>
      <c r="I646" t="s">
        <v>183</v>
      </c>
      <c r="J646" t="s">
        <v>798</v>
      </c>
      <c r="K646" t="s">
        <v>793</v>
      </c>
      <c r="L646" t="s">
        <v>842</v>
      </c>
      <c r="M646" s="5">
        <v>45671</v>
      </c>
      <c r="O646">
        <v>1</v>
      </c>
      <c r="P646">
        <v>10.97</v>
      </c>
      <c r="Q646">
        <v>15.91</v>
      </c>
      <c r="R646">
        <v>0.1</v>
      </c>
      <c r="S646">
        <v>14.32</v>
      </c>
      <c r="T646" t="s">
        <v>859</v>
      </c>
      <c r="U646">
        <v>10.97</v>
      </c>
      <c r="V646">
        <v>3.35</v>
      </c>
    </row>
    <row r="647" spans="1:22" x14ac:dyDescent="0.35">
      <c r="A647" t="s">
        <v>2064</v>
      </c>
      <c r="B647" t="s">
        <v>824</v>
      </c>
      <c r="C647" t="s">
        <v>487</v>
      </c>
      <c r="D647" t="s">
        <v>488</v>
      </c>
      <c r="E647" t="s">
        <v>674</v>
      </c>
      <c r="F647" t="s">
        <v>243</v>
      </c>
      <c r="G647" t="s">
        <v>14</v>
      </c>
      <c r="H647" t="s">
        <v>14</v>
      </c>
      <c r="I647" t="s">
        <v>90</v>
      </c>
      <c r="J647" t="s">
        <v>798</v>
      </c>
      <c r="K647" t="s">
        <v>799</v>
      </c>
      <c r="L647" t="s">
        <v>800</v>
      </c>
      <c r="M647" s="5">
        <v>45973</v>
      </c>
      <c r="N647" s="5">
        <v>45975</v>
      </c>
      <c r="O647">
        <v>12</v>
      </c>
      <c r="P647">
        <v>27.34</v>
      </c>
      <c r="Q647">
        <v>39.64</v>
      </c>
      <c r="R647">
        <v>0.1</v>
      </c>
      <c r="S647">
        <v>428.11</v>
      </c>
      <c r="T647" t="s">
        <v>790</v>
      </c>
      <c r="U647">
        <v>328.08</v>
      </c>
      <c r="V647">
        <v>100.03</v>
      </c>
    </row>
    <row r="648" spans="1:22" x14ac:dyDescent="0.35">
      <c r="A648" t="s">
        <v>2065</v>
      </c>
      <c r="B648" t="s">
        <v>841</v>
      </c>
      <c r="C648" t="s">
        <v>574</v>
      </c>
      <c r="D648" t="s">
        <v>458</v>
      </c>
      <c r="E648" t="s">
        <v>637</v>
      </c>
      <c r="G648" t="s">
        <v>797</v>
      </c>
      <c r="H648" t="s">
        <v>14</v>
      </c>
      <c r="I648" t="s">
        <v>90</v>
      </c>
      <c r="J648" t="s">
        <v>813</v>
      </c>
      <c r="K648" t="s">
        <v>787</v>
      </c>
      <c r="L648" t="s">
        <v>788</v>
      </c>
      <c r="M648" s="5">
        <v>45509</v>
      </c>
      <c r="O648">
        <v>2</v>
      </c>
      <c r="P648">
        <v>27.34</v>
      </c>
      <c r="Q648">
        <v>39.64</v>
      </c>
      <c r="R648">
        <v>0</v>
      </c>
      <c r="S648">
        <v>79.28</v>
      </c>
      <c r="T648" t="s">
        <v>946</v>
      </c>
      <c r="U648">
        <v>54.68</v>
      </c>
      <c r="V648">
        <v>24.6</v>
      </c>
    </row>
    <row r="649" spans="1:22" x14ac:dyDescent="0.35">
      <c r="A649" t="s">
        <v>2066</v>
      </c>
      <c r="B649" t="s">
        <v>2067</v>
      </c>
      <c r="C649" t="s">
        <v>550</v>
      </c>
      <c r="D649" t="s">
        <v>408</v>
      </c>
      <c r="E649" t="s">
        <v>633</v>
      </c>
      <c r="F649" t="s">
        <v>243</v>
      </c>
      <c r="G649" t="s">
        <v>797</v>
      </c>
      <c r="H649" t="s">
        <v>43</v>
      </c>
      <c r="I649" t="s">
        <v>215</v>
      </c>
      <c r="J649" t="s">
        <v>798</v>
      </c>
      <c r="K649" t="s">
        <v>793</v>
      </c>
      <c r="L649" t="s">
        <v>800</v>
      </c>
      <c r="M649" s="5">
        <v>45864</v>
      </c>
      <c r="O649">
        <v>10</v>
      </c>
      <c r="P649">
        <v>28.96</v>
      </c>
      <c r="Q649">
        <v>40.54</v>
      </c>
      <c r="R649">
        <v>0</v>
      </c>
      <c r="S649">
        <v>405.4</v>
      </c>
      <c r="T649" t="s">
        <v>935</v>
      </c>
      <c r="U649">
        <v>289.60000000000002</v>
      </c>
      <c r="V649">
        <v>115.8</v>
      </c>
    </row>
    <row r="650" spans="1:22" x14ac:dyDescent="0.35">
      <c r="A650" t="s">
        <v>2068</v>
      </c>
      <c r="B650" t="s">
        <v>1011</v>
      </c>
      <c r="C650" t="s">
        <v>467</v>
      </c>
      <c r="D650" t="s">
        <v>468</v>
      </c>
      <c r="E650" t="s">
        <v>696</v>
      </c>
      <c r="F650" t="s">
        <v>235</v>
      </c>
      <c r="G650" t="s">
        <v>797</v>
      </c>
      <c r="H650" t="s">
        <v>14</v>
      </c>
      <c r="I650" t="s">
        <v>56</v>
      </c>
      <c r="J650" t="s">
        <v>798</v>
      </c>
      <c r="K650" t="s">
        <v>793</v>
      </c>
      <c r="L650" t="s">
        <v>788</v>
      </c>
      <c r="M650" s="5">
        <v>45964</v>
      </c>
      <c r="O650">
        <v>12</v>
      </c>
      <c r="P650">
        <v>25.46</v>
      </c>
      <c r="Q650">
        <v>31.83</v>
      </c>
      <c r="R650">
        <v>0.1</v>
      </c>
      <c r="S650">
        <v>343.76</v>
      </c>
      <c r="T650" t="s">
        <v>963</v>
      </c>
      <c r="U650">
        <v>305.52</v>
      </c>
      <c r="V650">
        <v>38.24</v>
      </c>
    </row>
    <row r="651" spans="1:22" x14ac:dyDescent="0.35">
      <c r="A651" t="s">
        <v>2069</v>
      </c>
      <c r="B651" t="s">
        <v>1112</v>
      </c>
      <c r="C651" t="s">
        <v>599</v>
      </c>
      <c r="D651" t="s">
        <v>600</v>
      </c>
      <c r="E651" t="s">
        <v>633</v>
      </c>
      <c r="F651" t="s">
        <v>243</v>
      </c>
      <c r="G651" t="s">
        <v>48</v>
      </c>
      <c r="H651" t="s">
        <v>8</v>
      </c>
      <c r="I651" t="s">
        <v>129</v>
      </c>
      <c r="J651" t="s">
        <v>798</v>
      </c>
      <c r="K651" t="s">
        <v>793</v>
      </c>
      <c r="L651" t="s">
        <v>800</v>
      </c>
      <c r="M651" s="5">
        <v>45371</v>
      </c>
      <c r="O651">
        <v>1</v>
      </c>
      <c r="P651">
        <v>22.15</v>
      </c>
      <c r="Q651">
        <v>31.01</v>
      </c>
      <c r="R651">
        <v>0.1</v>
      </c>
      <c r="S651">
        <v>27.91</v>
      </c>
      <c r="T651" t="s">
        <v>825</v>
      </c>
      <c r="U651">
        <v>22.15</v>
      </c>
      <c r="V651">
        <v>5.76</v>
      </c>
    </row>
    <row r="652" spans="1:22" x14ac:dyDescent="0.35">
      <c r="A652" t="s">
        <v>2070</v>
      </c>
      <c r="B652" t="s">
        <v>1812</v>
      </c>
      <c r="C652" t="s">
        <v>554</v>
      </c>
      <c r="D652" t="s">
        <v>445</v>
      </c>
      <c r="E652" t="s">
        <v>674</v>
      </c>
      <c r="F652" t="s">
        <v>235</v>
      </c>
      <c r="G652" t="s">
        <v>797</v>
      </c>
      <c r="H652" t="s">
        <v>38</v>
      </c>
      <c r="I652" t="s">
        <v>206</v>
      </c>
      <c r="J652" t="s">
        <v>813</v>
      </c>
      <c r="K652" t="s">
        <v>817</v>
      </c>
      <c r="L652" t="s">
        <v>818</v>
      </c>
      <c r="M652" s="5">
        <v>45958</v>
      </c>
      <c r="O652">
        <v>5</v>
      </c>
      <c r="P652">
        <v>23.55</v>
      </c>
      <c r="Q652">
        <v>31.79</v>
      </c>
      <c r="R652">
        <v>0.05</v>
      </c>
      <c r="S652">
        <v>151</v>
      </c>
      <c r="T652" t="s">
        <v>839</v>
      </c>
      <c r="U652">
        <v>117.75</v>
      </c>
      <c r="V652">
        <v>33.25</v>
      </c>
    </row>
    <row r="653" spans="1:22" x14ac:dyDescent="0.35">
      <c r="A653" t="s">
        <v>2071</v>
      </c>
      <c r="B653" t="s">
        <v>2072</v>
      </c>
      <c r="C653" t="s">
        <v>306</v>
      </c>
      <c r="D653" t="s">
        <v>307</v>
      </c>
      <c r="E653" t="s">
        <v>633</v>
      </c>
      <c r="G653" t="s">
        <v>797</v>
      </c>
      <c r="H653" t="s">
        <v>48</v>
      </c>
      <c r="I653" t="s">
        <v>139</v>
      </c>
      <c r="J653" t="s">
        <v>813</v>
      </c>
      <c r="K653" t="s">
        <v>799</v>
      </c>
      <c r="L653" t="s">
        <v>842</v>
      </c>
      <c r="M653" s="5">
        <v>45913</v>
      </c>
      <c r="N653" s="5">
        <v>45912</v>
      </c>
      <c r="O653">
        <v>5</v>
      </c>
      <c r="P653">
        <v>29.93</v>
      </c>
      <c r="Q653">
        <v>41.9</v>
      </c>
      <c r="R653">
        <v>0</v>
      </c>
      <c r="S653">
        <v>209.5</v>
      </c>
      <c r="T653" t="s">
        <v>869</v>
      </c>
      <c r="U653">
        <v>149.65</v>
      </c>
      <c r="V653">
        <v>59.85</v>
      </c>
    </row>
    <row r="654" spans="1:22" x14ac:dyDescent="0.35">
      <c r="A654" t="s">
        <v>2073</v>
      </c>
      <c r="B654" t="s">
        <v>1351</v>
      </c>
      <c r="C654" t="s">
        <v>616</v>
      </c>
      <c r="D654" t="s">
        <v>231</v>
      </c>
      <c r="E654" t="s">
        <v>633</v>
      </c>
      <c r="F654" t="s">
        <v>264</v>
      </c>
      <c r="G654" t="s">
        <v>797</v>
      </c>
      <c r="H654" t="s">
        <v>14</v>
      </c>
      <c r="I654" t="s">
        <v>93</v>
      </c>
      <c r="J654" t="s">
        <v>786</v>
      </c>
      <c r="K654" t="s">
        <v>793</v>
      </c>
      <c r="L654" t="s">
        <v>842</v>
      </c>
      <c r="M654" s="5">
        <v>45677</v>
      </c>
      <c r="O654">
        <v>3</v>
      </c>
      <c r="P654">
        <v>26.96</v>
      </c>
      <c r="Q654">
        <v>37.74</v>
      </c>
      <c r="R654">
        <v>0.05</v>
      </c>
      <c r="S654">
        <v>107.56</v>
      </c>
      <c r="T654" t="s">
        <v>794</v>
      </c>
      <c r="U654">
        <v>80.88</v>
      </c>
      <c r="V654">
        <v>26.68</v>
      </c>
    </row>
    <row r="655" spans="1:22" x14ac:dyDescent="0.35">
      <c r="A655" t="s">
        <v>2074</v>
      </c>
      <c r="B655" t="s">
        <v>1347</v>
      </c>
      <c r="C655" t="s">
        <v>337</v>
      </c>
      <c r="D655" t="s">
        <v>338</v>
      </c>
      <c r="E655" t="s">
        <v>674</v>
      </c>
      <c r="F655" t="s">
        <v>243</v>
      </c>
      <c r="G655" t="s">
        <v>14</v>
      </c>
      <c r="H655" t="s">
        <v>14</v>
      </c>
      <c r="I655" t="s">
        <v>186</v>
      </c>
      <c r="J655" t="s">
        <v>786</v>
      </c>
      <c r="K655" t="s">
        <v>799</v>
      </c>
      <c r="L655" t="s">
        <v>818</v>
      </c>
      <c r="M655" s="5">
        <v>45693</v>
      </c>
      <c r="N655" s="5">
        <v>45685</v>
      </c>
      <c r="O655">
        <v>5</v>
      </c>
      <c r="P655">
        <v>28.32</v>
      </c>
      <c r="Q655">
        <v>35.4</v>
      </c>
      <c r="R655">
        <v>0</v>
      </c>
      <c r="S655">
        <v>177</v>
      </c>
      <c r="T655" t="s">
        <v>892</v>
      </c>
      <c r="U655">
        <v>141.6</v>
      </c>
      <c r="V655">
        <v>35.4</v>
      </c>
    </row>
    <row r="656" spans="1:22" x14ac:dyDescent="0.35">
      <c r="A656" t="s">
        <v>2075</v>
      </c>
      <c r="B656" t="s">
        <v>2076</v>
      </c>
      <c r="C656" t="s">
        <v>416</v>
      </c>
      <c r="D656" t="s">
        <v>417</v>
      </c>
      <c r="E656" t="s">
        <v>627</v>
      </c>
      <c r="F656" t="s">
        <v>264</v>
      </c>
      <c r="G656" t="s">
        <v>797</v>
      </c>
      <c r="H656" t="s">
        <v>38</v>
      </c>
      <c r="I656" t="s">
        <v>117</v>
      </c>
      <c r="J656" t="s">
        <v>813</v>
      </c>
      <c r="K656" t="s">
        <v>787</v>
      </c>
      <c r="L656" t="s">
        <v>800</v>
      </c>
      <c r="M656" s="5">
        <v>46012</v>
      </c>
      <c r="O656">
        <v>2</v>
      </c>
      <c r="P656">
        <v>43.25</v>
      </c>
      <c r="Q656">
        <v>60.55</v>
      </c>
      <c r="R656">
        <v>0.05</v>
      </c>
      <c r="S656">
        <v>115.04</v>
      </c>
      <c r="T656" t="s">
        <v>810</v>
      </c>
      <c r="U656">
        <v>86.5</v>
      </c>
      <c r="V656">
        <v>28.54</v>
      </c>
    </row>
    <row r="657" spans="1:22" x14ac:dyDescent="0.35">
      <c r="A657" t="s">
        <v>2077</v>
      </c>
      <c r="B657" t="s">
        <v>1497</v>
      </c>
      <c r="C657" t="s">
        <v>532</v>
      </c>
      <c r="D657" t="s">
        <v>533</v>
      </c>
      <c r="E657" t="s">
        <v>627</v>
      </c>
      <c r="F657" t="s">
        <v>235</v>
      </c>
      <c r="G657" t="s">
        <v>20</v>
      </c>
      <c r="H657" t="s">
        <v>38</v>
      </c>
      <c r="I657" t="s">
        <v>165</v>
      </c>
      <c r="J657" t="s">
        <v>798</v>
      </c>
      <c r="K657" t="s">
        <v>799</v>
      </c>
      <c r="L657" t="s">
        <v>800</v>
      </c>
      <c r="M657" s="5">
        <v>45652</v>
      </c>
      <c r="N657" s="5">
        <v>45654</v>
      </c>
      <c r="O657">
        <v>2</v>
      </c>
      <c r="P657">
        <v>18.45</v>
      </c>
      <c r="Q657">
        <v>25.83</v>
      </c>
      <c r="R657">
        <v>0</v>
      </c>
      <c r="S657">
        <v>51.66</v>
      </c>
      <c r="T657" t="s">
        <v>825</v>
      </c>
      <c r="U657">
        <v>36.9</v>
      </c>
      <c r="V657">
        <v>14.76</v>
      </c>
    </row>
    <row r="658" spans="1:22" x14ac:dyDescent="0.35">
      <c r="A658" t="s">
        <v>2078</v>
      </c>
      <c r="B658" t="s">
        <v>1064</v>
      </c>
      <c r="C658" t="s">
        <v>573</v>
      </c>
      <c r="D658" t="s">
        <v>277</v>
      </c>
      <c r="E658" t="s">
        <v>674</v>
      </c>
      <c r="F658" t="s">
        <v>235</v>
      </c>
      <c r="G658" t="s">
        <v>797</v>
      </c>
      <c r="H658" t="s">
        <v>8</v>
      </c>
      <c r="I658" t="s">
        <v>91</v>
      </c>
      <c r="J658" t="s">
        <v>798</v>
      </c>
      <c r="K658" t="s">
        <v>793</v>
      </c>
      <c r="L658" t="s">
        <v>800</v>
      </c>
      <c r="M658" s="5">
        <v>46029</v>
      </c>
      <c r="O658">
        <v>2</v>
      </c>
      <c r="P658">
        <v>36.82</v>
      </c>
      <c r="Q658">
        <v>47.87</v>
      </c>
      <c r="R658">
        <v>0.15</v>
      </c>
      <c r="S658">
        <v>81.38</v>
      </c>
      <c r="T658" t="s">
        <v>794</v>
      </c>
      <c r="U658">
        <v>73.64</v>
      </c>
      <c r="V658">
        <v>7.74</v>
      </c>
    </row>
    <row r="659" spans="1:22" x14ac:dyDescent="0.35">
      <c r="A659" t="s">
        <v>2079</v>
      </c>
      <c r="B659" t="s">
        <v>1645</v>
      </c>
      <c r="C659" t="s">
        <v>475</v>
      </c>
      <c r="D659" t="s">
        <v>476</v>
      </c>
      <c r="E659" t="s">
        <v>681</v>
      </c>
      <c r="F659" t="s">
        <v>243</v>
      </c>
      <c r="G659" t="s">
        <v>14</v>
      </c>
      <c r="H659" t="s">
        <v>8</v>
      </c>
      <c r="I659" t="s">
        <v>192</v>
      </c>
      <c r="J659" t="s">
        <v>798</v>
      </c>
      <c r="K659" t="s">
        <v>793</v>
      </c>
      <c r="L659" t="s">
        <v>818</v>
      </c>
      <c r="M659" s="5">
        <v>45993</v>
      </c>
      <c r="O659">
        <v>5</v>
      </c>
      <c r="P659">
        <v>19.47</v>
      </c>
      <c r="Q659">
        <v>28.23</v>
      </c>
      <c r="R659">
        <v>0.1</v>
      </c>
      <c r="S659">
        <v>127.04</v>
      </c>
      <c r="T659" t="s">
        <v>859</v>
      </c>
      <c r="U659">
        <v>97.35</v>
      </c>
      <c r="V659">
        <v>29.69</v>
      </c>
    </row>
    <row r="660" spans="1:22" x14ac:dyDescent="0.35">
      <c r="A660" t="s">
        <v>2080</v>
      </c>
      <c r="B660" t="s">
        <v>875</v>
      </c>
      <c r="C660" t="s">
        <v>520</v>
      </c>
      <c r="D660" t="s">
        <v>521</v>
      </c>
      <c r="E660" t="s">
        <v>681</v>
      </c>
      <c r="F660" t="s">
        <v>243</v>
      </c>
      <c r="G660" t="s">
        <v>20</v>
      </c>
      <c r="H660" t="s">
        <v>14</v>
      </c>
      <c r="I660" t="s">
        <v>25</v>
      </c>
      <c r="J660" t="s">
        <v>786</v>
      </c>
      <c r="K660" t="s">
        <v>793</v>
      </c>
      <c r="L660" t="s">
        <v>842</v>
      </c>
      <c r="M660" s="5">
        <v>45588</v>
      </c>
      <c r="O660">
        <v>5</v>
      </c>
      <c r="P660">
        <v>18.95</v>
      </c>
      <c r="Q660">
        <v>25.58</v>
      </c>
      <c r="R660">
        <v>0</v>
      </c>
      <c r="S660">
        <v>127.9</v>
      </c>
      <c r="T660" t="s">
        <v>876</v>
      </c>
      <c r="U660">
        <v>94.75</v>
      </c>
      <c r="V660">
        <v>33.15</v>
      </c>
    </row>
    <row r="661" spans="1:22" x14ac:dyDescent="0.35">
      <c r="A661" t="s">
        <v>2081</v>
      </c>
      <c r="B661" t="s">
        <v>969</v>
      </c>
      <c r="C661" t="s">
        <v>564</v>
      </c>
      <c r="D661" t="s">
        <v>526</v>
      </c>
      <c r="E661" t="s">
        <v>254</v>
      </c>
      <c r="F661" t="s">
        <v>243</v>
      </c>
      <c r="G661" t="s">
        <v>797</v>
      </c>
      <c r="H661" t="s">
        <v>43</v>
      </c>
      <c r="I661" t="s">
        <v>141</v>
      </c>
      <c r="J661" t="s">
        <v>798</v>
      </c>
      <c r="K661" t="s">
        <v>787</v>
      </c>
      <c r="L661" t="s">
        <v>842</v>
      </c>
      <c r="M661" s="5">
        <v>45619</v>
      </c>
      <c r="O661">
        <v>1</v>
      </c>
      <c r="P661">
        <v>17.2</v>
      </c>
      <c r="Q661">
        <v>22.36</v>
      </c>
      <c r="R661">
        <v>0</v>
      </c>
      <c r="S661">
        <v>22.36</v>
      </c>
      <c r="T661" t="s">
        <v>859</v>
      </c>
      <c r="U661">
        <v>17.2</v>
      </c>
      <c r="V661">
        <v>5.16</v>
      </c>
    </row>
    <row r="662" spans="1:22" x14ac:dyDescent="0.35">
      <c r="A662" t="s">
        <v>2082</v>
      </c>
      <c r="B662" t="s">
        <v>993</v>
      </c>
      <c r="C662" t="s">
        <v>244</v>
      </c>
      <c r="D662" t="s">
        <v>245</v>
      </c>
      <c r="E662" t="s">
        <v>696</v>
      </c>
      <c r="F662" t="s">
        <v>235</v>
      </c>
      <c r="G662" t="s">
        <v>14</v>
      </c>
      <c r="H662" t="s">
        <v>43</v>
      </c>
      <c r="I662" t="s">
        <v>53</v>
      </c>
      <c r="J662" t="s">
        <v>786</v>
      </c>
      <c r="K662" t="s">
        <v>787</v>
      </c>
      <c r="L662" t="s">
        <v>818</v>
      </c>
      <c r="M662" s="5">
        <v>45873</v>
      </c>
      <c r="O662">
        <v>1</v>
      </c>
      <c r="P662">
        <v>54.93</v>
      </c>
      <c r="Q662">
        <v>79.650000000000006</v>
      </c>
      <c r="R662">
        <v>0.1</v>
      </c>
      <c r="S662">
        <v>71.69</v>
      </c>
      <c r="T662" t="s">
        <v>825</v>
      </c>
      <c r="U662">
        <v>54.93</v>
      </c>
      <c r="V662">
        <v>16.760000000000002</v>
      </c>
    </row>
    <row r="663" spans="1:22" x14ac:dyDescent="0.35">
      <c r="A663" t="s">
        <v>2083</v>
      </c>
      <c r="B663" t="s">
        <v>929</v>
      </c>
      <c r="C663" t="s">
        <v>587</v>
      </c>
      <c r="D663" t="s">
        <v>431</v>
      </c>
      <c r="E663" t="s">
        <v>254</v>
      </c>
      <c r="F663" t="s">
        <v>235</v>
      </c>
      <c r="G663" t="s">
        <v>797</v>
      </c>
      <c r="H663" t="s">
        <v>43</v>
      </c>
      <c r="I663" t="s">
        <v>44</v>
      </c>
      <c r="J663" t="s">
        <v>798</v>
      </c>
      <c r="K663" t="s">
        <v>822</v>
      </c>
      <c r="L663" t="s">
        <v>842</v>
      </c>
      <c r="M663" s="5">
        <v>45992</v>
      </c>
      <c r="N663" s="5">
        <v>45994</v>
      </c>
      <c r="O663">
        <v>2</v>
      </c>
      <c r="P663">
        <v>14.05</v>
      </c>
      <c r="Q663">
        <v>19.670000000000002</v>
      </c>
      <c r="R663">
        <v>0.15</v>
      </c>
      <c r="S663">
        <v>33.44</v>
      </c>
      <c r="T663" t="s">
        <v>876</v>
      </c>
      <c r="U663">
        <v>28.1</v>
      </c>
      <c r="V663">
        <v>5.34</v>
      </c>
    </row>
    <row r="664" spans="1:22" x14ac:dyDescent="0.35">
      <c r="A664" t="s">
        <v>2084</v>
      </c>
      <c r="B664" t="s">
        <v>1497</v>
      </c>
      <c r="C664" t="s">
        <v>603</v>
      </c>
      <c r="D664" t="s">
        <v>508</v>
      </c>
      <c r="E664" t="s">
        <v>681</v>
      </c>
      <c r="F664" t="s">
        <v>264</v>
      </c>
      <c r="G664" t="s">
        <v>48</v>
      </c>
      <c r="H664" t="s">
        <v>43</v>
      </c>
      <c r="I664" t="s">
        <v>58</v>
      </c>
      <c r="J664" t="s">
        <v>786</v>
      </c>
      <c r="K664" t="s">
        <v>822</v>
      </c>
      <c r="L664" t="s">
        <v>842</v>
      </c>
      <c r="M664" s="5">
        <v>45659</v>
      </c>
      <c r="N664" s="5">
        <v>45648</v>
      </c>
      <c r="O664">
        <v>5</v>
      </c>
      <c r="P664">
        <v>11.21</v>
      </c>
      <c r="Q664">
        <v>15.13</v>
      </c>
      <c r="R664">
        <v>0.1</v>
      </c>
      <c r="S664">
        <v>68.09</v>
      </c>
      <c r="T664" t="s">
        <v>845</v>
      </c>
      <c r="U664">
        <v>56.05</v>
      </c>
      <c r="V664">
        <v>12.04</v>
      </c>
    </row>
    <row r="665" spans="1:22" x14ac:dyDescent="0.35">
      <c r="A665" t="s">
        <v>2085</v>
      </c>
      <c r="B665" t="s">
        <v>1587</v>
      </c>
      <c r="C665" t="s">
        <v>388</v>
      </c>
      <c r="D665" t="s">
        <v>389</v>
      </c>
      <c r="E665" t="s">
        <v>674</v>
      </c>
      <c r="F665" t="s">
        <v>243</v>
      </c>
      <c r="G665" t="s">
        <v>797</v>
      </c>
      <c r="H665" t="s">
        <v>43</v>
      </c>
      <c r="I665" t="s">
        <v>161</v>
      </c>
      <c r="J665" t="s">
        <v>786</v>
      </c>
      <c r="K665" t="s">
        <v>799</v>
      </c>
      <c r="L665" t="s">
        <v>842</v>
      </c>
      <c r="M665" s="5">
        <v>45996</v>
      </c>
      <c r="N665" s="5">
        <v>45989</v>
      </c>
      <c r="O665">
        <v>5</v>
      </c>
      <c r="P665">
        <v>21.74</v>
      </c>
      <c r="Q665">
        <v>30.44</v>
      </c>
      <c r="R665">
        <v>0.05</v>
      </c>
      <c r="S665">
        <v>144.59</v>
      </c>
      <c r="T665" t="s">
        <v>819</v>
      </c>
      <c r="U665">
        <v>108.7</v>
      </c>
      <c r="V665">
        <v>35.89</v>
      </c>
    </row>
    <row r="666" spans="1:22" x14ac:dyDescent="0.35">
      <c r="A666" t="s">
        <v>2086</v>
      </c>
      <c r="B666" t="s">
        <v>886</v>
      </c>
      <c r="C666" t="s">
        <v>329</v>
      </c>
      <c r="D666" t="s">
        <v>330</v>
      </c>
      <c r="E666" t="s">
        <v>633</v>
      </c>
      <c r="F666" t="s">
        <v>235</v>
      </c>
      <c r="G666" t="s">
        <v>48</v>
      </c>
      <c r="H666" t="s">
        <v>20</v>
      </c>
      <c r="I666" t="s">
        <v>51</v>
      </c>
      <c r="J666" t="s">
        <v>798</v>
      </c>
      <c r="K666" t="s">
        <v>799</v>
      </c>
      <c r="L666" t="s">
        <v>842</v>
      </c>
      <c r="M666" s="5">
        <v>45473</v>
      </c>
      <c r="N666" s="5">
        <v>45474</v>
      </c>
      <c r="O666">
        <v>20</v>
      </c>
      <c r="P666">
        <v>11.28</v>
      </c>
      <c r="Q666">
        <v>15.23</v>
      </c>
      <c r="R666">
        <v>0</v>
      </c>
      <c r="S666">
        <v>304.60000000000002</v>
      </c>
      <c r="T666" t="s">
        <v>859</v>
      </c>
      <c r="U666">
        <v>225.6</v>
      </c>
      <c r="V666">
        <v>79</v>
      </c>
    </row>
    <row r="667" spans="1:22" x14ac:dyDescent="0.35">
      <c r="A667" t="s">
        <v>2087</v>
      </c>
      <c r="B667" t="s">
        <v>1677</v>
      </c>
      <c r="C667" t="s">
        <v>382</v>
      </c>
      <c r="D667" t="s">
        <v>383</v>
      </c>
      <c r="E667" t="s">
        <v>254</v>
      </c>
      <c r="F667" t="s">
        <v>264</v>
      </c>
      <c r="G667" t="s">
        <v>20</v>
      </c>
      <c r="H667" t="s">
        <v>43</v>
      </c>
      <c r="I667" t="s">
        <v>161</v>
      </c>
      <c r="J667" t="s">
        <v>798</v>
      </c>
      <c r="K667" t="s">
        <v>793</v>
      </c>
      <c r="L667" t="s">
        <v>800</v>
      </c>
      <c r="M667" s="5">
        <v>45599</v>
      </c>
      <c r="O667">
        <v>3</v>
      </c>
      <c r="P667">
        <v>21.74</v>
      </c>
      <c r="Q667">
        <v>30.44</v>
      </c>
      <c r="R667">
        <v>0.15</v>
      </c>
      <c r="S667">
        <v>77.62</v>
      </c>
      <c r="T667" t="s">
        <v>892</v>
      </c>
      <c r="U667">
        <v>65.22</v>
      </c>
      <c r="V667">
        <v>12.4</v>
      </c>
    </row>
    <row r="668" spans="1:22" x14ac:dyDescent="0.35">
      <c r="A668" t="s">
        <v>2088</v>
      </c>
      <c r="B668" t="s">
        <v>1445</v>
      </c>
      <c r="C668" t="s">
        <v>559</v>
      </c>
      <c r="D668" t="s">
        <v>311</v>
      </c>
      <c r="E668" t="s">
        <v>637</v>
      </c>
      <c r="F668" t="s">
        <v>235</v>
      </c>
      <c r="G668" t="s">
        <v>14</v>
      </c>
      <c r="H668" t="s">
        <v>29</v>
      </c>
      <c r="I668" t="s">
        <v>191</v>
      </c>
      <c r="J668" t="s">
        <v>798</v>
      </c>
      <c r="K668" t="s">
        <v>799</v>
      </c>
      <c r="L668" t="s">
        <v>800</v>
      </c>
      <c r="M668" s="5">
        <v>45335</v>
      </c>
      <c r="N668" s="5">
        <v>45330</v>
      </c>
      <c r="O668">
        <v>10</v>
      </c>
      <c r="P668">
        <v>11.26</v>
      </c>
      <c r="Q668">
        <v>15.2</v>
      </c>
      <c r="R668">
        <v>0</v>
      </c>
      <c r="S668">
        <v>152</v>
      </c>
      <c r="T668" t="s">
        <v>814</v>
      </c>
      <c r="U668">
        <v>112.6</v>
      </c>
      <c r="V668">
        <v>39.4</v>
      </c>
    </row>
    <row r="669" spans="1:22" x14ac:dyDescent="0.35">
      <c r="A669" t="s">
        <v>2089</v>
      </c>
      <c r="B669" t="s">
        <v>1870</v>
      </c>
      <c r="C669" t="s">
        <v>595</v>
      </c>
      <c r="D669" t="s">
        <v>253</v>
      </c>
      <c r="E669" t="s">
        <v>674</v>
      </c>
      <c r="F669" t="s">
        <v>235</v>
      </c>
      <c r="G669" t="s">
        <v>797</v>
      </c>
      <c r="H669" t="s">
        <v>8</v>
      </c>
      <c r="I669" t="s">
        <v>129</v>
      </c>
      <c r="J669" t="s">
        <v>813</v>
      </c>
      <c r="K669" t="s">
        <v>799</v>
      </c>
      <c r="L669" t="s">
        <v>788</v>
      </c>
      <c r="M669" s="5">
        <v>45300</v>
      </c>
      <c r="N669" s="5">
        <v>45306</v>
      </c>
      <c r="O669">
        <v>1</v>
      </c>
      <c r="P669">
        <v>22.15</v>
      </c>
      <c r="Q669">
        <v>31.01</v>
      </c>
      <c r="R669">
        <v>0</v>
      </c>
      <c r="S669">
        <v>31.01</v>
      </c>
      <c r="T669" t="s">
        <v>892</v>
      </c>
      <c r="U669">
        <v>22.15</v>
      </c>
      <c r="V669">
        <v>8.86</v>
      </c>
    </row>
    <row r="670" spans="1:22" x14ac:dyDescent="0.35">
      <c r="A670" t="s">
        <v>2091</v>
      </c>
      <c r="B670" t="s">
        <v>1549</v>
      </c>
      <c r="C670" t="s">
        <v>337</v>
      </c>
      <c r="D670" t="s">
        <v>338</v>
      </c>
      <c r="E670" t="s">
        <v>696</v>
      </c>
      <c r="F670" t="s">
        <v>243</v>
      </c>
      <c r="G670" t="s">
        <v>797</v>
      </c>
      <c r="H670" t="s">
        <v>48</v>
      </c>
      <c r="I670" t="s">
        <v>190</v>
      </c>
      <c r="J670" t="s">
        <v>786</v>
      </c>
      <c r="K670" t="s">
        <v>793</v>
      </c>
      <c r="L670" t="s">
        <v>818</v>
      </c>
      <c r="M670" s="5">
        <v>45463</v>
      </c>
      <c r="O670">
        <v>5</v>
      </c>
      <c r="P670">
        <v>21.56</v>
      </c>
      <c r="Q670">
        <v>31.26</v>
      </c>
      <c r="R670">
        <v>0.05</v>
      </c>
      <c r="S670">
        <v>148.49</v>
      </c>
      <c r="T670" t="s">
        <v>814</v>
      </c>
      <c r="U670">
        <v>107.8</v>
      </c>
      <c r="V670">
        <v>40.69</v>
      </c>
    </row>
    <row r="671" spans="1:22" x14ac:dyDescent="0.35">
      <c r="A671" t="s">
        <v>2092</v>
      </c>
      <c r="B671" t="s">
        <v>1290</v>
      </c>
      <c r="C671" t="s">
        <v>479</v>
      </c>
      <c r="D671" t="s">
        <v>480</v>
      </c>
      <c r="E671" t="s">
        <v>674</v>
      </c>
      <c r="F671" t="s">
        <v>243</v>
      </c>
      <c r="G671" t="s">
        <v>14</v>
      </c>
      <c r="H671" t="s">
        <v>20</v>
      </c>
      <c r="I671" t="s">
        <v>137</v>
      </c>
      <c r="J671" t="s">
        <v>798</v>
      </c>
      <c r="K671" t="s">
        <v>817</v>
      </c>
      <c r="L671" t="s">
        <v>818</v>
      </c>
      <c r="M671" s="5">
        <v>45605</v>
      </c>
      <c r="O671">
        <v>3</v>
      </c>
      <c r="P671">
        <v>23.58</v>
      </c>
      <c r="Q671">
        <v>31.83</v>
      </c>
      <c r="R671">
        <v>0</v>
      </c>
      <c r="S671">
        <v>95.49</v>
      </c>
      <c r="T671" t="s">
        <v>888</v>
      </c>
      <c r="U671">
        <v>70.739999999999995</v>
      </c>
      <c r="V671">
        <v>24.75</v>
      </c>
    </row>
    <row r="672" spans="1:22" x14ac:dyDescent="0.35">
      <c r="A672" t="s">
        <v>2093</v>
      </c>
      <c r="B672" t="s">
        <v>1513</v>
      </c>
      <c r="C672" t="s">
        <v>238</v>
      </c>
      <c r="D672" t="s">
        <v>239</v>
      </c>
      <c r="E672" t="s">
        <v>633</v>
      </c>
      <c r="F672" t="s">
        <v>243</v>
      </c>
      <c r="G672" t="s">
        <v>20</v>
      </c>
      <c r="H672" t="s">
        <v>48</v>
      </c>
      <c r="I672" t="s">
        <v>179</v>
      </c>
      <c r="J672" t="s">
        <v>798</v>
      </c>
      <c r="K672" t="s">
        <v>787</v>
      </c>
      <c r="L672" t="s">
        <v>800</v>
      </c>
      <c r="M672" s="5">
        <v>45661</v>
      </c>
      <c r="O672">
        <v>12</v>
      </c>
      <c r="P672">
        <v>16.670000000000002</v>
      </c>
      <c r="Q672">
        <v>22.5</v>
      </c>
      <c r="R672">
        <v>0</v>
      </c>
      <c r="S672">
        <v>270</v>
      </c>
      <c r="T672" t="s">
        <v>888</v>
      </c>
      <c r="U672">
        <v>200.04</v>
      </c>
      <c r="V672">
        <v>69.959999999999994</v>
      </c>
    </row>
    <row r="673" spans="1:22" x14ac:dyDescent="0.35">
      <c r="A673" t="s">
        <v>2094</v>
      </c>
      <c r="B673" t="s">
        <v>2095</v>
      </c>
      <c r="C673" t="s">
        <v>604</v>
      </c>
      <c r="D673" t="s">
        <v>431</v>
      </c>
      <c r="E673" t="s">
        <v>633</v>
      </c>
      <c r="F673" t="s">
        <v>243</v>
      </c>
      <c r="G673" t="s">
        <v>48</v>
      </c>
      <c r="H673" t="s">
        <v>14</v>
      </c>
      <c r="I673" t="s">
        <v>24</v>
      </c>
      <c r="J673" t="s">
        <v>813</v>
      </c>
      <c r="K673" t="s">
        <v>793</v>
      </c>
      <c r="L673" t="s">
        <v>818</v>
      </c>
      <c r="M673" s="5">
        <v>45699</v>
      </c>
      <c r="O673">
        <v>3</v>
      </c>
      <c r="P673">
        <v>37.42</v>
      </c>
      <c r="Q673">
        <v>50.52</v>
      </c>
      <c r="R673">
        <v>0.15</v>
      </c>
      <c r="S673">
        <v>128.83000000000001</v>
      </c>
      <c r="T673" t="s">
        <v>1017</v>
      </c>
      <c r="U673">
        <v>112.26</v>
      </c>
      <c r="V673">
        <v>16.57</v>
      </c>
    </row>
    <row r="674" spans="1:22" x14ac:dyDescent="0.35">
      <c r="A674" t="s">
        <v>2096</v>
      </c>
      <c r="B674" t="s">
        <v>1169</v>
      </c>
      <c r="C674" t="s">
        <v>506</v>
      </c>
      <c r="D674" t="s">
        <v>287</v>
      </c>
      <c r="E674" t="s">
        <v>627</v>
      </c>
      <c r="F674" t="s">
        <v>243</v>
      </c>
      <c r="G674" t="s">
        <v>14</v>
      </c>
      <c r="H674" t="s">
        <v>48</v>
      </c>
      <c r="I674" t="s">
        <v>217</v>
      </c>
      <c r="J674" t="s">
        <v>798</v>
      </c>
      <c r="K674" t="s">
        <v>787</v>
      </c>
      <c r="L674" t="s">
        <v>818</v>
      </c>
      <c r="M674" s="5">
        <v>45420</v>
      </c>
      <c r="O674">
        <v>10</v>
      </c>
      <c r="P674">
        <v>24.07</v>
      </c>
      <c r="Q674">
        <v>34.9</v>
      </c>
      <c r="R674">
        <v>0.1</v>
      </c>
      <c r="S674">
        <v>314.10000000000002</v>
      </c>
      <c r="T674" t="s">
        <v>935</v>
      </c>
      <c r="U674">
        <v>240.7</v>
      </c>
      <c r="V674">
        <v>73.400000000000006</v>
      </c>
    </row>
    <row r="675" spans="1:22" x14ac:dyDescent="0.35">
      <c r="A675" t="s">
        <v>2098</v>
      </c>
      <c r="B675" t="s">
        <v>1133</v>
      </c>
      <c r="C675" t="s">
        <v>327</v>
      </c>
      <c r="D675" t="s">
        <v>328</v>
      </c>
      <c r="E675" t="s">
        <v>637</v>
      </c>
      <c r="F675" t="s">
        <v>264</v>
      </c>
      <c r="G675" t="s">
        <v>797</v>
      </c>
      <c r="H675" t="s">
        <v>48</v>
      </c>
      <c r="I675" t="s">
        <v>54</v>
      </c>
      <c r="J675" t="s">
        <v>813</v>
      </c>
      <c r="K675" t="s">
        <v>799</v>
      </c>
      <c r="L675" t="s">
        <v>788</v>
      </c>
      <c r="M675" s="5">
        <v>45429</v>
      </c>
      <c r="N675" s="5">
        <v>45432</v>
      </c>
      <c r="O675">
        <v>3</v>
      </c>
      <c r="P675">
        <v>21.67</v>
      </c>
      <c r="Q675">
        <v>28.17</v>
      </c>
      <c r="R675">
        <v>0</v>
      </c>
      <c r="S675">
        <v>84.51</v>
      </c>
      <c r="T675" t="s">
        <v>825</v>
      </c>
      <c r="U675">
        <v>65.010000000000005</v>
      </c>
      <c r="V675">
        <v>19.5</v>
      </c>
    </row>
    <row r="676" spans="1:22" x14ac:dyDescent="0.35">
      <c r="A676" t="s">
        <v>2099</v>
      </c>
      <c r="B676" t="s">
        <v>1014</v>
      </c>
      <c r="C676" t="s">
        <v>601</v>
      </c>
      <c r="D676" t="s">
        <v>602</v>
      </c>
      <c r="E676" t="s">
        <v>254</v>
      </c>
      <c r="F676" t="s">
        <v>235</v>
      </c>
      <c r="G676" t="s">
        <v>797</v>
      </c>
      <c r="H676" t="s">
        <v>79</v>
      </c>
      <c r="I676" t="s">
        <v>77</v>
      </c>
      <c r="J676" t="s">
        <v>798</v>
      </c>
      <c r="K676" t="s">
        <v>799</v>
      </c>
      <c r="L676" t="s">
        <v>818</v>
      </c>
      <c r="M676" s="5">
        <v>45738</v>
      </c>
      <c r="N676" s="5">
        <v>45734</v>
      </c>
      <c r="O676">
        <v>12</v>
      </c>
      <c r="P676">
        <v>13.71</v>
      </c>
      <c r="Q676">
        <v>17.82</v>
      </c>
      <c r="R676">
        <v>0</v>
      </c>
      <c r="S676">
        <v>213.84</v>
      </c>
      <c r="T676" t="s">
        <v>946</v>
      </c>
      <c r="U676">
        <v>164.52</v>
      </c>
      <c r="V676">
        <v>49.32</v>
      </c>
    </row>
    <row r="677" spans="1:22" x14ac:dyDescent="0.35">
      <c r="A677" t="s">
        <v>2100</v>
      </c>
      <c r="B677" t="s">
        <v>1956</v>
      </c>
      <c r="C677" t="s">
        <v>369</v>
      </c>
      <c r="D677" t="s">
        <v>282</v>
      </c>
      <c r="E677" t="s">
        <v>674</v>
      </c>
      <c r="F677" t="s">
        <v>243</v>
      </c>
      <c r="G677" t="s">
        <v>797</v>
      </c>
      <c r="H677" t="s">
        <v>48</v>
      </c>
      <c r="I677" t="s">
        <v>179</v>
      </c>
      <c r="J677" t="s">
        <v>813</v>
      </c>
      <c r="K677" t="s">
        <v>793</v>
      </c>
      <c r="L677" t="s">
        <v>788</v>
      </c>
      <c r="M677" s="5">
        <v>46041</v>
      </c>
      <c r="O677">
        <v>5</v>
      </c>
      <c r="P677">
        <v>16.670000000000002</v>
      </c>
      <c r="Q677">
        <v>22.5</v>
      </c>
      <c r="R677">
        <v>0.15</v>
      </c>
      <c r="S677">
        <v>95.62</v>
      </c>
      <c r="T677" t="s">
        <v>876</v>
      </c>
      <c r="U677">
        <v>83.35</v>
      </c>
      <c r="V677">
        <v>12.27</v>
      </c>
    </row>
    <row r="678" spans="1:22" x14ac:dyDescent="0.35">
      <c r="A678" t="s">
        <v>2101</v>
      </c>
      <c r="B678" t="s">
        <v>1306</v>
      </c>
      <c r="C678" t="s">
        <v>589</v>
      </c>
      <c r="D678" t="s">
        <v>484</v>
      </c>
      <c r="E678" t="s">
        <v>637</v>
      </c>
      <c r="F678" t="s">
        <v>264</v>
      </c>
      <c r="G678" t="s">
        <v>20</v>
      </c>
      <c r="H678" t="s">
        <v>20</v>
      </c>
      <c r="I678" t="s">
        <v>18</v>
      </c>
      <c r="J678" t="s">
        <v>798</v>
      </c>
      <c r="K678" t="s">
        <v>799</v>
      </c>
      <c r="L678" t="s">
        <v>788</v>
      </c>
      <c r="M678" s="5">
        <v>45502</v>
      </c>
      <c r="N678" s="5">
        <v>45498</v>
      </c>
      <c r="O678">
        <v>5</v>
      </c>
      <c r="P678">
        <v>21.57</v>
      </c>
      <c r="Q678">
        <v>26.96</v>
      </c>
      <c r="R678">
        <v>0</v>
      </c>
      <c r="S678">
        <v>134.80000000000001</v>
      </c>
      <c r="T678" t="s">
        <v>803</v>
      </c>
      <c r="U678">
        <v>107.85</v>
      </c>
      <c r="V678">
        <v>26.95</v>
      </c>
    </row>
    <row r="679" spans="1:22" x14ac:dyDescent="0.35">
      <c r="A679" t="s">
        <v>2102</v>
      </c>
      <c r="B679" t="s">
        <v>2103</v>
      </c>
      <c r="C679" t="s">
        <v>342</v>
      </c>
      <c r="D679" t="s">
        <v>245</v>
      </c>
      <c r="E679" t="s">
        <v>696</v>
      </c>
      <c r="F679" t="s">
        <v>235</v>
      </c>
      <c r="G679" t="s">
        <v>797</v>
      </c>
      <c r="H679" t="s">
        <v>48</v>
      </c>
      <c r="I679" t="s">
        <v>46</v>
      </c>
      <c r="J679" t="s">
        <v>786</v>
      </c>
      <c r="K679" t="s">
        <v>822</v>
      </c>
      <c r="L679" t="s">
        <v>818</v>
      </c>
      <c r="M679" s="5">
        <v>45540</v>
      </c>
      <c r="N679" s="5">
        <v>45530</v>
      </c>
      <c r="O679">
        <v>10</v>
      </c>
      <c r="P679">
        <v>29.16</v>
      </c>
      <c r="Q679">
        <v>36.450000000000003</v>
      </c>
      <c r="R679">
        <v>0</v>
      </c>
      <c r="S679">
        <v>364.5</v>
      </c>
      <c r="T679" t="s">
        <v>946</v>
      </c>
      <c r="U679">
        <v>291.60000000000002</v>
      </c>
      <c r="V679">
        <v>72.900000000000006</v>
      </c>
    </row>
    <row r="680" spans="1:22" x14ac:dyDescent="0.35">
      <c r="A680" t="s">
        <v>2105</v>
      </c>
      <c r="B680" t="s">
        <v>1206</v>
      </c>
      <c r="C680" t="s">
        <v>459</v>
      </c>
      <c r="D680" t="s">
        <v>460</v>
      </c>
      <c r="E680" t="s">
        <v>696</v>
      </c>
      <c r="F680" t="s">
        <v>264</v>
      </c>
      <c r="G680" t="s">
        <v>14</v>
      </c>
      <c r="H680" t="s">
        <v>38</v>
      </c>
      <c r="I680" t="s">
        <v>69</v>
      </c>
      <c r="J680" t="s">
        <v>798</v>
      </c>
      <c r="K680" t="s">
        <v>817</v>
      </c>
      <c r="L680" t="s">
        <v>788</v>
      </c>
      <c r="M680" s="5">
        <v>45392</v>
      </c>
      <c r="O680">
        <v>10</v>
      </c>
      <c r="P680">
        <v>20.9</v>
      </c>
      <c r="Q680">
        <v>28.21</v>
      </c>
      <c r="R680">
        <v>0</v>
      </c>
      <c r="S680">
        <v>282.10000000000002</v>
      </c>
      <c r="T680" t="s">
        <v>876</v>
      </c>
      <c r="U680">
        <v>209</v>
      </c>
      <c r="V680">
        <v>73.099999999999994</v>
      </c>
    </row>
    <row r="681" spans="1:22" x14ac:dyDescent="0.35">
      <c r="A681" t="s">
        <v>2106</v>
      </c>
      <c r="B681" t="s">
        <v>883</v>
      </c>
      <c r="C681" t="s">
        <v>515</v>
      </c>
      <c r="D681" t="s">
        <v>512</v>
      </c>
      <c r="E681" t="s">
        <v>696</v>
      </c>
      <c r="F681" t="s">
        <v>235</v>
      </c>
      <c r="G681" t="s">
        <v>14</v>
      </c>
      <c r="H681" t="s">
        <v>29</v>
      </c>
      <c r="I681" t="s">
        <v>27</v>
      </c>
      <c r="J681" t="s">
        <v>798</v>
      </c>
      <c r="K681" t="s">
        <v>793</v>
      </c>
      <c r="L681" t="s">
        <v>800</v>
      </c>
      <c r="M681" s="5">
        <v>45789</v>
      </c>
      <c r="O681">
        <v>1</v>
      </c>
      <c r="P681">
        <v>33.06</v>
      </c>
      <c r="Q681">
        <v>47.94</v>
      </c>
      <c r="R681">
        <v>0</v>
      </c>
      <c r="S681">
        <v>47.94</v>
      </c>
      <c r="T681" t="s">
        <v>1001</v>
      </c>
      <c r="U681">
        <v>33.06</v>
      </c>
      <c r="V681">
        <v>14.88</v>
      </c>
    </row>
    <row r="682" spans="1:22" x14ac:dyDescent="0.35">
      <c r="A682" t="s">
        <v>2107</v>
      </c>
      <c r="B682" t="s">
        <v>1342</v>
      </c>
      <c r="C682" t="s">
        <v>432</v>
      </c>
      <c r="D682" t="s">
        <v>433</v>
      </c>
      <c r="E682" t="s">
        <v>254</v>
      </c>
      <c r="F682" t="s">
        <v>243</v>
      </c>
      <c r="G682" t="s">
        <v>797</v>
      </c>
      <c r="H682" t="s">
        <v>48</v>
      </c>
      <c r="I682" t="s">
        <v>217</v>
      </c>
      <c r="J682" t="s">
        <v>813</v>
      </c>
      <c r="K682" t="s">
        <v>799</v>
      </c>
      <c r="L682" t="s">
        <v>800</v>
      </c>
      <c r="M682" s="5">
        <v>45723</v>
      </c>
      <c r="N682" s="5">
        <v>45728</v>
      </c>
      <c r="O682">
        <v>1</v>
      </c>
      <c r="P682">
        <v>24.07</v>
      </c>
      <c r="Q682">
        <v>34.9</v>
      </c>
      <c r="R682">
        <v>0</v>
      </c>
      <c r="S682">
        <v>34.9</v>
      </c>
      <c r="T682" t="s">
        <v>859</v>
      </c>
      <c r="U682">
        <v>24.07</v>
      </c>
      <c r="V682">
        <v>10.83</v>
      </c>
    </row>
    <row r="683" spans="1:22" x14ac:dyDescent="0.35">
      <c r="A683" t="s">
        <v>2108</v>
      </c>
      <c r="B683" t="s">
        <v>1236</v>
      </c>
      <c r="C683" t="s">
        <v>322</v>
      </c>
      <c r="D683" t="s">
        <v>245</v>
      </c>
      <c r="E683" t="s">
        <v>696</v>
      </c>
      <c r="F683" t="s">
        <v>243</v>
      </c>
      <c r="G683" t="s">
        <v>797</v>
      </c>
      <c r="H683" t="s">
        <v>14</v>
      </c>
      <c r="I683" t="s">
        <v>209</v>
      </c>
      <c r="J683" t="s">
        <v>786</v>
      </c>
      <c r="K683" t="s">
        <v>793</v>
      </c>
      <c r="L683" t="s">
        <v>800</v>
      </c>
      <c r="M683" s="5">
        <v>45592</v>
      </c>
      <c r="O683">
        <v>12</v>
      </c>
      <c r="P683">
        <v>24.18</v>
      </c>
      <c r="Q683">
        <v>33.85</v>
      </c>
      <c r="R683">
        <v>0</v>
      </c>
      <c r="S683">
        <v>406.2</v>
      </c>
      <c r="T683" t="s">
        <v>919</v>
      </c>
      <c r="U683">
        <v>290.16000000000003</v>
      </c>
      <c r="V683">
        <v>116.04</v>
      </c>
    </row>
    <row r="684" spans="1:22" x14ac:dyDescent="0.35">
      <c r="A684" t="s">
        <v>2109</v>
      </c>
      <c r="B684" t="s">
        <v>1657</v>
      </c>
      <c r="C684" t="s">
        <v>580</v>
      </c>
      <c r="D684" t="s">
        <v>581</v>
      </c>
      <c r="E684" t="s">
        <v>627</v>
      </c>
      <c r="F684" t="s">
        <v>235</v>
      </c>
      <c r="G684" t="s">
        <v>20</v>
      </c>
      <c r="H684" t="s">
        <v>8</v>
      </c>
      <c r="I684" t="s">
        <v>65</v>
      </c>
      <c r="J684" t="s">
        <v>813</v>
      </c>
      <c r="K684" t="s">
        <v>793</v>
      </c>
      <c r="L684" t="s">
        <v>800</v>
      </c>
      <c r="M684" s="5">
        <v>45980</v>
      </c>
      <c r="O684">
        <v>10</v>
      </c>
      <c r="P684">
        <v>30.16</v>
      </c>
      <c r="Q684">
        <v>40.72</v>
      </c>
      <c r="R684">
        <v>0.15</v>
      </c>
      <c r="S684">
        <v>346.12</v>
      </c>
      <c r="T684" t="s">
        <v>803</v>
      </c>
      <c r="U684">
        <v>301.60000000000002</v>
      </c>
      <c r="V684">
        <v>44.52</v>
      </c>
    </row>
    <row r="685" spans="1:22" x14ac:dyDescent="0.35">
      <c r="A685" t="s">
        <v>2110</v>
      </c>
      <c r="B685" t="s">
        <v>2111</v>
      </c>
      <c r="C685" t="s">
        <v>455</v>
      </c>
      <c r="D685" t="s">
        <v>456</v>
      </c>
      <c r="E685" t="s">
        <v>674</v>
      </c>
      <c r="F685" t="s">
        <v>264</v>
      </c>
      <c r="G685" t="s">
        <v>14</v>
      </c>
      <c r="H685" t="s">
        <v>14</v>
      </c>
      <c r="I685" t="s">
        <v>214</v>
      </c>
      <c r="J685" t="s">
        <v>798</v>
      </c>
      <c r="K685" t="s">
        <v>793</v>
      </c>
      <c r="L685" t="s">
        <v>842</v>
      </c>
      <c r="M685" s="5">
        <v>45840</v>
      </c>
      <c r="O685">
        <v>1</v>
      </c>
      <c r="P685">
        <v>22.07</v>
      </c>
      <c r="Q685">
        <v>27.59</v>
      </c>
      <c r="R685">
        <v>0</v>
      </c>
      <c r="S685">
        <v>27.59</v>
      </c>
      <c r="T685" t="s">
        <v>869</v>
      </c>
      <c r="U685">
        <v>22.07</v>
      </c>
      <c r="V685">
        <v>5.52</v>
      </c>
    </row>
    <row r="686" spans="1:22" x14ac:dyDescent="0.35">
      <c r="A686" t="s">
        <v>2112</v>
      </c>
      <c r="B686" t="s">
        <v>1056</v>
      </c>
      <c r="C686" t="s">
        <v>334</v>
      </c>
      <c r="D686" t="s">
        <v>335</v>
      </c>
      <c r="E686" t="s">
        <v>254</v>
      </c>
      <c r="F686" t="s">
        <v>243</v>
      </c>
      <c r="G686" t="s">
        <v>14</v>
      </c>
      <c r="H686" t="s">
        <v>20</v>
      </c>
      <c r="I686" t="s">
        <v>159</v>
      </c>
      <c r="J686" t="s">
        <v>786</v>
      </c>
      <c r="K686" t="s">
        <v>799</v>
      </c>
      <c r="L686" t="s">
        <v>788</v>
      </c>
      <c r="M686" s="5">
        <v>46066</v>
      </c>
      <c r="N686" s="5">
        <v>46060</v>
      </c>
      <c r="O686">
        <v>10</v>
      </c>
      <c r="P686">
        <v>8.2200000000000006</v>
      </c>
      <c r="Q686">
        <v>11.1</v>
      </c>
      <c r="R686">
        <v>0</v>
      </c>
      <c r="S686">
        <v>111</v>
      </c>
      <c r="T686" t="s">
        <v>1001</v>
      </c>
      <c r="U686">
        <v>82.2</v>
      </c>
      <c r="V686">
        <v>28.8</v>
      </c>
    </row>
    <row r="687" spans="1:22" x14ac:dyDescent="0.35">
      <c r="A687" t="s">
        <v>2113</v>
      </c>
      <c r="B687" t="s">
        <v>1431</v>
      </c>
      <c r="C687" t="s">
        <v>529</v>
      </c>
      <c r="D687" t="s">
        <v>253</v>
      </c>
      <c r="E687" t="s">
        <v>627</v>
      </c>
      <c r="F687" t="s">
        <v>235</v>
      </c>
      <c r="G687" t="s">
        <v>797</v>
      </c>
      <c r="H687" t="s">
        <v>8</v>
      </c>
      <c r="I687" t="s">
        <v>207</v>
      </c>
      <c r="J687" t="s">
        <v>798</v>
      </c>
      <c r="K687" t="s">
        <v>817</v>
      </c>
      <c r="L687" t="s">
        <v>788</v>
      </c>
      <c r="M687" s="5">
        <v>45400</v>
      </c>
      <c r="O687">
        <v>10</v>
      </c>
      <c r="P687">
        <v>8.5399999999999991</v>
      </c>
      <c r="Q687">
        <v>10.67</v>
      </c>
      <c r="R687">
        <v>0.1</v>
      </c>
      <c r="S687">
        <v>96.03</v>
      </c>
      <c r="T687" t="s">
        <v>888</v>
      </c>
      <c r="U687">
        <v>85.4</v>
      </c>
      <c r="V687">
        <v>10.63</v>
      </c>
    </row>
    <row r="688" spans="1:22" x14ac:dyDescent="0.35">
      <c r="A688" t="s">
        <v>2115</v>
      </c>
      <c r="B688" t="s">
        <v>1434</v>
      </c>
      <c r="C688" t="s">
        <v>372</v>
      </c>
      <c r="D688" t="s">
        <v>373</v>
      </c>
      <c r="E688" t="s">
        <v>696</v>
      </c>
      <c r="F688" t="s">
        <v>235</v>
      </c>
      <c r="G688" t="s">
        <v>14</v>
      </c>
      <c r="H688" t="s">
        <v>43</v>
      </c>
      <c r="I688" t="s">
        <v>99</v>
      </c>
      <c r="J688" t="s">
        <v>798</v>
      </c>
      <c r="K688" t="s">
        <v>799</v>
      </c>
      <c r="L688" t="s">
        <v>800</v>
      </c>
      <c r="M688" s="5">
        <v>45343</v>
      </c>
      <c r="N688" s="5">
        <v>45338</v>
      </c>
      <c r="O688">
        <v>5</v>
      </c>
      <c r="P688">
        <v>10.88</v>
      </c>
      <c r="Q688">
        <v>15.78</v>
      </c>
      <c r="R688">
        <v>0</v>
      </c>
      <c r="S688">
        <v>78.900000000000006</v>
      </c>
      <c r="T688" t="s">
        <v>845</v>
      </c>
      <c r="U688">
        <v>54.4</v>
      </c>
      <c r="V688">
        <v>24.5</v>
      </c>
    </row>
    <row r="689" spans="1:22" x14ac:dyDescent="0.35">
      <c r="A689" t="s">
        <v>2117</v>
      </c>
      <c r="B689" t="s">
        <v>1188</v>
      </c>
      <c r="C689" t="s">
        <v>502</v>
      </c>
      <c r="D689" t="s">
        <v>503</v>
      </c>
      <c r="E689" t="s">
        <v>696</v>
      </c>
      <c r="F689" t="s">
        <v>235</v>
      </c>
      <c r="G689" t="s">
        <v>14</v>
      </c>
      <c r="H689" t="s">
        <v>79</v>
      </c>
      <c r="I689" t="s">
        <v>77</v>
      </c>
      <c r="J689" t="s">
        <v>786</v>
      </c>
      <c r="K689" t="s">
        <v>799</v>
      </c>
      <c r="L689" t="s">
        <v>788</v>
      </c>
      <c r="M689" s="5">
        <v>45752</v>
      </c>
      <c r="N689" s="5">
        <v>45741</v>
      </c>
      <c r="O689">
        <v>2</v>
      </c>
      <c r="P689">
        <v>13.71</v>
      </c>
      <c r="Q689">
        <v>17.82</v>
      </c>
      <c r="R689">
        <v>0.1</v>
      </c>
      <c r="S689">
        <v>32.08</v>
      </c>
      <c r="T689" t="s">
        <v>1017</v>
      </c>
      <c r="U689">
        <v>27.42</v>
      </c>
      <c r="V689">
        <v>4.66</v>
      </c>
    </row>
    <row r="690" spans="1:22" x14ac:dyDescent="0.35">
      <c r="A690" t="s">
        <v>2118</v>
      </c>
      <c r="B690" t="s">
        <v>1295</v>
      </c>
      <c r="C690" t="s">
        <v>538</v>
      </c>
      <c r="D690" t="s">
        <v>539</v>
      </c>
      <c r="E690" t="s">
        <v>254</v>
      </c>
      <c r="F690" t="s">
        <v>264</v>
      </c>
      <c r="G690" t="s">
        <v>20</v>
      </c>
      <c r="H690" t="s">
        <v>14</v>
      </c>
      <c r="I690" t="s">
        <v>111</v>
      </c>
      <c r="J690" t="s">
        <v>798</v>
      </c>
      <c r="K690" t="s">
        <v>799</v>
      </c>
      <c r="L690" t="s">
        <v>818</v>
      </c>
      <c r="M690" s="5">
        <v>45595</v>
      </c>
      <c r="N690" s="5">
        <v>45597</v>
      </c>
      <c r="O690">
        <v>1</v>
      </c>
      <c r="P690">
        <v>19.850000000000001</v>
      </c>
      <c r="Q690">
        <v>28.78</v>
      </c>
      <c r="R690">
        <v>0.05</v>
      </c>
      <c r="S690">
        <v>27.34</v>
      </c>
      <c r="T690" t="s">
        <v>825</v>
      </c>
      <c r="U690">
        <v>19.850000000000001</v>
      </c>
      <c r="V690">
        <v>7.49</v>
      </c>
    </row>
    <row r="691" spans="1:22" x14ac:dyDescent="0.35">
      <c r="A691" t="s">
        <v>2119</v>
      </c>
      <c r="B691" t="s">
        <v>1467</v>
      </c>
      <c r="C691" t="s">
        <v>359</v>
      </c>
      <c r="D691" t="s">
        <v>360</v>
      </c>
      <c r="E691" t="s">
        <v>696</v>
      </c>
      <c r="F691" t="s">
        <v>235</v>
      </c>
      <c r="G691" t="s">
        <v>20</v>
      </c>
      <c r="H691" t="s">
        <v>14</v>
      </c>
      <c r="I691" t="s">
        <v>111</v>
      </c>
      <c r="J691" t="s">
        <v>798</v>
      </c>
      <c r="K691" t="s">
        <v>799</v>
      </c>
      <c r="L691" t="s">
        <v>818</v>
      </c>
      <c r="M691" s="5">
        <v>45824</v>
      </c>
      <c r="N691" s="5">
        <v>45821</v>
      </c>
      <c r="O691">
        <v>1</v>
      </c>
      <c r="P691">
        <v>19.850000000000001</v>
      </c>
      <c r="Q691">
        <v>28.78</v>
      </c>
      <c r="R691">
        <v>0.1</v>
      </c>
      <c r="S691">
        <v>25.9</v>
      </c>
      <c r="T691" t="s">
        <v>1017</v>
      </c>
      <c r="U691">
        <v>19.850000000000001</v>
      </c>
      <c r="V691">
        <v>6.05</v>
      </c>
    </row>
    <row r="692" spans="1:22" x14ac:dyDescent="0.35">
      <c r="A692" t="s">
        <v>2120</v>
      </c>
      <c r="B692" t="s">
        <v>2121</v>
      </c>
      <c r="C692" t="s">
        <v>355</v>
      </c>
      <c r="D692" t="s">
        <v>356</v>
      </c>
      <c r="E692" t="s">
        <v>627</v>
      </c>
      <c r="F692" t="s">
        <v>264</v>
      </c>
      <c r="G692" t="s">
        <v>797</v>
      </c>
      <c r="H692" t="s">
        <v>43</v>
      </c>
      <c r="I692" t="s">
        <v>146</v>
      </c>
      <c r="J692" t="s">
        <v>798</v>
      </c>
      <c r="K692" t="s">
        <v>799</v>
      </c>
      <c r="L692" t="s">
        <v>818</v>
      </c>
      <c r="M692" s="5">
        <v>45487</v>
      </c>
      <c r="N692" s="5">
        <v>45489</v>
      </c>
      <c r="O692">
        <v>10</v>
      </c>
      <c r="P692">
        <v>24.05</v>
      </c>
      <c r="Q692">
        <v>31.27</v>
      </c>
      <c r="R692">
        <v>0.1</v>
      </c>
      <c r="S692">
        <v>281.43</v>
      </c>
      <c r="T692" t="s">
        <v>1001</v>
      </c>
      <c r="U692">
        <v>240.5</v>
      </c>
      <c r="V692">
        <v>40.93</v>
      </c>
    </row>
    <row r="693" spans="1:22" x14ac:dyDescent="0.35">
      <c r="A693" t="s">
        <v>2122</v>
      </c>
      <c r="B693" t="s">
        <v>1333</v>
      </c>
      <c r="C693" t="s">
        <v>386</v>
      </c>
      <c r="D693" t="s">
        <v>387</v>
      </c>
      <c r="E693" t="s">
        <v>633</v>
      </c>
      <c r="F693" t="s">
        <v>243</v>
      </c>
      <c r="G693" t="s">
        <v>20</v>
      </c>
      <c r="H693" t="s">
        <v>79</v>
      </c>
      <c r="I693" t="s">
        <v>88</v>
      </c>
      <c r="J693" t="s">
        <v>798</v>
      </c>
      <c r="K693" t="s">
        <v>787</v>
      </c>
      <c r="L693" t="s">
        <v>842</v>
      </c>
      <c r="M693" s="5">
        <v>45564</v>
      </c>
      <c r="O693">
        <v>3</v>
      </c>
      <c r="P693">
        <v>11.82</v>
      </c>
      <c r="Q693">
        <v>17.14</v>
      </c>
      <c r="R693">
        <v>0.1</v>
      </c>
      <c r="S693">
        <v>46.28</v>
      </c>
      <c r="T693" t="s">
        <v>794</v>
      </c>
      <c r="U693">
        <v>35.46</v>
      </c>
      <c r="V693">
        <v>10.82</v>
      </c>
    </row>
    <row r="694" spans="1:22" x14ac:dyDescent="0.35">
      <c r="A694" t="s">
        <v>2123</v>
      </c>
      <c r="B694" t="s">
        <v>1448</v>
      </c>
      <c r="C694" t="s">
        <v>565</v>
      </c>
      <c r="D694" t="s">
        <v>566</v>
      </c>
      <c r="E694" t="s">
        <v>674</v>
      </c>
      <c r="G694" t="s">
        <v>48</v>
      </c>
      <c r="H694" t="s">
        <v>79</v>
      </c>
      <c r="I694" t="s">
        <v>77</v>
      </c>
      <c r="J694" t="s">
        <v>798</v>
      </c>
      <c r="K694" t="s">
        <v>787</v>
      </c>
      <c r="L694" t="s">
        <v>842</v>
      </c>
      <c r="M694" s="5">
        <v>45597</v>
      </c>
      <c r="O694">
        <v>3</v>
      </c>
      <c r="P694">
        <v>13.71</v>
      </c>
      <c r="Q694">
        <v>17.82</v>
      </c>
      <c r="R694">
        <v>0.15</v>
      </c>
      <c r="S694">
        <v>45.44</v>
      </c>
      <c r="T694" t="s">
        <v>794</v>
      </c>
      <c r="U694">
        <v>41.13</v>
      </c>
      <c r="V694">
        <v>4.3099999999999996</v>
      </c>
    </row>
    <row r="695" spans="1:22" x14ac:dyDescent="0.35">
      <c r="A695" t="s">
        <v>2124</v>
      </c>
      <c r="B695" t="s">
        <v>1107</v>
      </c>
      <c r="C695" t="s">
        <v>331</v>
      </c>
      <c r="D695" t="s">
        <v>332</v>
      </c>
      <c r="E695" t="s">
        <v>254</v>
      </c>
      <c r="F695" t="s">
        <v>264</v>
      </c>
      <c r="G695" t="s">
        <v>14</v>
      </c>
      <c r="H695" t="s">
        <v>14</v>
      </c>
      <c r="I695" t="s">
        <v>60</v>
      </c>
      <c r="J695" t="s">
        <v>798</v>
      </c>
      <c r="K695" t="s">
        <v>817</v>
      </c>
      <c r="L695" t="s">
        <v>800</v>
      </c>
      <c r="M695" s="5">
        <v>45514</v>
      </c>
      <c r="O695">
        <v>3</v>
      </c>
      <c r="P695">
        <v>18.18</v>
      </c>
      <c r="Q695">
        <v>24.54</v>
      </c>
      <c r="R695">
        <v>0</v>
      </c>
      <c r="S695">
        <v>73.62</v>
      </c>
      <c r="T695" t="s">
        <v>1001</v>
      </c>
      <c r="U695">
        <v>54.54</v>
      </c>
      <c r="V695">
        <v>19.079999999999998</v>
      </c>
    </row>
    <row r="696" spans="1:22" x14ac:dyDescent="0.35">
      <c r="A696" t="s">
        <v>2125</v>
      </c>
      <c r="B696" t="s">
        <v>994</v>
      </c>
      <c r="C696" t="s">
        <v>595</v>
      </c>
      <c r="D696" t="s">
        <v>253</v>
      </c>
      <c r="E696" t="s">
        <v>674</v>
      </c>
      <c r="F696" t="s">
        <v>235</v>
      </c>
      <c r="G696" t="s">
        <v>797</v>
      </c>
      <c r="H696" t="s">
        <v>38</v>
      </c>
      <c r="I696" t="s">
        <v>36</v>
      </c>
      <c r="J696" t="s">
        <v>798</v>
      </c>
      <c r="K696" t="s">
        <v>793</v>
      </c>
      <c r="L696" t="s">
        <v>842</v>
      </c>
      <c r="M696" s="5">
        <v>45861</v>
      </c>
      <c r="O696">
        <v>3</v>
      </c>
      <c r="P696">
        <v>8.57</v>
      </c>
      <c r="Q696">
        <v>11.14</v>
      </c>
      <c r="R696">
        <v>0.15</v>
      </c>
      <c r="S696">
        <v>28.41</v>
      </c>
      <c r="T696" t="s">
        <v>839</v>
      </c>
      <c r="U696">
        <v>25.71</v>
      </c>
      <c r="V696">
        <v>2.7</v>
      </c>
    </row>
    <row r="697" spans="1:22" x14ac:dyDescent="0.35">
      <c r="A697" t="s">
        <v>2126</v>
      </c>
      <c r="B697" t="s">
        <v>1215</v>
      </c>
      <c r="C697" t="s">
        <v>599</v>
      </c>
      <c r="D697" t="s">
        <v>600</v>
      </c>
      <c r="E697" t="s">
        <v>633</v>
      </c>
      <c r="F697" t="s">
        <v>243</v>
      </c>
      <c r="G697" t="s">
        <v>797</v>
      </c>
      <c r="H697" t="s">
        <v>29</v>
      </c>
      <c r="I697" t="s">
        <v>49</v>
      </c>
      <c r="J697" t="s">
        <v>786</v>
      </c>
      <c r="K697" t="s">
        <v>799</v>
      </c>
      <c r="L697" t="s">
        <v>842</v>
      </c>
      <c r="M697" s="5">
        <v>45670</v>
      </c>
      <c r="N697" s="5">
        <v>45663</v>
      </c>
      <c r="O697">
        <v>10</v>
      </c>
      <c r="P697">
        <v>14.89</v>
      </c>
      <c r="Q697">
        <v>20.85</v>
      </c>
      <c r="R697">
        <v>0.15</v>
      </c>
      <c r="S697">
        <v>177.22</v>
      </c>
      <c r="T697" t="s">
        <v>1001</v>
      </c>
      <c r="U697">
        <v>148.9</v>
      </c>
      <c r="V697">
        <v>28.32</v>
      </c>
    </row>
    <row r="698" spans="1:22" x14ac:dyDescent="0.35">
      <c r="A698" t="s">
        <v>2127</v>
      </c>
      <c r="B698" t="s">
        <v>1172</v>
      </c>
      <c r="C698" t="s">
        <v>561</v>
      </c>
      <c r="D698" t="s">
        <v>562</v>
      </c>
      <c r="E698" t="s">
        <v>681</v>
      </c>
      <c r="F698" t="s">
        <v>243</v>
      </c>
      <c r="G698" t="s">
        <v>14</v>
      </c>
      <c r="H698" t="s">
        <v>43</v>
      </c>
      <c r="I698" t="s">
        <v>171</v>
      </c>
      <c r="J698" t="s">
        <v>798</v>
      </c>
      <c r="K698" t="s">
        <v>799</v>
      </c>
      <c r="L698" t="s">
        <v>800</v>
      </c>
      <c r="M698" s="5">
        <v>45968</v>
      </c>
      <c r="N698" s="5">
        <v>45971</v>
      </c>
      <c r="O698">
        <v>1</v>
      </c>
      <c r="P698">
        <v>29.39</v>
      </c>
      <c r="Q698">
        <v>39.68</v>
      </c>
      <c r="R698">
        <v>0</v>
      </c>
      <c r="S698">
        <v>39.68</v>
      </c>
      <c r="T698" t="s">
        <v>963</v>
      </c>
      <c r="U698">
        <v>29.39</v>
      </c>
      <c r="V698">
        <v>10.29</v>
      </c>
    </row>
    <row r="699" spans="1:22" x14ac:dyDescent="0.35">
      <c r="A699" t="s">
        <v>2128</v>
      </c>
      <c r="B699" t="s">
        <v>2024</v>
      </c>
      <c r="C699" t="s">
        <v>354</v>
      </c>
      <c r="D699" t="s">
        <v>321</v>
      </c>
      <c r="E699" t="s">
        <v>696</v>
      </c>
      <c r="F699" t="s">
        <v>243</v>
      </c>
      <c r="G699" t="s">
        <v>797</v>
      </c>
      <c r="H699" t="s">
        <v>14</v>
      </c>
      <c r="I699" t="s">
        <v>12</v>
      </c>
      <c r="J699" t="s">
        <v>798</v>
      </c>
      <c r="K699" t="s">
        <v>793</v>
      </c>
      <c r="L699" t="s">
        <v>818</v>
      </c>
      <c r="M699" s="5">
        <v>45943</v>
      </c>
      <c r="O699">
        <v>5</v>
      </c>
      <c r="P699">
        <v>35.03</v>
      </c>
      <c r="Q699">
        <v>50.79</v>
      </c>
      <c r="R699">
        <v>0</v>
      </c>
      <c r="S699">
        <v>253.95</v>
      </c>
      <c r="T699" t="s">
        <v>819</v>
      </c>
      <c r="U699">
        <v>175.15</v>
      </c>
      <c r="V699">
        <v>78.8</v>
      </c>
    </row>
    <row r="700" spans="1:22" x14ac:dyDescent="0.35">
      <c r="A700" t="s">
        <v>2129</v>
      </c>
      <c r="B700" t="s">
        <v>1746</v>
      </c>
      <c r="C700" t="s">
        <v>369</v>
      </c>
      <c r="D700" t="s">
        <v>282</v>
      </c>
      <c r="E700" t="s">
        <v>637</v>
      </c>
      <c r="F700" t="s">
        <v>243</v>
      </c>
      <c r="G700" t="s">
        <v>20</v>
      </c>
      <c r="H700" t="s">
        <v>20</v>
      </c>
      <c r="I700" t="s">
        <v>159</v>
      </c>
      <c r="J700" t="s">
        <v>813</v>
      </c>
      <c r="K700" t="s">
        <v>799</v>
      </c>
      <c r="L700" t="s">
        <v>788</v>
      </c>
      <c r="M700" s="5">
        <v>45480</v>
      </c>
      <c r="N700" s="5">
        <v>45478</v>
      </c>
      <c r="O700">
        <v>10</v>
      </c>
      <c r="P700">
        <v>8.2200000000000006</v>
      </c>
      <c r="Q700">
        <v>11.1</v>
      </c>
      <c r="R700">
        <v>0.15</v>
      </c>
      <c r="S700">
        <v>94.35</v>
      </c>
      <c r="T700" t="s">
        <v>859</v>
      </c>
      <c r="U700">
        <v>82.2</v>
      </c>
      <c r="V700">
        <v>12.15</v>
      </c>
    </row>
    <row r="701" spans="1:22" x14ac:dyDescent="0.35">
      <c r="A701" t="s">
        <v>2131</v>
      </c>
      <c r="B701" t="s">
        <v>1967</v>
      </c>
      <c r="C701" t="s">
        <v>366</v>
      </c>
      <c r="D701" t="s">
        <v>245</v>
      </c>
      <c r="E701" t="s">
        <v>637</v>
      </c>
      <c r="F701" t="s">
        <v>243</v>
      </c>
      <c r="G701" t="s">
        <v>797</v>
      </c>
      <c r="H701" t="s">
        <v>43</v>
      </c>
      <c r="I701" t="s">
        <v>44</v>
      </c>
      <c r="J701" t="s">
        <v>798</v>
      </c>
      <c r="K701" t="s">
        <v>787</v>
      </c>
      <c r="L701" t="s">
        <v>842</v>
      </c>
      <c r="M701" s="5">
        <v>45616</v>
      </c>
      <c r="O701">
        <v>3</v>
      </c>
      <c r="P701">
        <v>14.05</v>
      </c>
      <c r="Q701">
        <v>19.670000000000002</v>
      </c>
      <c r="R701">
        <v>0.05</v>
      </c>
      <c r="S701">
        <v>56.06</v>
      </c>
      <c r="T701" t="s">
        <v>794</v>
      </c>
      <c r="U701">
        <v>42.15</v>
      </c>
      <c r="V701">
        <v>13.91</v>
      </c>
    </row>
    <row r="702" spans="1:22" x14ac:dyDescent="0.35">
      <c r="A702" t="s">
        <v>2132</v>
      </c>
      <c r="B702" t="s">
        <v>1142</v>
      </c>
      <c r="C702" t="s">
        <v>469</v>
      </c>
      <c r="D702" t="s">
        <v>470</v>
      </c>
      <c r="E702" t="s">
        <v>254</v>
      </c>
      <c r="F702" t="s">
        <v>235</v>
      </c>
      <c r="G702" t="s">
        <v>20</v>
      </c>
      <c r="H702" t="s">
        <v>29</v>
      </c>
      <c r="I702" t="s">
        <v>191</v>
      </c>
      <c r="J702" t="s">
        <v>813</v>
      </c>
      <c r="K702" t="s">
        <v>799</v>
      </c>
      <c r="L702" t="s">
        <v>842</v>
      </c>
      <c r="M702" s="5">
        <v>45760</v>
      </c>
      <c r="N702" s="5">
        <v>45764</v>
      </c>
      <c r="O702">
        <v>5</v>
      </c>
      <c r="P702">
        <v>11.26</v>
      </c>
      <c r="Q702">
        <v>15.2</v>
      </c>
      <c r="R702">
        <v>0.1</v>
      </c>
      <c r="S702">
        <v>68.400000000000006</v>
      </c>
      <c r="T702" t="s">
        <v>919</v>
      </c>
      <c r="U702">
        <v>56.3</v>
      </c>
      <c r="V702">
        <v>12.1</v>
      </c>
    </row>
    <row r="703" spans="1:22" x14ac:dyDescent="0.35">
      <c r="A703" t="s">
        <v>2133</v>
      </c>
      <c r="B703" t="s">
        <v>1920</v>
      </c>
      <c r="C703" t="s">
        <v>329</v>
      </c>
      <c r="D703" t="s">
        <v>330</v>
      </c>
      <c r="E703" t="s">
        <v>637</v>
      </c>
      <c r="F703" t="s">
        <v>235</v>
      </c>
      <c r="G703" t="s">
        <v>797</v>
      </c>
      <c r="H703" t="s">
        <v>20</v>
      </c>
      <c r="I703" t="s">
        <v>159</v>
      </c>
      <c r="J703" t="s">
        <v>786</v>
      </c>
      <c r="K703" t="s">
        <v>822</v>
      </c>
      <c r="L703" t="s">
        <v>788</v>
      </c>
      <c r="M703" s="5">
        <v>45699</v>
      </c>
      <c r="N703" s="5">
        <v>45690</v>
      </c>
      <c r="O703">
        <v>10</v>
      </c>
      <c r="P703">
        <v>8.2200000000000006</v>
      </c>
      <c r="Q703">
        <v>11.1</v>
      </c>
      <c r="R703">
        <v>0</v>
      </c>
      <c r="S703">
        <v>111</v>
      </c>
      <c r="T703" t="s">
        <v>834</v>
      </c>
      <c r="U703">
        <v>82.2</v>
      </c>
      <c r="V703">
        <v>28.8</v>
      </c>
    </row>
    <row r="704" spans="1:22" x14ac:dyDescent="0.35">
      <c r="A704" t="s">
        <v>2134</v>
      </c>
      <c r="B704" t="s">
        <v>2135</v>
      </c>
      <c r="C704" t="s">
        <v>552</v>
      </c>
      <c r="D704" t="s">
        <v>553</v>
      </c>
      <c r="E704" t="s">
        <v>254</v>
      </c>
      <c r="F704" t="s">
        <v>235</v>
      </c>
      <c r="G704" t="s">
        <v>20</v>
      </c>
      <c r="H704" t="s">
        <v>48</v>
      </c>
      <c r="I704" t="s">
        <v>217</v>
      </c>
      <c r="J704" t="s">
        <v>813</v>
      </c>
      <c r="K704" t="s">
        <v>799</v>
      </c>
      <c r="L704" t="s">
        <v>800</v>
      </c>
      <c r="M704" s="5">
        <v>45441</v>
      </c>
      <c r="N704" s="5">
        <v>45442</v>
      </c>
      <c r="O704">
        <v>10</v>
      </c>
      <c r="P704">
        <v>24.07</v>
      </c>
      <c r="Q704">
        <v>34.9</v>
      </c>
      <c r="R704">
        <v>0.15</v>
      </c>
      <c r="S704">
        <v>296.64999999999998</v>
      </c>
      <c r="T704" t="s">
        <v>834</v>
      </c>
      <c r="U704">
        <v>240.7</v>
      </c>
      <c r="V704">
        <v>55.95</v>
      </c>
    </row>
    <row r="705" spans="1:22" x14ac:dyDescent="0.35">
      <c r="A705" t="s">
        <v>2137</v>
      </c>
      <c r="B705" t="s">
        <v>1653</v>
      </c>
      <c r="C705" t="s">
        <v>609</v>
      </c>
      <c r="D705" t="s">
        <v>610</v>
      </c>
      <c r="E705" t="s">
        <v>627</v>
      </c>
      <c r="G705" t="s">
        <v>20</v>
      </c>
      <c r="H705" t="s">
        <v>43</v>
      </c>
      <c r="I705" t="s">
        <v>113</v>
      </c>
      <c r="J705" t="s">
        <v>786</v>
      </c>
      <c r="K705" t="s">
        <v>793</v>
      </c>
      <c r="L705" t="s">
        <v>818</v>
      </c>
      <c r="M705" s="5">
        <v>45448</v>
      </c>
      <c r="O705">
        <v>10</v>
      </c>
      <c r="P705">
        <v>16.91</v>
      </c>
      <c r="Q705">
        <v>21.14</v>
      </c>
      <c r="R705">
        <v>0</v>
      </c>
      <c r="S705">
        <v>211.4</v>
      </c>
      <c r="T705" t="s">
        <v>794</v>
      </c>
      <c r="U705">
        <v>169.1</v>
      </c>
      <c r="V705">
        <v>42.3</v>
      </c>
    </row>
    <row r="706" spans="1:22" x14ac:dyDescent="0.35">
      <c r="A706" t="s">
        <v>2138</v>
      </c>
      <c r="B706" t="s">
        <v>1174</v>
      </c>
      <c r="C706" t="s">
        <v>585</v>
      </c>
      <c r="D706" t="s">
        <v>586</v>
      </c>
      <c r="E706" t="s">
        <v>633</v>
      </c>
      <c r="F706" t="s">
        <v>235</v>
      </c>
      <c r="G706" t="s">
        <v>14</v>
      </c>
      <c r="H706" t="s">
        <v>20</v>
      </c>
      <c r="I706" t="s">
        <v>119</v>
      </c>
      <c r="J706" t="s">
        <v>813</v>
      </c>
      <c r="K706" t="s">
        <v>799</v>
      </c>
      <c r="L706" t="s">
        <v>842</v>
      </c>
      <c r="M706" s="5">
        <v>45352</v>
      </c>
      <c r="N706" s="5">
        <v>45351</v>
      </c>
      <c r="O706">
        <v>5</v>
      </c>
      <c r="P706">
        <v>40.94</v>
      </c>
      <c r="Q706">
        <v>53.22</v>
      </c>
      <c r="R706">
        <v>0.1</v>
      </c>
      <c r="S706">
        <v>239.49</v>
      </c>
      <c r="T706" t="s">
        <v>859</v>
      </c>
      <c r="U706">
        <v>204.7</v>
      </c>
      <c r="V706">
        <v>34.79</v>
      </c>
    </row>
    <row r="707" spans="1:22" x14ac:dyDescent="0.35">
      <c r="A707" t="s">
        <v>2139</v>
      </c>
      <c r="B707" t="s">
        <v>1367</v>
      </c>
      <c r="C707" t="s">
        <v>347</v>
      </c>
      <c r="D707" t="s">
        <v>348</v>
      </c>
      <c r="E707" t="s">
        <v>254</v>
      </c>
      <c r="F707" t="s">
        <v>243</v>
      </c>
      <c r="G707" t="s">
        <v>48</v>
      </c>
      <c r="H707" t="s">
        <v>8</v>
      </c>
      <c r="I707" t="s">
        <v>21</v>
      </c>
      <c r="J707" t="s">
        <v>813</v>
      </c>
      <c r="K707" t="s">
        <v>793</v>
      </c>
      <c r="L707" t="s">
        <v>788</v>
      </c>
      <c r="M707" s="5">
        <v>45818</v>
      </c>
      <c r="O707">
        <v>2</v>
      </c>
      <c r="P707">
        <v>21.57</v>
      </c>
      <c r="Q707">
        <v>26.96</v>
      </c>
      <c r="R707">
        <v>0</v>
      </c>
      <c r="S707">
        <v>53.92</v>
      </c>
      <c r="T707" t="s">
        <v>869</v>
      </c>
      <c r="U707">
        <v>43.14</v>
      </c>
      <c r="V707">
        <v>10.78</v>
      </c>
    </row>
    <row r="708" spans="1:22" x14ac:dyDescent="0.35">
      <c r="A708" t="s">
        <v>2140</v>
      </c>
      <c r="B708" t="s">
        <v>1176</v>
      </c>
      <c r="C708" t="s">
        <v>582</v>
      </c>
      <c r="D708" t="s">
        <v>583</v>
      </c>
      <c r="E708" t="s">
        <v>696</v>
      </c>
      <c r="F708" t="s">
        <v>264</v>
      </c>
      <c r="G708" t="s">
        <v>14</v>
      </c>
      <c r="H708" t="s">
        <v>48</v>
      </c>
      <c r="I708" t="s">
        <v>148</v>
      </c>
      <c r="J708" t="s">
        <v>798</v>
      </c>
      <c r="K708" t="s">
        <v>822</v>
      </c>
      <c r="L708" t="s">
        <v>818</v>
      </c>
      <c r="M708" s="5">
        <v>45592</v>
      </c>
      <c r="N708" s="5">
        <v>45589</v>
      </c>
      <c r="O708">
        <v>10</v>
      </c>
      <c r="P708">
        <v>58.01</v>
      </c>
      <c r="Q708">
        <v>72.510000000000005</v>
      </c>
      <c r="R708">
        <v>0</v>
      </c>
      <c r="S708">
        <v>725.1</v>
      </c>
      <c r="T708" t="s">
        <v>919</v>
      </c>
      <c r="U708">
        <v>580.1</v>
      </c>
      <c r="V708">
        <v>145</v>
      </c>
    </row>
    <row r="709" spans="1:22" x14ac:dyDescent="0.35">
      <c r="A709" t="s">
        <v>2141</v>
      </c>
      <c r="B709" t="s">
        <v>1079</v>
      </c>
      <c r="C709" t="s">
        <v>449</v>
      </c>
      <c r="D709" t="s">
        <v>450</v>
      </c>
      <c r="E709" t="s">
        <v>254</v>
      </c>
      <c r="F709" t="s">
        <v>235</v>
      </c>
      <c r="G709" t="s">
        <v>14</v>
      </c>
      <c r="H709" t="s">
        <v>8</v>
      </c>
      <c r="I709" t="s">
        <v>181</v>
      </c>
      <c r="J709" t="s">
        <v>813</v>
      </c>
      <c r="K709" t="s">
        <v>822</v>
      </c>
      <c r="L709" t="s">
        <v>842</v>
      </c>
      <c r="M709" s="5">
        <v>45399</v>
      </c>
      <c r="N709" s="5">
        <v>45399</v>
      </c>
      <c r="O709">
        <v>2</v>
      </c>
      <c r="P709">
        <v>20.49</v>
      </c>
      <c r="Q709">
        <v>29.71</v>
      </c>
      <c r="R709">
        <v>0</v>
      </c>
      <c r="S709">
        <v>59.42</v>
      </c>
      <c r="T709" t="s">
        <v>946</v>
      </c>
      <c r="U709">
        <v>40.98</v>
      </c>
      <c r="V709">
        <v>18.440000000000001</v>
      </c>
    </row>
    <row r="710" spans="1:22" x14ac:dyDescent="0.35">
      <c r="A710" t="s">
        <v>2142</v>
      </c>
      <c r="B710" t="s">
        <v>828</v>
      </c>
      <c r="C710" t="s">
        <v>524</v>
      </c>
      <c r="D710" t="s">
        <v>484</v>
      </c>
      <c r="E710" t="s">
        <v>633</v>
      </c>
      <c r="G710" t="s">
        <v>14</v>
      </c>
      <c r="H710" t="s">
        <v>48</v>
      </c>
      <c r="I710" t="s">
        <v>54</v>
      </c>
      <c r="J710" t="s">
        <v>798</v>
      </c>
      <c r="K710" t="s">
        <v>787</v>
      </c>
      <c r="L710" t="s">
        <v>800</v>
      </c>
      <c r="M710" s="5">
        <v>45481</v>
      </c>
      <c r="O710">
        <v>10</v>
      </c>
      <c r="P710">
        <v>21.67</v>
      </c>
      <c r="Q710">
        <v>28.17</v>
      </c>
      <c r="R710">
        <v>0.1</v>
      </c>
      <c r="S710">
        <v>253.53</v>
      </c>
      <c r="T710" t="s">
        <v>859</v>
      </c>
      <c r="U710">
        <v>216.7</v>
      </c>
      <c r="V710">
        <v>36.83</v>
      </c>
    </row>
    <row r="711" spans="1:22" x14ac:dyDescent="0.35">
      <c r="A711" t="s">
        <v>2143</v>
      </c>
      <c r="B711" t="s">
        <v>1239</v>
      </c>
      <c r="C711" t="s">
        <v>409</v>
      </c>
      <c r="D711" t="s">
        <v>410</v>
      </c>
      <c r="E711" t="s">
        <v>696</v>
      </c>
      <c r="F711" t="s">
        <v>235</v>
      </c>
      <c r="G711" t="s">
        <v>14</v>
      </c>
      <c r="H711" t="s">
        <v>14</v>
      </c>
      <c r="I711" t="s">
        <v>60</v>
      </c>
      <c r="J711" t="s">
        <v>786</v>
      </c>
      <c r="K711" t="s">
        <v>799</v>
      </c>
      <c r="L711" t="s">
        <v>842</v>
      </c>
      <c r="M711" s="5">
        <v>45662</v>
      </c>
      <c r="N711" s="5">
        <v>45651</v>
      </c>
      <c r="O711">
        <v>1</v>
      </c>
      <c r="P711">
        <v>18.18</v>
      </c>
      <c r="Q711">
        <v>24.54</v>
      </c>
      <c r="R711">
        <v>0</v>
      </c>
      <c r="S711">
        <v>24.54</v>
      </c>
      <c r="T711" t="s">
        <v>888</v>
      </c>
      <c r="U711">
        <v>18.18</v>
      </c>
      <c r="V711">
        <v>6.36</v>
      </c>
    </row>
    <row r="712" spans="1:22" x14ac:dyDescent="0.35">
      <c r="A712" t="s">
        <v>2144</v>
      </c>
      <c r="B712" t="s">
        <v>970</v>
      </c>
      <c r="C712" t="s">
        <v>463</v>
      </c>
      <c r="D712" t="s">
        <v>464</v>
      </c>
      <c r="E712" t="s">
        <v>696</v>
      </c>
      <c r="F712" t="s">
        <v>264</v>
      </c>
      <c r="G712" t="s">
        <v>20</v>
      </c>
      <c r="H712" t="s">
        <v>48</v>
      </c>
      <c r="I712" t="s">
        <v>135</v>
      </c>
      <c r="J712" t="s">
        <v>786</v>
      </c>
      <c r="K712" t="s">
        <v>799</v>
      </c>
      <c r="L712" t="s">
        <v>842</v>
      </c>
      <c r="M712" s="5">
        <v>45633</v>
      </c>
      <c r="N712" s="5">
        <v>45626</v>
      </c>
      <c r="O712">
        <v>10</v>
      </c>
      <c r="P712">
        <v>51.72</v>
      </c>
      <c r="Q712">
        <v>67.239999999999995</v>
      </c>
      <c r="R712">
        <v>0</v>
      </c>
      <c r="S712">
        <v>672.4</v>
      </c>
      <c r="T712" t="s">
        <v>803</v>
      </c>
      <c r="U712">
        <v>517.20000000000005</v>
      </c>
      <c r="V712">
        <v>155.19999999999999</v>
      </c>
    </row>
    <row r="713" spans="1:22" x14ac:dyDescent="0.35">
      <c r="A713" t="s">
        <v>2146</v>
      </c>
      <c r="B713" t="s">
        <v>1325</v>
      </c>
      <c r="C713" t="s">
        <v>351</v>
      </c>
      <c r="D713" t="s">
        <v>352</v>
      </c>
      <c r="E713" t="s">
        <v>254</v>
      </c>
      <c r="F713" t="s">
        <v>264</v>
      </c>
      <c r="G713" t="s">
        <v>797</v>
      </c>
      <c r="H713" t="s">
        <v>14</v>
      </c>
      <c r="I713" t="s">
        <v>12</v>
      </c>
      <c r="J713" t="s">
        <v>813</v>
      </c>
      <c r="K713" t="s">
        <v>799</v>
      </c>
      <c r="L713" t="s">
        <v>800</v>
      </c>
      <c r="M713" s="5">
        <v>46039</v>
      </c>
      <c r="N713" s="5">
        <v>46043</v>
      </c>
      <c r="O713">
        <v>1</v>
      </c>
      <c r="P713">
        <v>35.03</v>
      </c>
      <c r="Q713">
        <v>50.79</v>
      </c>
      <c r="R713">
        <v>0</v>
      </c>
      <c r="S713">
        <v>50.79</v>
      </c>
      <c r="T713" t="s">
        <v>819</v>
      </c>
      <c r="U713">
        <v>35.03</v>
      </c>
      <c r="V713">
        <v>15.76</v>
      </c>
    </row>
    <row r="714" spans="1:22" x14ac:dyDescent="0.35">
      <c r="A714" t="s">
        <v>2147</v>
      </c>
      <c r="B714" t="s">
        <v>1412</v>
      </c>
      <c r="C714" t="s">
        <v>554</v>
      </c>
      <c r="D714" t="s">
        <v>445</v>
      </c>
      <c r="E714" t="s">
        <v>637</v>
      </c>
      <c r="F714" t="s">
        <v>235</v>
      </c>
      <c r="G714" t="s">
        <v>14</v>
      </c>
      <c r="H714" t="s">
        <v>14</v>
      </c>
      <c r="I714" t="s">
        <v>167</v>
      </c>
      <c r="J714" t="s">
        <v>813</v>
      </c>
      <c r="K714" t="s">
        <v>822</v>
      </c>
      <c r="L714" t="s">
        <v>788</v>
      </c>
      <c r="M714" s="5">
        <v>45787</v>
      </c>
      <c r="N714" s="5">
        <v>45793</v>
      </c>
      <c r="O714">
        <v>5</v>
      </c>
      <c r="P714">
        <v>18.62</v>
      </c>
      <c r="Q714">
        <v>26.07</v>
      </c>
      <c r="R714">
        <v>0.05</v>
      </c>
      <c r="S714">
        <v>123.83</v>
      </c>
      <c r="T714" t="s">
        <v>876</v>
      </c>
      <c r="U714">
        <v>93.1</v>
      </c>
      <c r="V714">
        <v>30.73</v>
      </c>
    </row>
    <row r="715" spans="1:22" x14ac:dyDescent="0.35">
      <c r="A715" t="s">
        <v>2148</v>
      </c>
      <c r="B715" t="s">
        <v>1594</v>
      </c>
      <c r="C715" t="s">
        <v>525</v>
      </c>
      <c r="D715" t="s">
        <v>526</v>
      </c>
      <c r="E715" t="s">
        <v>696</v>
      </c>
      <c r="F715" t="s">
        <v>243</v>
      </c>
      <c r="G715" t="s">
        <v>14</v>
      </c>
      <c r="H715" t="s">
        <v>43</v>
      </c>
      <c r="I715" t="s">
        <v>222</v>
      </c>
      <c r="J715" t="s">
        <v>786</v>
      </c>
      <c r="K715" t="s">
        <v>793</v>
      </c>
      <c r="L715" t="s">
        <v>818</v>
      </c>
      <c r="M715" s="5">
        <v>45815</v>
      </c>
      <c r="O715">
        <v>1</v>
      </c>
      <c r="P715">
        <v>37.1</v>
      </c>
      <c r="Q715">
        <v>48.23</v>
      </c>
      <c r="R715">
        <v>0.1</v>
      </c>
      <c r="S715">
        <v>43.41</v>
      </c>
      <c r="T715" t="s">
        <v>803</v>
      </c>
      <c r="U715">
        <v>37.1</v>
      </c>
      <c r="V715">
        <v>6.31</v>
      </c>
    </row>
    <row r="716" spans="1:22" x14ac:dyDescent="0.35">
      <c r="A716" t="s">
        <v>2149</v>
      </c>
      <c r="B716" t="s">
        <v>1198</v>
      </c>
      <c r="C716" t="s">
        <v>588</v>
      </c>
      <c r="D716" t="s">
        <v>435</v>
      </c>
      <c r="E716" t="s">
        <v>254</v>
      </c>
      <c r="F716" t="s">
        <v>264</v>
      </c>
      <c r="G716" t="s">
        <v>797</v>
      </c>
      <c r="H716" t="s">
        <v>38</v>
      </c>
      <c r="I716" t="s">
        <v>69</v>
      </c>
      <c r="J716" t="s">
        <v>813</v>
      </c>
      <c r="K716" t="s">
        <v>817</v>
      </c>
      <c r="L716" t="s">
        <v>842</v>
      </c>
      <c r="M716" s="5">
        <v>46005</v>
      </c>
      <c r="O716">
        <v>3</v>
      </c>
      <c r="P716">
        <v>20.9</v>
      </c>
      <c r="Q716">
        <v>28.21</v>
      </c>
      <c r="R716">
        <v>0</v>
      </c>
      <c r="S716">
        <v>84.63</v>
      </c>
      <c r="T716" t="s">
        <v>790</v>
      </c>
      <c r="U716">
        <v>62.7</v>
      </c>
      <c r="V716">
        <v>21.93</v>
      </c>
    </row>
    <row r="717" spans="1:22" x14ac:dyDescent="0.35">
      <c r="A717" t="s">
        <v>2150</v>
      </c>
      <c r="B717" t="s">
        <v>1411</v>
      </c>
      <c r="C717" t="s">
        <v>329</v>
      </c>
      <c r="D717" t="s">
        <v>330</v>
      </c>
      <c r="E717" t="s">
        <v>254</v>
      </c>
      <c r="F717" t="s">
        <v>235</v>
      </c>
      <c r="G717" t="s">
        <v>48</v>
      </c>
      <c r="H717" t="s">
        <v>38</v>
      </c>
      <c r="I717" t="s">
        <v>126</v>
      </c>
      <c r="J717" t="s">
        <v>798</v>
      </c>
      <c r="K717" t="s">
        <v>799</v>
      </c>
      <c r="L717" t="s">
        <v>788</v>
      </c>
      <c r="M717" s="5">
        <v>45784</v>
      </c>
      <c r="N717" s="5">
        <v>45780</v>
      </c>
      <c r="O717">
        <v>10</v>
      </c>
      <c r="P717">
        <v>41.95</v>
      </c>
      <c r="Q717">
        <v>58.73</v>
      </c>
      <c r="R717">
        <v>0</v>
      </c>
      <c r="S717">
        <v>587.29999999999995</v>
      </c>
      <c r="T717" t="s">
        <v>845</v>
      </c>
      <c r="U717">
        <v>419.5</v>
      </c>
      <c r="V717">
        <v>167.8</v>
      </c>
    </row>
    <row r="718" spans="1:22" x14ac:dyDescent="0.35">
      <c r="A718" t="s">
        <v>2151</v>
      </c>
      <c r="B718" t="s">
        <v>1163</v>
      </c>
      <c r="C718" t="s">
        <v>398</v>
      </c>
      <c r="D718" t="s">
        <v>399</v>
      </c>
      <c r="E718" t="s">
        <v>674</v>
      </c>
      <c r="F718" t="s">
        <v>264</v>
      </c>
      <c r="G718" t="s">
        <v>20</v>
      </c>
      <c r="H718" t="s">
        <v>38</v>
      </c>
      <c r="I718" t="s">
        <v>165</v>
      </c>
      <c r="J718" t="s">
        <v>813</v>
      </c>
      <c r="K718" t="s">
        <v>787</v>
      </c>
      <c r="L718" t="s">
        <v>788</v>
      </c>
      <c r="M718" s="5">
        <v>45859</v>
      </c>
      <c r="O718">
        <v>12</v>
      </c>
      <c r="P718">
        <v>18.45</v>
      </c>
      <c r="Q718">
        <v>25.83</v>
      </c>
      <c r="R718">
        <v>0.05</v>
      </c>
      <c r="S718">
        <v>294.45999999999998</v>
      </c>
      <c r="T718" t="s">
        <v>839</v>
      </c>
      <c r="U718">
        <v>221.4</v>
      </c>
      <c r="V718">
        <v>73.06</v>
      </c>
    </row>
    <row r="719" spans="1:22" x14ac:dyDescent="0.35">
      <c r="A719" t="s">
        <v>2152</v>
      </c>
      <c r="B719" t="s">
        <v>1582</v>
      </c>
      <c r="C719" t="s">
        <v>455</v>
      </c>
      <c r="D719" t="s">
        <v>456</v>
      </c>
      <c r="E719" t="s">
        <v>254</v>
      </c>
      <c r="F719" t="s">
        <v>264</v>
      </c>
      <c r="G719" t="s">
        <v>20</v>
      </c>
      <c r="H719" t="s">
        <v>43</v>
      </c>
      <c r="I719" t="s">
        <v>222</v>
      </c>
      <c r="J719" t="s">
        <v>798</v>
      </c>
      <c r="K719" t="s">
        <v>787</v>
      </c>
      <c r="L719" t="s">
        <v>788</v>
      </c>
      <c r="M719" s="5">
        <v>46011</v>
      </c>
      <c r="O719">
        <v>10</v>
      </c>
      <c r="P719">
        <v>37.1</v>
      </c>
      <c r="Q719">
        <v>48.23</v>
      </c>
      <c r="R719">
        <v>0</v>
      </c>
      <c r="S719">
        <v>482.3</v>
      </c>
      <c r="T719" t="s">
        <v>888</v>
      </c>
      <c r="U719">
        <v>371</v>
      </c>
      <c r="V719">
        <v>111.3</v>
      </c>
    </row>
    <row r="720" spans="1:22" x14ac:dyDescent="0.35">
      <c r="A720" t="s">
        <v>2153</v>
      </c>
      <c r="B720" t="s">
        <v>1149</v>
      </c>
      <c r="C720" t="s">
        <v>310</v>
      </c>
      <c r="D720" t="s">
        <v>311</v>
      </c>
      <c r="E720" t="s">
        <v>674</v>
      </c>
      <c r="F720" t="s">
        <v>264</v>
      </c>
      <c r="G720" t="s">
        <v>797</v>
      </c>
      <c r="H720" t="s">
        <v>48</v>
      </c>
      <c r="I720" t="s">
        <v>148</v>
      </c>
      <c r="J720" t="s">
        <v>798</v>
      </c>
      <c r="K720" t="s">
        <v>799</v>
      </c>
      <c r="L720" t="s">
        <v>788</v>
      </c>
      <c r="M720" s="5">
        <v>45673</v>
      </c>
      <c r="N720" s="5">
        <v>45669</v>
      </c>
      <c r="O720">
        <v>12</v>
      </c>
      <c r="P720">
        <v>58.01</v>
      </c>
      <c r="Q720">
        <v>72.510000000000005</v>
      </c>
      <c r="R720">
        <v>0</v>
      </c>
      <c r="S720">
        <v>870.12</v>
      </c>
      <c r="T720" t="s">
        <v>819</v>
      </c>
      <c r="U720">
        <v>696.12</v>
      </c>
      <c r="V720">
        <v>174</v>
      </c>
    </row>
    <row r="721" spans="1:22" x14ac:dyDescent="0.35">
      <c r="A721" t="s">
        <v>2154</v>
      </c>
      <c r="B721" t="s">
        <v>1481</v>
      </c>
      <c r="C721" t="s">
        <v>498</v>
      </c>
      <c r="D721" t="s">
        <v>499</v>
      </c>
      <c r="E721" t="s">
        <v>696</v>
      </c>
      <c r="F721" t="s">
        <v>235</v>
      </c>
      <c r="G721" t="s">
        <v>20</v>
      </c>
      <c r="H721" t="s">
        <v>38</v>
      </c>
      <c r="I721" t="s">
        <v>132</v>
      </c>
      <c r="J721" t="s">
        <v>798</v>
      </c>
      <c r="K721" t="s">
        <v>799</v>
      </c>
      <c r="L721" t="s">
        <v>842</v>
      </c>
      <c r="M721" s="5">
        <v>45839</v>
      </c>
      <c r="N721" s="5">
        <v>45835</v>
      </c>
      <c r="O721">
        <v>2</v>
      </c>
      <c r="P721">
        <v>12.71</v>
      </c>
      <c r="Q721">
        <v>17.79</v>
      </c>
      <c r="R721">
        <v>0</v>
      </c>
      <c r="S721">
        <v>35.58</v>
      </c>
      <c r="T721" t="s">
        <v>919</v>
      </c>
      <c r="U721">
        <v>25.42</v>
      </c>
      <c r="V721">
        <v>10.16</v>
      </c>
    </row>
    <row r="722" spans="1:22" x14ac:dyDescent="0.35">
      <c r="A722" t="s">
        <v>2155</v>
      </c>
      <c r="B722" t="s">
        <v>1840</v>
      </c>
      <c r="C722" t="s">
        <v>270</v>
      </c>
      <c r="D722" t="s">
        <v>231</v>
      </c>
      <c r="E722" t="s">
        <v>627</v>
      </c>
      <c r="F722" t="s">
        <v>235</v>
      </c>
      <c r="G722" t="s">
        <v>20</v>
      </c>
      <c r="H722" t="s">
        <v>8</v>
      </c>
      <c r="I722" t="s">
        <v>10</v>
      </c>
      <c r="J722" t="s">
        <v>798</v>
      </c>
      <c r="K722" t="s">
        <v>787</v>
      </c>
      <c r="L722" t="s">
        <v>818</v>
      </c>
      <c r="M722" s="5">
        <v>45360</v>
      </c>
      <c r="O722">
        <v>3</v>
      </c>
      <c r="P722">
        <v>22.74</v>
      </c>
      <c r="Q722">
        <v>28.42</v>
      </c>
      <c r="R722">
        <v>0.15</v>
      </c>
      <c r="S722">
        <v>72.47</v>
      </c>
      <c r="T722" t="s">
        <v>845</v>
      </c>
      <c r="U722">
        <v>68.22</v>
      </c>
      <c r="V722">
        <v>4.25</v>
      </c>
    </row>
    <row r="723" spans="1:22" x14ac:dyDescent="0.35">
      <c r="A723" t="s">
        <v>2156</v>
      </c>
      <c r="B723" t="s">
        <v>993</v>
      </c>
      <c r="C723" t="s">
        <v>541</v>
      </c>
      <c r="D723" t="s">
        <v>542</v>
      </c>
      <c r="E723" t="s">
        <v>627</v>
      </c>
      <c r="F723" t="s">
        <v>235</v>
      </c>
      <c r="G723" t="s">
        <v>797</v>
      </c>
      <c r="H723" t="s">
        <v>38</v>
      </c>
      <c r="I723" t="s">
        <v>109</v>
      </c>
      <c r="J723" t="s">
        <v>798</v>
      </c>
      <c r="K723" t="s">
        <v>822</v>
      </c>
      <c r="L723" t="s">
        <v>800</v>
      </c>
      <c r="M723" s="5">
        <v>45866</v>
      </c>
      <c r="N723" s="5">
        <v>45866</v>
      </c>
      <c r="O723">
        <v>1</v>
      </c>
      <c r="P723">
        <v>29.32</v>
      </c>
      <c r="Q723">
        <v>36.65</v>
      </c>
      <c r="R723">
        <v>0</v>
      </c>
      <c r="S723">
        <v>36.65</v>
      </c>
      <c r="T723" t="s">
        <v>892</v>
      </c>
      <c r="U723">
        <v>29.32</v>
      </c>
      <c r="V723">
        <v>7.33</v>
      </c>
    </row>
    <row r="724" spans="1:22" x14ac:dyDescent="0.35">
      <c r="A724" t="s">
        <v>2157</v>
      </c>
      <c r="B724" t="s">
        <v>2097</v>
      </c>
      <c r="C724" t="s">
        <v>467</v>
      </c>
      <c r="D724" t="s">
        <v>468</v>
      </c>
      <c r="E724" t="s">
        <v>627</v>
      </c>
      <c r="F724" t="s">
        <v>235</v>
      </c>
      <c r="G724" t="s">
        <v>797</v>
      </c>
      <c r="H724" t="s">
        <v>43</v>
      </c>
      <c r="I724" t="s">
        <v>215</v>
      </c>
      <c r="J724" t="s">
        <v>798</v>
      </c>
      <c r="K724" t="s">
        <v>799</v>
      </c>
      <c r="L724" t="s">
        <v>842</v>
      </c>
      <c r="M724" s="5">
        <v>45427</v>
      </c>
      <c r="N724" s="5">
        <v>45428</v>
      </c>
      <c r="O724">
        <v>20</v>
      </c>
      <c r="P724">
        <v>28.96</v>
      </c>
      <c r="Q724">
        <v>40.54</v>
      </c>
      <c r="R724">
        <v>0.15</v>
      </c>
      <c r="S724">
        <v>689.18</v>
      </c>
      <c r="T724" t="s">
        <v>845</v>
      </c>
      <c r="U724">
        <v>579.20000000000005</v>
      </c>
      <c r="V724">
        <v>109.98</v>
      </c>
    </row>
    <row r="725" spans="1:22" x14ac:dyDescent="0.35">
      <c r="A725" t="s">
        <v>2158</v>
      </c>
      <c r="B725" t="s">
        <v>969</v>
      </c>
      <c r="C725" t="s">
        <v>568</v>
      </c>
      <c r="D725" t="s">
        <v>360</v>
      </c>
      <c r="E725" t="s">
        <v>696</v>
      </c>
      <c r="G725" t="s">
        <v>20</v>
      </c>
      <c r="H725" t="s">
        <v>29</v>
      </c>
      <c r="I725" t="s">
        <v>27</v>
      </c>
      <c r="J725" t="s">
        <v>813</v>
      </c>
      <c r="K725" t="s">
        <v>799</v>
      </c>
      <c r="L725" t="s">
        <v>818</v>
      </c>
      <c r="M725" s="5">
        <v>45615</v>
      </c>
      <c r="N725" s="5">
        <v>45614</v>
      </c>
      <c r="O725">
        <v>20</v>
      </c>
      <c r="P725">
        <v>33.06</v>
      </c>
      <c r="Q725">
        <v>47.94</v>
      </c>
      <c r="R725">
        <v>0</v>
      </c>
      <c r="S725">
        <v>958.8</v>
      </c>
      <c r="T725" t="s">
        <v>1017</v>
      </c>
      <c r="U725">
        <v>661.2</v>
      </c>
      <c r="V725">
        <v>297.60000000000002</v>
      </c>
    </row>
    <row r="726" spans="1:22" x14ac:dyDescent="0.35">
      <c r="A726" t="s">
        <v>2159</v>
      </c>
      <c r="B726" t="s">
        <v>2160</v>
      </c>
      <c r="C726" t="s">
        <v>451</v>
      </c>
      <c r="D726" t="s">
        <v>368</v>
      </c>
      <c r="E726" t="s">
        <v>627</v>
      </c>
      <c r="F726" t="s">
        <v>264</v>
      </c>
      <c r="G726" t="s">
        <v>20</v>
      </c>
      <c r="H726" t="s">
        <v>8</v>
      </c>
      <c r="I726" t="s">
        <v>6</v>
      </c>
      <c r="J726" t="s">
        <v>798</v>
      </c>
      <c r="K726" t="s">
        <v>793</v>
      </c>
      <c r="L726" t="s">
        <v>788</v>
      </c>
      <c r="M726" s="5">
        <v>45405</v>
      </c>
      <c r="O726">
        <v>3</v>
      </c>
      <c r="P726">
        <v>32.24</v>
      </c>
      <c r="Q726">
        <v>41.91</v>
      </c>
      <c r="R726">
        <v>0.1</v>
      </c>
      <c r="S726">
        <v>113.16</v>
      </c>
      <c r="T726" t="s">
        <v>919</v>
      </c>
      <c r="U726">
        <v>96.72</v>
      </c>
      <c r="V726">
        <v>16.440000000000001</v>
      </c>
    </row>
    <row r="727" spans="1:22" x14ac:dyDescent="0.35">
      <c r="A727" t="s">
        <v>2161</v>
      </c>
      <c r="B727" t="s">
        <v>1437</v>
      </c>
      <c r="C727" t="s">
        <v>551</v>
      </c>
      <c r="D727" t="s">
        <v>304</v>
      </c>
      <c r="E727" t="s">
        <v>254</v>
      </c>
      <c r="F727" t="s">
        <v>264</v>
      </c>
      <c r="G727" t="s">
        <v>20</v>
      </c>
      <c r="H727" t="s">
        <v>8</v>
      </c>
      <c r="I727" t="s">
        <v>65</v>
      </c>
      <c r="J727" t="s">
        <v>798</v>
      </c>
      <c r="K727" t="s">
        <v>799</v>
      </c>
      <c r="L727" t="s">
        <v>842</v>
      </c>
      <c r="M727" s="5">
        <v>45365</v>
      </c>
      <c r="N727" s="5">
        <v>45360</v>
      </c>
      <c r="O727">
        <v>12</v>
      </c>
      <c r="P727">
        <v>30.16</v>
      </c>
      <c r="Q727">
        <v>40.72</v>
      </c>
      <c r="R727">
        <v>0</v>
      </c>
      <c r="S727">
        <v>488.64</v>
      </c>
      <c r="T727" t="s">
        <v>1017</v>
      </c>
      <c r="U727">
        <v>361.92</v>
      </c>
      <c r="V727">
        <v>126.72</v>
      </c>
    </row>
    <row r="728" spans="1:22" x14ac:dyDescent="0.35">
      <c r="A728" t="s">
        <v>2162</v>
      </c>
      <c r="B728" t="s">
        <v>806</v>
      </c>
      <c r="C728" t="s">
        <v>278</v>
      </c>
      <c r="D728" t="s">
        <v>279</v>
      </c>
      <c r="E728" t="s">
        <v>627</v>
      </c>
      <c r="F728" t="s">
        <v>235</v>
      </c>
      <c r="G728" t="s">
        <v>48</v>
      </c>
      <c r="H728" t="s">
        <v>38</v>
      </c>
      <c r="I728" t="s">
        <v>82</v>
      </c>
      <c r="J728" t="s">
        <v>798</v>
      </c>
      <c r="K728" t="s">
        <v>787</v>
      </c>
      <c r="L728" t="s">
        <v>842</v>
      </c>
      <c r="M728" s="5">
        <v>45882</v>
      </c>
      <c r="O728">
        <v>5</v>
      </c>
      <c r="P728">
        <v>12.54</v>
      </c>
      <c r="Q728">
        <v>16.93</v>
      </c>
      <c r="R728">
        <v>0</v>
      </c>
      <c r="S728">
        <v>84.65</v>
      </c>
      <c r="T728" t="s">
        <v>839</v>
      </c>
      <c r="U728">
        <v>62.7</v>
      </c>
      <c r="V728">
        <v>21.95</v>
      </c>
    </row>
    <row r="729" spans="1:22" x14ac:dyDescent="0.35">
      <c r="A729" t="s">
        <v>2163</v>
      </c>
      <c r="B729" t="s">
        <v>1464</v>
      </c>
      <c r="C729" t="s">
        <v>466</v>
      </c>
      <c r="D729" t="s">
        <v>441</v>
      </c>
      <c r="E729" t="s">
        <v>627</v>
      </c>
      <c r="F729" t="s">
        <v>235</v>
      </c>
      <c r="G729" t="s">
        <v>797</v>
      </c>
      <c r="H729" t="s">
        <v>48</v>
      </c>
      <c r="I729" t="s">
        <v>148</v>
      </c>
      <c r="J729" t="s">
        <v>786</v>
      </c>
      <c r="K729" t="s">
        <v>799</v>
      </c>
      <c r="L729" t="s">
        <v>788</v>
      </c>
      <c r="M729" s="5">
        <v>45671</v>
      </c>
      <c r="N729" s="5">
        <v>45659</v>
      </c>
      <c r="O729">
        <v>5</v>
      </c>
      <c r="P729">
        <v>58.01</v>
      </c>
      <c r="Q729">
        <v>72.510000000000005</v>
      </c>
      <c r="R729">
        <v>0.15</v>
      </c>
      <c r="S729">
        <v>308.17</v>
      </c>
      <c r="T729" t="s">
        <v>825</v>
      </c>
      <c r="U729">
        <v>290.05</v>
      </c>
      <c r="V729">
        <v>18.12</v>
      </c>
    </row>
    <row r="730" spans="1:22" x14ac:dyDescent="0.35">
      <c r="A730" t="s">
        <v>2164</v>
      </c>
      <c r="B730" t="s">
        <v>1670</v>
      </c>
      <c r="C730" t="s">
        <v>603</v>
      </c>
      <c r="D730" t="s">
        <v>508</v>
      </c>
      <c r="E730" t="s">
        <v>627</v>
      </c>
      <c r="F730" t="s">
        <v>264</v>
      </c>
      <c r="G730" t="s">
        <v>797</v>
      </c>
      <c r="H730" t="s">
        <v>43</v>
      </c>
      <c r="I730" t="s">
        <v>99</v>
      </c>
      <c r="J730" t="s">
        <v>786</v>
      </c>
      <c r="K730" t="s">
        <v>787</v>
      </c>
      <c r="L730" t="s">
        <v>818</v>
      </c>
      <c r="M730" s="5">
        <v>45645</v>
      </c>
      <c r="O730">
        <v>1</v>
      </c>
      <c r="P730">
        <v>10.88</v>
      </c>
      <c r="Q730">
        <v>15.78</v>
      </c>
      <c r="R730">
        <v>0.05</v>
      </c>
      <c r="S730">
        <v>14.99</v>
      </c>
      <c r="T730" t="s">
        <v>803</v>
      </c>
      <c r="U730">
        <v>10.88</v>
      </c>
      <c r="V730">
        <v>4.1100000000000003</v>
      </c>
    </row>
    <row r="731" spans="1:22" x14ac:dyDescent="0.35">
      <c r="A731" t="s">
        <v>2165</v>
      </c>
      <c r="B731" t="s">
        <v>1361</v>
      </c>
      <c r="C731" t="s">
        <v>358</v>
      </c>
      <c r="D731" t="s">
        <v>287</v>
      </c>
      <c r="E731" t="s">
        <v>674</v>
      </c>
      <c r="F731" t="s">
        <v>243</v>
      </c>
      <c r="G731" t="s">
        <v>14</v>
      </c>
      <c r="H731" t="s">
        <v>14</v>
      </c>
      <c r="I731" t="s">
        <v>90</v>
      </c>
      <c r="J731" t="s">
        <v>813</v>
      </c>
      <c r="K731" t="s">
        <v>799</v>
      </c>
      <c r="L731" t="s">
        <v>788</v>
      </c>
      <c r="M731" s="5">
        <v>45333</v>
      </c>
      <c r="N731" s="5">
        <v>45333</v>
      </c>
      <c r="O731">
        <v>2</v>
      </c>
      <c r="P731">
        <v>27.34</v>
      </c>
      <c r="Q731">
        <v>39.64</v>
      </c>
      <c r="R731">
        <v>0</v>
      </c>
      <c r="S731">
        <v>79.28</v>
      </c>
      <c r="T731" t="s">
        <v>825</v>
      </c>
      <c r="U731">
        <v>54.68</v>
      </c>
      <c r="V731">
        <v>24.6</v>
      </c>
    </row>
    <row r="732" spans="1:22" x14ac:dyDescent="0.35">
      <c r="A732" t="s">
        <v>2166</v>
      </c>
      <c r="B732" t="s">
        <v>1818</v>
      </c>
      <c r="C732" t="s">
        <v>511</v>
      </c>
      <c r="D732" t="s">
        <v>512</v>
      </c>
      <c r="E732" t="s">
        <v>627</v>
      </c>
      <c r="F732" t="s">
        <v>264</v>
      </c>
      <c r="G732" t="s">
        <v>48</v>
      </c>
      <c r="H732" t="s">
        <v>38</v>
      </c>
      <c r="I732" t="s">
        <v>126</v>
      </c>
      <c r="J732" t="s">
        <v>798</v>
      </c>
      <c r="K732" t="s">
        <v>799</v>
      </c>
      <c r="L732" t="s">
        <v>800</v>
      </c>
      <c r="M732" s="5">
        <v>46034</v>
      </c>
      <c r="N732" s="5">
        <v>46033</v>
      </c>
      <c r="O732">
        <v>5</v>
      </c>
      <c r="P732">
        <v>41.95</v>
      </c>
      <c r="Q732">
        <v>58.73</v>
      </c>
      <c r="R732">
        <v>0.05</v>
      </c>
      <c r="S732">
        <v>278.97000000000003</v>
      </c>
      <c r="T732" t="s">
        <v>888</v>
      </c>
      <c r="U732">
        <v>209.75</v>
      </c>
      <c r="V732">
        <v>69.22</v>
      </c>
    </row>
    <row r="733" spans="1:22" x14ac:dyDescent="0.35">
      <c r="A733" t="s">
        <v>2167</v>
      </c>
      <c r="B733" t="s">
        <v>981</v>
      </c>
      <c r="C733" t="s">
        <v>560</v>
      </c>
      <c r="D733" t="s">
        <v>292</v>
      </c>
      <c r="E733" t="s">
        <v>637</v>
      </c>
      <c r="F733" t="s">
        <v>264</v>
      </c>
      <c r="G733" t="s">
        <v>48</v>
      </c>
      <c r="H733" t="s">
        <v>43</v>
      </c>
      <c r="I733" t="s">
        <v>41</v>
      </c>
      <c r="J733" t="s">
        <v>813</v>
      </c>
      <c r="K733" t="s">
        <v>799</v>
      </c>
      <c r="L733" t="s">
        <v>818</v>
      </c>
      <c r="M733" s="5">
        <v>45592</v>
      </c>
      <c r="N733" s="5">
        <v>45599</v>
      </c>
      <c r="O733">
        <v>2</v>
      </c>
      <c r="P733">
        <v>18.010000000000002</v>
      </c>
      <c r="Q733">
        <v>22.51</v>
      </c>
      <c r="R733">
        <v>0</v>
      </c>
      <c r="S733">
        <v>45.02</v>
      </c>
      <c r="T733" t="s">
        <v>963</v>
      </c>
      <c r="U733">
        <v>36.020000000000003</v>
      </c>
      <c r="V733">
        <v>9</v>
      </c>
    </row>
    <row r="734" spans="1:22" x14ac:dyDescent="0.35">
      <c r="A734" t="s">
        <v>2168</v>
      </c>
      <c r="B734" t="s">
        <v>934</v>
      </c>
      <c r="C734" t="s">
        <v>354</v>
      </c>
      <c r="D734" t="s">
        <v>321</v>
      </c>
      <c r="E734" t="s">
        <v>627</v>
      </c>
      <c r="F734" t="s">
        <v>243</v>
      </c>
      <c r="G734" t="s">
        <v>14</v>
      </c>
      <c r="H734" t="s">
        <v>29</v>
      </c>
      <c r="I734" t="s">
        <v>86</v>
      </c>
      <c r="J734" t="s">
        <v>798</v>
      </c>
      <c r="K734" t="s">
        <v>799</v>
      </c>
      <c r="L734" t="s">
        <v>788</v>
      </c>
      <c r="M734" s="5">
        <v>45920</v>
      </c>
      <c r="N734" s="5">
        <v>45915</v>
      </c>
      <c r="O734">
        <v>2</v>
      </c>
      <c r="P734">
        <v>8.35</v>
      </c>
      <c r="Q734">
        <v>12.11</v>
      </c>
      <c r="R734">
        <v>0</v>
      </c>
      <c r="S734">
        <v>24.22</v>
      </c>
      <c r="T734" t="s">
        <v>790</v>
      </c>
      <c r="U734">
        <v>16.7</v>
      </c>
      <c r="V734">
        <v>7.52</v>
      </c>
    </row>
    <row r="735" spans="1:22" x14ac:dyDescent="0.35">
      <c r="A735" t="s">
        <v>2169</v>
      </c>
      <c r="B735" t="s">
        <v>1795</v>
      </c>
      <c r="C735" t="s">
        <v>493</v>
      </c>
      <c r="D735" t="s">
        <v>311</v>
      </c>
      <c r="E735" t="s">
        <v>633</v>
      </c>
      <c r="F735" t="s">
        <v>243</v>
      </c>
      <c r="G735" t="s">
        <v>797</v>
      </c>
      <c r="H735" t="s">
        <v>14</v>
      </c>
      <c r="I735" t="s">
        <v>25</v>
      </c>
      <c r="J735" t="s">
        <v>798</v>
      </c>
      <c r="K735" t="s">
        <v>787</v>
      </c>
      <c r="L735" t="s">
        <v>800</v>
      </c>
      <c r="M735" s="5">
        <v>45809</v>
      </c>
      <c r="O735">
        <v>2</v>
      </c>
      <c r="P735">
        <v>18.95</v>
      </c>
      <c r="Q735">
        <v>25.58</v>
      </c>
      <c r="R735">
        <v>0</v>
      </c>
      <c r="S735">
        <v>51.16</v>
      </c>
      <c r="T735" t="s">
        <v>834</v>
      </c>
      <c r="U735">
        <v>37.9</v>
      </c>
      <c r="V735">
        <v>13.26</v>
      </c>
    </row>
    <row r="736" spans="1:22" x14ac:dyDescent="0.35">
      <c r="A736" t="s">
        <v>2170</v>
      </c>
      <c r="B736" t="s">
        <v>1112</v>
      </c>
      <c r="C736" t="s">
        <v>590</v>
      </c>
      <c r="D736" t="s">
        <v>591</v>
      </c>
      <c r="E736" t="s">
        <v>637</v>
      </c>
      <c r="F736" t="s">
        <v>235</v>
      </c>
      <c r="G736" t="s">
        <v>14</v>
      </c>
      <c r="H736" t="s">
        <v>38</v>
      </c>
      <c r="I736" t="s">
        <v>132</v>
      </c>
      <c r="J736" t="s">
        <v>786</v>
      </c>
      <c r="K736" t="s">
        <v>817</v>
      </c>
      <c r="L736" t="s">
        <v>818</v>
      </c>
      <c r="M736" s="5">
        <v>45378</v>
      </c>
      <c r="O736">
        <v>1</v>
      </c>
      <c r="P736">
        <v>12.71</v>
      </c>
      <c r="Q736">
        <v>17.79</v>
      </c>
      <c r="R736">
        <v>0.15</v>
      </c>
      <c r="S736">
        <v>15.12</v>
      </c>
      <c r="T736" t="s">
        <v>888</v>
      </c>
      <c r="U736">
        <v>12.71</v>
      </c>
      <c r="V736">
        <v>2.41</v>
      </c>
    </row>
    <row r="737" spans="1:22" x14ac:dyDescent="0.35">
      <c r="A737" t="s">
        <v>2171</v>
      </c>
      <c r="B737" t="s">
        <v>1693</v>
      </c>
      <c r="C737" t="s">
        <v>504</v>
      </c>
      <c r="D737" t="s">
        <v>505</v>
      </c>
      <c r="E737" t="s">
        <v>254</v>
      </c>
      <c r="F737" t="s">
        <v>264</v>
      </c>
      <c r="G737" t="s">
        <v>797</v>
      </c>
      <c r="H737" t="s">
        <v>48</v>
      </c>
      <c r="I737" t="s">
        <v>217</v>
      </c>
      <c r="J737" t="s">
        <v>798</v>
      </c>
      <c r="K737" t="s">
        <v>793</v>
      </c>
      <c r="L737" t="s">
        <v>788</v>
      </c>
      <c r="M737" s="5">
        <v>45425</v>
      </c>
      <c r="O737">
        <v>2</v>
      </c>
      <c r="P737">
        <v>24.07</v>
      </c>
      <c r="Q737">
        <v>34.9</v>
      </c>
      <c r="R737">
        <v>0.05</v>
      </c>
      <c r="S737">
        <v>66.31</v>
      </c>
      <c r="T737" t="s">
        <v>814</v>
      </c>
      <c r="U737">
        <v>48.14</v>
      </c>
      <c r="V737">
        <v>18.170000000000002</v>
      </c>
    </row>
    <row r="738" spans="1:22" x14ac:dyDescent="0.35">
      <c r="A738" t="s">
        <v>2172</v>
      </c>
      <c r="B738" t="s">
        <v>1808</v>
      </c>
      <c r="C738" t="s">
        <v>430</v>
      </c>
      <c r="D738" t="s">
        <v>431</v>
      </c>
      <c r="E738" t="s">
        <v>633</v>
      </c>
      <c r="F738" t="s">
        <v>264</v>
      </c>
      <c r="G738" t="s">
        <v>797</v>
      </c>
      <c r="H738" t="s">
        <v>14</v>
      </c>
      <c r="I738" t="s">
        <v>56</v>
      </c>
      <c r="J738" t="s">
        <v>798</v>
      </c>
      <c r="K738" t="s">
        <v>799</v>
      </c>
      <c r="L738" t="s">
        <v>842</v>
      </c>
      <c r="M738" s="5">
        <v>45823</v>
      </c>
      <c r="N738" s="5">
        <v>45817</v>
      </c>
      <c r="O738">
        <v>3</v>
      </c>
      <c r="P738">
        <v>25.46</v>
      </c>
      <c r="Q738">
        <v>31.83</v>
      </c>
      <c r="R738">
        <v>0.1</v>
      </c>
      <c r="S738">
        <v>85.94</v>
      </c>
      <c r="T738" t="s">
        <v>869</v>
      </c>
      <c r="U738">
        <v>76.38</v>
      </c>
      <c r="V738">
        <v>9.56</v>
      </c>
    </row>
    <row r="739" spans="1:22" x14ac:dyDescent="0.35">
      <c r="A739" t="s">
        <v>2173</v>
      </c>
      <c r="B739" t="s">
        <v>1612</v>
      </c>
      <c r="C739" t="s">
        <v>588</v>
      </c>
      <c r="D739" t="s">
        <v>435</v>
      </c>
      <c r="E739" t="s">
        <v>637</v>
      </c>
      <c r="F739" t="s">
        <v>264</v>
      </c>
      <c r="G739" t="s">
        <v>14</v>
      </c>
      <c r="H739" t="s">
        <v>29</v>
      </c>
      <c r="I739" t="s">
        <v>145</v>
      </c>
      <c r="J739" t="s">
        <v>813</v>
      </c>
      <c r="K739" t="s">
        <v>787</v>
      </c>
      <c r="L739" t="s">
        <v>818</v>
      </c>
      <c r="M739" s="5">
        <v>46053</v>
      </c>
      <c r="O739">
        <v>5</v>
      </c>
      <c r="P739">
        <v>57.16</v>
      </c>
      <c r="Q739">
        <v>82.88</v>
      </c>
      <c r="R739">
        <v>0</v>
      </c>
      <c r="S739">
        <v>414.4</v>
      </c>
      <c r="T739" t="s">
        <v>803</v>
      </c>
      <c r="U739">
        <v>285.8</v>
      </c>
      <c r="V739">
        <v>128.6</v>
      </c>
    </row>
    <row r="740" spans="1:22" x14ac:dyDescent="0.35">
      <c r="A740" t="s">
        <v>2174</v>
      </c>
      <c r="B740" t="s">
        <v>1805</v>
      </c>
      <c r="C740" t="s">
        <v>388</v>
      </c>
      <c r="D740" t="s">
        <v>389</v>
      </c>
      <c r="E740" t="s">
        <v>696</v>
      </c>
      <c r="F740" t="s">
        <v>243</v>
      </c>
      <c r="G740" t="s">
        <v>20</v>
      </c>
      <c r="H740" t="s">
        <v>43</v>
      </c>
      <c r="I740" t="s">
        <v>113</v>
      </c>
      <c r="J740" t="s">
        <v>798</v>
      </c>
      <c r="K740" t="s">
        <v>793</v>
      </c>
      <c r="L740" t="s">
        <v>818</v>
      </c>
      <c r="M740" s="5">
        <v>45707</v>
      </c>
      <c r="O740">
        <v>2</v>
      </c>
      <c r="P740">
        <v>16.91</v>
      </c>
      <c r="Q740">
        <v>21.14</v>
      </c>
      <c r="R740">
        <v>0.15</v>
      </c>
      <c r="S740">
        <v>35.94</v>
      </c>
      <c r="T740" t="s">
        <v>790</v>
      </c>
      <c r="U740">
        <v>33.82</v>
      </c>
      <c r="V740">
        <v>2.12</v>
      </c>
    </row>
    <row r="741" spans="1:22" x14ac:dyDescent="0.35">
      <c r="A741" t="s">
        <v>2175</v>
      </c>
      <c r="B741" t="s">
        <v>939</v>
      </c>
      <c r="C741" t="s">
        <v>312</v>
      </c>
      <c r="D741" t="s">
        <v>313</v>
      </c>
      <c r="E741" t="s">
        <v>674</v>
      </c>
      <c r="F741" t="s">
        <v>235</v>
      </c>
      <c r="G741" t="s">
        <v>20</v>
      </c>
      <c r="H741" t="s">
        <v>8</v>
      </c>
      <c r="I741" t="s">
        <v>181</v>
      </c>
      <c r="J741" t="s">
        <v>786</v>
      </c>
      <c r="K741" t="s">
        <v>822</v>
      </c>
      <c r="L741" t="s">
        <v>818</v>
      </c>
      <c r="M741" s="5">
        <v>45782</v>
      </c>
      <c r="N741" s="5">
        <v>45774</v>
      </c>
      <c r="O741">
        <v>3</v>
      </c>
      <c r="P741">
        <v>20.49</v>
      </c>
      <c r="Q741">
        <v>29.71</v>
      </c>
      <c r="R741">
        <v>0</v>
      </c>
      <c r="S741">
        <v>89.13</v>
      </c>
      <c r="T741" t="s">
        <v>935</v>
      </c>
      <c r="U741">
        <v>61.47</v>
      </c>
      <c r="V741">
        <v>27.66</v>
      </c>
    </row>
    <row r="742" spans="1:22" x14ac:dyDescent="0.35">
      <c r="A742" t="s">
        <v>2176</v>
      </c>
      <c r="B742" t="s">
        <v>1437</v>
      </c>
      <c r="C742" t="s">
        <v>442</v>
      </c>
      <c r="D742" t="s">
        <v>443</v>
      </c>
      <c r="E742" t="s">
        <v>627</v>
      </c>
      <c r="F742" t="s">
        <v>235</v>
      </c>
      <c r="G742" t="s">
        <v>14</v>
      </c>
      <c r="H742" t="s">
        <v>14</v>
      </c>
      <c r="I742" t="s">
        <v>25</v>
      </c>
      <c r="J742" t="s">
        <v>798</v>
      </c>
      <c r="K742" t="s">
        <v>799</v>
      </c>
      <c r="L742" t="s">
        <v>800</v>
      </c>
      <c r="M742" s="5">
        <v>45365</v>
      </c>
      <c r="N742" s="5">
        <v>45367</v>
      </c>
      <c r="O742">
        <v>12</v>
      </c>
      <c r="P742">
        <v>18.95</v>
      </c>
      <c r="Q742">
        <v>25.58</v>
      </c>
      <c r="R742">
        <v>0.05</v>
      </c>
      <c r="S742">
        <v>291.61</v>
      </c>
      <c r="T742" t="s">
        <v>829</v>
      </c>
      <c r="U742">
        <v>227.4</v>
      </c>
      <c r="V742">
        <v>64.209999999999994</v>
      </c>
    </row>
    <row r="743" spans="1:22" x14ac:dyDescent="0.35">
      <c r="A743" t="s">
        <v>2177</v>
      </c>
      <c r="B743" t="s">
        <v>1311</v>
      </c>
      <c r="C743" t="s">
        <v>351</v>
      </c>
      <c r="D743" t="s">
        <v>352</v>
      </c>
      <c r="E743" t="s">
        <v>681</v>
      </c>
      <c r="F743" t="s">
        <v>264</v>
      </c>
      <c r="G743" t="s">
        <v>797</v>
      </c>
      <c r="H743" t="s">
        <v>29</v>
      </c>
      <c r="I743" t="s">
        <v>32</v>
      </c>
      <c r="J743" t="s">
        <v>798</v>
      </c>
      <c r="K743" t="s">
        <v>817</v>
      </c>
      <c r="L743" t="s">
        <v>818</v>
      </c>
      <c r="M743" s="5">
        <v>45458</v>
      </c>
      <c r="O743">
        <v>1</v>
      </c>
      <c r="P743">
        <v>18.989999999999998</v>
      </c>
      <c r="Q743">
        <v>25.64</v>
      </c>
      <c r="R743">
        <v>0</v>
      </c>
      <c r="S743">
        <v>25.64</v>
      </c>
      <c r="T743" t="s">
        <v>814</v>
      </c>
      <c r="U743">
        <v>18.989999999999998</v>
      </c>
      <c r="V743">
        <v>6.65</v>
      </c>
    </row>
    <row r="744" spans="1:22" x14ac:dyDescent="0.35">
      <c r="A744" t="s">
        <v>2178</v>
      </c>
      <c r="B744" t="s">
        <v>1642</v>
      </c>
      <c r="C744" t="s">
        <v>382</v>
      </c>
      <c r="D744" t="s">
        <v>383</v>
      </c>
      <c r="E744" t="s">
        <v>254</v>
      </c>
      <c r="F744" t="s">
        <v>264</v>
      </c>
      <c r="G744" t="s">
        <v>797</v>
      </c>
      <c r="H744" t="s">
        <v>43</v>
      </c>
      <c r="I744" t="s">
        <v>99</v>
      </c>
      <c r="J744" t="s">
        <v>813</v>
      </c>
      <c r="K744" t="s">
        <v>799</v>
      </c>
      <c r="L744" t="s">
        <v>818</v>
      </c>
      <c r="M744" s="5">
        <v>45735</v>
      </c>
      <c r="N744" s="5">
        <v>45735</v>
      </c>
      <c r="O744">
        <v>10</v>
      </c>
      <c r="P744">
        <v>10.88</v>
      </c>
      <c r="Q744">
        <v>15.78</v>
      </c>
      <c r="R744">
        <v>0</v>
      </c>
      <c r="S744">
        <v>157.80000000000001</v>
      </c>
      <c r="T744" t="s">
        <v>1017</v>
      </c>
      <c r="U744">
        <v>108.8</v>
      </c>
      <c r="V744">
        <v>49</v>
      </c>
    </row>
    <row r="745" spans="1:22" x14ac:dyDescent="0.35">
      <c r="A745" t="s">
        <v>2179</v>
      </c>
      <c r="B745" t="s">
        <v>1647</v>
      </c>
      <c r="C745" t="s">
        <v>299</v>
      </c>
      <c r="D745" t="s">
        <v>300</v>
      </c>
      <c r="E745" t="s">
        <v>633</v>
      </c>
      <c r="F745" t="s">
        <v>264</v>
      </c>
      <c r="G745" t="s">
        <v>797</v>
      </c>
      <c r="H745" t="s">
        <v>14</v>
      </c>
      <c r="I745" t="s">
        <v>56</v>
      </c>
      <c r="J745" t="s">
        <v>798</v>
      </c>
      <c r="K745" t="s">
        <v>799</v>
      </c>
      <c r="L745" t="s">
        <v>818</v>
      </c>
      <c r="M745" s="5">
        <v>45384</v>
      </c>
      <c r="N745" s="5">
        <v>45382</v>
      </c>
      <c r="O745">
        <v>10</v>
      </c>
      <c r="P745">
        <v>25.46</v>
      </c>
      <c r="Q745">
        <v>31.83</v>
      </c>
      <c r="R745">
        <v>0.1</v>
      </c>
      <c r="S745">
        <v>286.47000000000003</v>
      </c>
      <c r="T745" t="s">
        <v>963</v>
      </c>
      <c r="U745">
        <v>254.6</v>
      </c>
      <c r="V745">
        <v>31.87</v>
      </c>
    </row>
    <row r="746" spans="1:22" x14ac:dyDescent="0.35">
      <c r="A746" t="s">
        <v>2180</v>
      </c>
      <c r="B746" t="s">
        <v>2121</v>
      </c>
      <c r="C746" t="s">
        <v>317</v>
      </c>
      <c r="D746" t="s">
        <v>318</v>
      </c>
      <c r="E746" t="s">
        <v>696</v>
      </c>
      <c r="F746" t="s">
        <v>264</v>
      </c>
      <c r="G746" t="s">
        <v>797</v>
      </c>
      <c r="H746" t="s">
        <v>8</v>
      </c>
      <c r="I746" t="s">
        <v>129</v>
      </c>
      <c r="J746" t="s">
        <v>786</v>
      </c>
      <c r="K746" t="s">
        <v>787</v>
      </c>
      <c r="L746" t="s">
        <v>800</v>
      </c>
      <c r="M746" s="5">
        <v>45494</v>
      </c>
      <c r="O746">
        <v>5</v>
      </c>
      <c r="P746">
        <v>22.15</v>
      </c>
      <c r="Q746">
        <v>31.01</v>
      </c>
      <c r="R746">
        <v>0.05</v>
      </c>
      <c r="S746">
        <v>147.30000000000001</v>
      </c>
      <c r="T746" t="s">
        <v>819</v>
      </c>
      <c r="U746">
        <v>110.75</v>
      </c>
      <c r="V746">
        <v>36.549999999999997</v>
      </c>
    </row>
    <row r="747" spans="1:22" x14ac:dyDescent="0.35">
      <c r="A747" t="s">
        <v>2181</v>
      </c>
      <c r="B747" t="s">
        <v>2182</v>
      </c>
      <c r="C747" t="s">
        <v>584</v>
      </c>
      <c r="D747" t="s">
        <v>562</v>
      </c>
      <c r="E747" t="s">
        <v>637</v>
      </c>
      <c r="F747" t="s">
        <v>264</v>
      </c>
      <c r="G747" t="s">
        <v>797</v>
      </c>
      <c r="H747" t="s">
        <v>14</v>
      </c>
      <c r="I747" t="s">
        <v>150</v>
      </c>
      <c r="J747" t="s">
        <v>798</v>
      </c>
      <c r="K747" t="s">
        <v>793</v>
      </c>
      <c r="L747" t="s">
        <v>818</v>
      </c>
      <c r="M747" s="5">
        <v>45785</v>
      </c>
      <c r="O747">
        <v>10</v>
      </c>
      <c r="P747">
        <v>5.81</v>
      </c>
      <c r="Q747">
        <v>7.55</v>
      </c>
      <c r="R747">
        <v>0</v>
      </c>
      <c r="S747">
        <v>75.5</v>
      </c>
      <c r="T747" t="s">
        <v>790</v>
      </c>
      <c r="U747">
        <v>58.1</v>
      </c>
      <c r="V747">
        <v>17.399999999999999</v>
      </c>
    </row>
    <row r="748" spans="1:22" x14ac:dyDescent="0.35">
      <c r="A748" t="s">
        <v>2183</v>
      </c>
      <c r="B748" t="s">
        <v>990</v>
      </c>
      <c r="C748" t="s">
        <v>306</v>
      </c>
      <c r="D748" t="s">
        <v>307</v>
      </c>
      <c r="E748" t="s">
        <v>681</v>
      </c>
      <c r="G748" t="s">
        <v>14</v>
      </c>
      <c r="H748" t="s">
        <v>38</v>
      </c>
      <c r="I748" t="s">
        <v>156</v>
      </c>
      <c r="J748" t="s">
        <v>798</v>
      </c>
      <c r="K748" t="s">
        <v>793</v>
      </c>
      <c r="L748" t="s">
        <v>800</v>
      </c>
      <c r="M748" s="5">
        <v>45910</v>
      </c>
      <c r="O748">
        <v>1</v>
      </c>
      <c r="P748">
        <v>20.81</v>
      </c>
      <c r="Q748">
        <v>29.13</v>
      </c>
      <c r="R748">
        <v>0</v>
      </c>
      <c r="S748">
        <v>29.13</v>
      </c>
      <c r="T748" t="s">
        <v>888</v>
      </c>
      <c r="U748">
        <v>20.81</v>
      </c>
      <c r="V748">
        <v>8.32</v>
      </c>
    </row>
    <row r="749" spans="1:22" x14ac:dyDescent="0.35">
      <c r="A749" t="s">
        <v>2184</v>
      </c>
      <c r="B749" t="s">
        <v>894</v>
      </c>
      <c r="C749" t="s">
        <v>509</v>
      </c>
      <c r="D749" t="s">
        <v>510</v>
      </c>
      <c r="E749" t="s">
        <v>637</v>
      </c>
      <c r="F749" t="s">
        <v>235</v>
      </c>
      <c r="G749" t="s">
        <v>797</v>
      </c>
      <c r="H749" t="s">
        <v>20</v>
      </c>
      <c r="I749" t="s">
        <v>39</v>
      </c>
      <c r="J749" t="s">
        <v>786</v>
      </c>
      <c r="K749" t="s">
        <v>799</v>
      </c>
      <c r="L749" t="s">
        <v>800</v>
      </c>
      <c r="M749" s="5">
        <v>45775</v>
      </c>
      <c r="N749" s="5">
        <v>45769</v>
      </c>
      <c r="O749">
        <v>2</v>
      </c>
      <c r="P749">
        <v>9.5</v>
      </c>
      <c r="Q749">
        <v>12.83</v>
      </c>
      <c r="R749">
        <v>0.1</v>
      </c>
      <c r="S749">
        <v>23.09</v>
      </c>
      <c r="T749" t="s">
        <v>839</v>
      </c>
      <c r="U749">
        <v>19</v>
      </c>
      <c r="V749">
        <v>4.09</v>
      </c>
    </row>
    <row r="750" spans="1:22" x14ac:dyDescent="0.35">
      <c r="A750" t="s">
        <v>2185</v>
      </c>
      <c r="B750" t="s">
        <v>2097</v>
      </c>
      <c r="C750" t="s">
        <v>491</v>
      </c>
      <c r="D750" t="s">
        <v>492</v>
      </c>
      <c r="E750" t="s">
        <v>681</v>
      </c>
      <c r="F750" t="s">
        <v>264</v>
      </c>
      <c r="G750" t="s">
        <v>48</v>
      </c>
      <c r="H750" t="s">
        <v>38</v>
      </c>
      <c r="I750" t="s">
        <v>172</v>
      </c>
      <c r="J750" t="s">
        <v>813</v>
      </c>
      <c r="K750" t="s">
        <v>793</v>
      </c>
      <c r="L750" t="s">
        <v>788</v>
      </c>
      <c r="M750" s="5">
        <v>45423</v>
      </c>
      <c r="O750">
        <v>3</v>
      </c>
      <c r="P750">
        <v>18.329999999999998</v>
      </c>
      <c r="Q750">
        <v>22.91</v>
      </c>
      <c r="R750">
        <v>0.05</v>
      </c>
      <c r="S750">
        <v>65.290000000000006</v>
      </c>
      <c r="T750" t="s">
        <v>1001</v>
      </c>
      <c r="U750">
        <v>54.99</v>
      </c>
      <c r="V750">
        <v>10.3</v>
      </c>
    </row>
    <row r="751" spans="1:22" x14ac:dyDescent="0.35">
      <c r="A751" t="s">
        <v>2186</v>
      </c>
      <c r="B751" t="s">
        <v>2187</v>
      </c>
      <c r="C751" t="s">
        <v>552</v>
      </c>
      <c r="D751" t="s">
        <v>553</v>
      </c>
      <c r="E751" t="s">
        <v>696</v>
      </c>
      <c r="F751" t="s">
        <v>235</v>
      </c>
      <c r="G751" t="s">
        <v>797</v>
      </c>
      <c r="H751" t="s">
        <v>38</v>
      </c>
      <c r="I751" t="s">
        <v>109</v>
      </c>
      <c r="J751" t="s">
        <v>798</v>
      </c>
      <c r="K751" t="s">
        <v>793</v>
      </c>
      <c r="L751" t="s">
        <v>842</v>
      </c>
      <c r="M751" s="5">
        <v>45858</v>
      </c>
      <c r="O751">
        <v>10</v>
      </c>
      <c r="P751">
        <v>29.32</v>
      </c>
      <c r="Q751">
        <v>36.65</v>
      </c>
      <c r="R751">
        <v>0</v>
      </c>
      <c r="S751">
        <v>366.5</v>
      </c>
      <c r="T751" t="s">
        <v>814</v>
      </c>
      <c r="U751">
        <v>293.2</v>
      </c>
      <c r="V751">
        <v>73.3</v>
      </c>
    </row>
    <row r="752" spans="1:22" x14ac:dyDescent="0.35">
      <c r="A752" t="s">
        <v>2189</v>
      </c>
      <c r="B752" t="s">
        <v>1243</v>
      </c>
      <c r="C752" t="s">
        <v>426</v>
      </c>
      <c r="D752" t="s">
        <v>427</v>
      </c>
      <c r="E752" t="s">
        <v>627</v>
      </c>
      <c r="F752" t="s">
        <v>264</v>
      </c>
      <c r="G752" t="s">
        <v>20</v>
      </c>
      <c r="H752" t="s">
        <v>29</v>
      </c>
      <c r="I752" t="s">
        <v>154</v>
      </c>
      <c r="J752" t="s">
        <v>813</v>
      </c>
      <c r="K752" t="s">
        <v>799</v>
      </c>
      <c r="L752" t="s">
        <v>818</v>
      </c>
      <c r="M752" s="5">
        <v>45311</v>
      </c>
      <c r="N752" s="5">
        <v>45314</v>
      </c>
      <c r="O752">
        <v>5</v>
      </c>
      <c r="P752">
        <v>25.74</v>
      </c>
      <c r="Q752">
        <v>33.46</v>
      </c>
      <c r="R752">
        <v>0.05</v>
      </c>
      <c r="S752">
        <v>158.94</v>
      </c>
      <c r="T752" t="s">
        <v>876</v>
      </c>
      <c r="U752">
        <v>128.69999999999999</v>
      </c>
      <c r="V752">
        <v>30.24</v>
      </c>
    </row>
    <row r="753" spans="1:22" x14ac:dyDescent="0.35">
      <c r="A753" t="s">
        <v>2190</v>
      </c>
      <c r="B753" t="s">
        <v>838</v>
      </c>
      <c r="C753" t="s">
        <v>479</v>
      </c>
      <c r="D753" t="s">
        <v>480</v>
      </c>
      <c r="E753" t="s">
        <v>627</v>
      </c>
      <c r="F753" t="s">
        <v>243</v>
      </c>
      <c r="G753" t="s">
        <v>48</v>
      </c>
      <c r="H753" t="s">
        <v>48</v>
      </c>
      <c r="I753" t="s">
        <v>148</v>
      </c>
      <c r="J753" t="s">
        <v>798</v>
      </c>
      <c r="K753" t="s">
        <v>822</v>
      </c>
      <c r="L753" t="s">
        <v>818</v>
      </c>
      <c r="M753" s="5">
        <v>45659</v>
      </c>
      <c r="N753" s="5">
        <v>45655</v>
      </c>
      <c r="O753">
        <v>2</v>
      </c>
      <c r="P753">
        <v>58.01</v>
      </c>
      <c r="Q753">
        <v>72.510000000000005</v>
      </c>
      <c r="R753">
        <v>0.05</v>
      </c>
      <c r="S753">
        <v>137.77000000000001</v>
      </c>
      <c r="T753" t="s">
        <v>814</v>
      </c>
      <c r="U753">
        <v>116.02</v>
      </c>
      <c r="V753">
        <v>21.75</v>
      </c>
    </row>
    <row r="754" spans="1:22" x14ac:dyDescent="0.35">
      <c r="A754" t="s">
        <v>2191</v>
      </c>
      <c r="B754" t="s">
        <v>2188</v>
      </c>
      <c r="C754" t="s">
        <v>358</v>
      </c>
      <c r="D754" t="s">
        <v>287</v>
      </c>
      <c r="E754" t="s">
        <v>627</v>
      </c>
      <c r="F754" t="s">
        <v>243</v>
      </c>
      <c r="G754" t="s">
        <v>797</v>
      </c>
      <c r="H754" t="s">
        <v>43</v>
      </c>
      <c r="I754" t="s">
        <v>58</v>
      </c>
      <c r="J754" t="s">
        <v>798</v>
      </c>
      <c r="K754" t="s">
        <v>799</v>
      </c>
      <c r="L754" t="s">
        <v>818</v>
      </c>
      <c r="M754" s="5">
        <v>45865</v>
      </c>
      <c r="N754" s="5">
        <v>45868</v>
      </c>
      <c r="O754">
        <v>5</v>
      </c>
      <c r="P754">
        <v>11.21</v>
      </c>
      <c r="Q754">
        <v>15.13</v>
      </c>
      <c r="R754">
        <v>0.15</v>
      </c>
      <c r="S754">
        <v>64.3</v>
      </c>
      <c r="T754" t="s">
        <v>859</v>
      </c>
      <c r="U754">
        <v>56.05</v>
      </c>
      <c r="V754">
        <v>8.25</v>
      </c>
    </row>
    <row r="755" spans="1:22" x14ac:dyDescent="0.35">
      <c r="A755" t="s">
        <v>2193</v>
      </c>
      <c r="B755" t="s">
        <v>1431</v>
      </c>
      <c r="C755" t="s">
        <v>324</v>
      </c>
      <c r="D755" t="s">
        <v>296</v>
      </c>
      <c r="E755" t="s">
        <v>254</v>
      </c>
      <c r="F755" t="s">
        <v>264</v>
      </c>
      <c r="G755" t="s">
        <v>14</v>
      </c>
      <c r="H755" t="s">
        <v>8</v>
      </c>
      <c r="I755" t="s">
        <v>91</v>
      </c>
      <c r="J755" t="s">
        <v>798</v>
      </c>
      <c r="K755" t="s">
        <v>793</v>
      </c>
      <c r="L755" t="s">
        <v>818</v>
      </c>
      <c r="M755" s="5">
        <v>45400</v>
      </c>
      <c r="O755">
        <v>2</v>
      </c>
      <c r="P755">
        <v>36.82</v>
      </c>
      <c r="Q755">
        <v>47.87</v>
      </c>
      <c r="R755">
        <v>0.15</v>
      </c>
      <c r="S755">
        <v>81.38</v>
      </c>
      <c r="T755" t="s">
        <v>946</v>
      </c>
      <c r="U755">
        <v>73.64</v>
      </c>
      <c r="V755">
        <v>7.74</v>
      </c>
    </row>
    <row r="756" spans="1:22" x14ac:dyDescent="0.35">
      <c r="A756" t="s">
        <v>2194</v>
      </c>
      <c r="B756" t="s">
        <v>1162</v>
      </c>
      <c r="C756" t="s">
        <v>564</v>
      </c>
      <c r="D756" t="s">
        <v>526</v>
      </c>
      <c r="E756" t="s">
        <v>696</v>
      </c>
      <c r="F756" t="s">
        <v>243</v>
      </c>
      <c r="G756" t="s">
        <v>14</v>
      </c>
      <c r="H756" t="s">
        <v>48</v>
      </c>
      <c r="I756" t="s">
        <v>61</v>
      </c>
      <c r="J756" t="s">
        <v>786</v>
      </c>
      <c r="K756" t="s">
        <v>799</v>
      </c>
      <c r="L756" t="s">
        <v>818</v>
      </c>
      <c r="M756" s="5">
        <v>45863</v>
      </c>
      <c r="N756" s="5">
        <v>45857</v>
      </c>
      <c r="O756">
        <v>20</v>
      </c>
      <c r="P756">
        <v>26.08</v>
      </c>
      <c r="Q756">
        <v>35.21</v>
      </c>
      <c r="R756">
        <v>0</v>
      </c>
      <c r="S756">
        <v>704.2</v>
      </c>
      <c r="T756" t="s">
        <v>794</v>
      </c>
      <c r="U756">
        <v>521.6</v>
      </c>
      <c r="V756">
        <v>182.6</v>
      </c>
    </row>
    <row r="757" spans="1:22" x14ac:dyDescent="0.35">
      <c r="A757" t="s">
        <v>2196</v>
      </c>
      <c r="B757" t="s">
        <v>1163</v>
      </c>
      <c r="C757" t="s">
        <v>331</v>
      </c>
      <c r="D757" t="s">
        <v>332</v>
      </c>
      <c r="E757" t="s">
        <v>674</v>
      </c>
      <c r="F757" t="s">
        <v>264</v>
      </c>
      <c r="G757" t="s">
        <v>20</v>
      </c>
      <c r="H757" t="s">
        <v>20</v>
      </c>
      <c r="I757" t="s">
        <v>197</v>
      </c>
      <c r="J757" t="s">
        <v>786</v>
      </c>
      <c r="K757" t="s">
        <v>793</v>
      </c>
      <c r="L757" t="s">
        <v>818</v>
      </c>
      <c r="M757" s="5">
        <v>45870</v>
      </c>
      <c r="O757">
        <v>2</v>
      </c>
      <c r="P757">
        <v>22.45</v>
      </c>
      <c r="Q757">
        <v>29.18</v>
      </c>
      <c r="R757">
        <v>0.05</v>
      </c>
      <c r="S757">
        <v>55.44</v>
      </c>
      <c r="T757" t="s">
        <v>869</v>
      </c>
      <c r="U757">
        <v>44.9</v>
      </c>
      <c r="V757">
        <v>10.54</v>
      </c>
    </row>
    <row r="758" spans="1:22" x14ac:dyDescent="0.35">
      <c r="A758" t="s">
        <v>2197</v>
      </c>
      <c r="B758" t="s">
        <v>1634</v>
      </c>
      <c r="C758" t="s">
        <v>238</v>
      </c>
      <c r="D758" t="s">
        <v>239</v>
      </c>
      <c r="E758" t="s">
        <v>633</v>
      </c>
      <c r="F758" t="s">
        <v>243</v>
      </c>
      <c r="G758" t="s">
        <v>20</v>
      </c>
      <c r="H758" t="s">
        <v>14</v>
      </c>
      <c r="I758" t="s">
        <v>30</v>
      </c>
      <c r="J758" t="s">
        <v>798</v>
      </c>
      <c r="K758" t="s">
        <v>793</v>
      </c>
      <c r="L758" t="s">
        <v>800</v>
      </c>
      <c r="M758" s="5">
        <v>46019</v>
      </c>
      <c r="O758">
        <v>12</v>
      </c>
      <c r="P758">
        <v>19.010000000000002</v>
      </c>
      <c r="Q758">
        <v>27.56</v>
      </c>
      <c r="R758">
        <v>0</v>
      </c>
      <c r="S758">
        <v>330.72</v>
      </c>
      <c r="T758" t="s">
        <v>876</v>
      </c>
      <c r="U758">
        <v>228.12</v>
      </c>
      <c r="V758">
        <v>102.6</v>
      </c>
    </row>
    <row r="759" spans="1:22" x14ac:dyDescent="0.35">
      <c r="A759" t="s">
        <v>2198</v>
      </c>
      <c r="B759" t="s">
        <v>1115</v>
      </c>
      <c r="C759" t="s">
        <v>238</v>
      </c>
      <c r="D759" t="s">
        <v>239</v>
      </c>
      <c r="E759" t="s">
        <v>696</v>
      </c>
      <c r="F759" t="s">
        <v>243</v>
      </c>
      <c r="G759" t="s">
        <v>797</v>
      </c>
      <c r="H759" t="s">
        <v>20</v>
      </c>
      <c r="I759" t="s">
        <v>104</v>
      </c>
      <c r="J759" t="s">
        <v>813</v>
      </c>
      <c r="K759" t="s">
        <v>799</v>
      </c>
      <c r="L759" t="s">
        <v>800</v>
      </c>
      <c r="M759" s="5">
        <v>45984</v>
      </c>
      <c r="N759" s="5">
        <v>45991</v>
      </c>
      <c r="O759">
        <v>10</v>
      </c>
      <c r="P759">
        <v>43.88</v>
      </c>
      <c r="Q759">
        <v>54.85</v>
      </c>
      <c r="R759">
        <v>0</v>
      </c>
      <c r="S759">
        <v>548.5</v>
      </c>
      <c r="T759" t="s">
        <v>810</v>
      </c>
      <c r="U759">
        <v>438.8</v>
      </c>
      <c r="V759">
        <v>109.7</v>
      </c>
    </row>
    <row r="760" spans="1:22" x14ac:dyDescent="0.35">
      <c r="A760" t="s">
        <v>2199</v>
      </c>
      <c r="B760" t="s">
        <v>1642</v>
      </c>
      <c r="C760" t="s">
        <v>534</v>
      </c>
      <c r="D760" t="s">
        <v>535</v>
      </c>
      <c r="E760" t="s">
        <v>696</v>
      </c>
      <c r="G760" t="s">
        <v>797</v>
      </c>
      <c r="H760" t="s">
        <v>20</v>
      </c>
      <c r="I760" t="s">
        <v>197</v>
      </c>
      <c r="J760" t="s">
        <v>798</v>
      </c>
      <c r="K760" t="s">
        <v>799</v>
      </c>
      <c r="L760" t="s">
        <v>818</v>
      </c>
      <c r="M760" s="5">
        <v>45739</v>
      </c>
      <c r="N760" s="5">
        <v>45739</v>
      </c>
      <c r="O760">
        <v>5</v>
      </c>
      <c r="P760">
        <v>22.45</v>
      </c>
      <c r="Q760">
        <v>29.18</v>
      </c>
      <c r="R760">
        <v>0</v>
      </c>
      <c r="S760">
        <v>145.9</v>
      </c>
      <c r="T760" t="s">
        <v>869</v>
      </c>
      <c r="U760">
        <v>112.25</v>
      </c>
      <c r="V760">
        <v>33.65</v>
      </c>
    </row>
    <row r="761" spans="1:22" x14ac:dyDescent="0.35">
      <c r="A761" t="s">
        <v>2201</v>
      </c>
      <c r="B761" t="s">
        <v>1575</v>
      </c>
      <c r="C761" t="s">
        <v>469</v>
      </c>
      <c r="D761" t="s">
        <v>470</v>
      </c>
      <c r="E761" t="s">
        <v>633</v>
      </c>
      <c r="F761" t="s">
        <v>235</v>
      </c>
      <c r="G761" t="s">
        <v>14</v>
      </c>
      <c r="H761" t="s">
        <v>48</v>
      </c>
      <c r="I761" t="s">
        <v>139</v>
      </c>
      <c r="J761" t="s">
        <v>798</v>
      </c>
      <c r="K761" t="s">
        <v>787</v>
      </c>
      <c r="L761" t="s">
        <v>788</v>
      </c>
      <c r="M761" s="5">
        <v>46044</v>
      </c>
      <c r="O761">
        <v>2</v>
      </c>
      <c r="P761">
        <v>29.93</v>
      </c>
      <c r="Q761">
        <v>41.9</v>
      </c>
      <c r="R761">
        <v>0.1</v>
      </c>
      <c r="S761">
        <v>75.42</v>
      </c>
      <c r="T761" t="s">
        <v>919</v>
      </c>
      <c r="U761">
        <v>59.86</v>
      </c>
      <c r="V761">
        <v>15.56</v>
      </c>
    </row>
    <row r="762" spans="1:22" x14ac:dyDescent="0.35">
      <c r="A762" t="s">
        <v>2202</v>
      </c>
      <c r="B762" t="s">
        <v>1280</v>
      </c>
      <c r="C762" t="s">
        <v>465</v>
      </c>
      <c r="D762" t="s">
        <v>348</v>
      </c>
      <c r="E762" t="s">
        <v>637</v>
      </c>
      <c r="F762" t="s">
        <v>264</v>
      </c>
      <c r="G762" t="s">
        <v>20</v>
      </c>
      <c r="H762" t="s">
        <v>29</v>
      </c>
      <c r="I762" t="s">
        <v>86</v>
      </c>
      <c r="J762" t="s">
        <v>786</v>
      </c>
      <c r="K762" t="s">
        <v>799</v>
      </c>
      <c r="L762" t="s">
        <v>788</v>
      </c>
      <c r="M762" s="5">
        <v>45952</v>
      </c>
      <c r="N762" s="5">
        <v>45940</v>
      </c>
      <c r="O762">
        <v>5</v>
      </c>
      <c r="P762">
        <v>8.35</v>
      </c>
      <c r="Q762">
        <v>12.11</v>
      </c>
      <c r="R762">
        <v>0</v>
      </c>
      <c r="S762">
        <v>60.55</v>
      </c>
      <c r="T762" t="s">
        <v>963</v>
      </c>
      <c r="U762">
        <v>41.75</v>
      </c>
      <c r="V762">
        <v>18.8</v>
      </c>
    </row>
    <row r="763" spans="1:22" x14ac:dyDescent="0.35">
      <c r="A763" t="s">
        <v>2203</v>
      </c>
      <c r="B763" t="s">
        <v>1504</v>
      </c>
      <c r="C763" t="s">
        <v>483</v>
      </c>
      <c r="D763" t="s">
        <v>484</v>
      </c>
      <c r="E763" t="s">
        <v>254</v>
      </c>
      <c r="F763" t="s">
        <v>264</v>
      </c>
      <c r="G763" t="s">
        <v>14</v>
      </c>
      <c r="H763" t="s">
        <v>43</v>
      </c>
      <c r="I763" t="s">
        <v>161</v>
      </c>
      <c r="J763" t="s">
        <v>798</v>
      </c>
      <c r="K763" t="s">
        <v>787</v>
      </c>
      <c r="L763" t="s">
        <v>842</v>
      </c>
      <c r="M763" s="5">
        <v>45394</v>
      </c>
      <c r="O763">
        <v>3</v>
      </c>
      <c r="P763">
        <v>21.74</v>
      </c>
      <c r="Q763">
        <v>30.44</v>
      </c>
      <c r="R763">
        <v>0.1</v>
      </c>
      <c r="S763">
        <v>82.19</v>
      </c>
      <c r="T763" t="s">
        <v>935</v>
      </c>
      <c r="U763">
        <v>65.22</v>
      </c>
      <c r="V763">
        <v>16.97</v>
      </c>
    </row>
    <row r="764" spans="1:22" x14ac:dyDescent="0.35">
      <c r="A764" t="s">
        <v>2204</v>
      </c>
      <c r="B764" t="s">
        <v>1483</v>
      </c>
      <c r="C764" t="s">
        <v>493</v>
      </c>
      <c r="D764" t="s">
        <v>311</v>
      </c>
      <c r="E764" t="s">
        <v>681</v>
      </c>
      <c r="F764" t="s">
        <v>243</v>
      </c>
      <c r="G764" t="s">
        <v>14</v>
      </c>
      <c r="H764" t="s">
        <v>29</v>
      </c>
      <c r="I764" t="s">
        <v>176</v>
      </c>
      <c r="J764" t="s">
        <v>798</v>
      </c>
      <c r="K764" t="s">
        <v>793</v>
      </c>
      <c r="L764" t="s">
        <v>788</v>
      </c>
      <c r="M764" s="5">
        <v>45324</v>
      </c>
      <c r="O764">
        <v>10</v>
      </c>
      <c r="P764">
        <v>25.88</v>
      </c>
      <c r="Q764">
        <v>36.229999999999997</v>
      </c>
      <c r="R764">
        <v>0</v>
      </c>
      <c r="S764">
        <v>362.3</v>
      </c>
      <c r="T764" t="s">
        <v>963</v>
      </c>
      <c r="U764">
        <v>258.8</v>
      </c>
      <c r="V764">
        <v>103.5</v>
      </c>
    </row>
    <row r="765" spans="1:22" x14ac:dyDescent="0.35">
      <c r="A765" t="s">
        <v>2205</v>
      </c>
      <c r="B765" t="s">
        <v>1831</v>
      </c>
      <c r="C765" t="s">
        <v>596</v>
      </c>
      <c r="D765" t="s">
        <v>443</v>
      </c>
      <c r="E765" t="s">
        <v>637</v>
      </c>
      <c r="F765" t="s">
        <v>264</v>
      </c>
      <c r="G765" t="s">
        <v>20</v>
      </c>
      <c r="H765" t="s">
        <v>20</v>
      </c>
      <c r="I765" t="s">
        <v>134</v>
      </c>
      <c r="J765" t="s">
        <v>798</v>
      </c>
      <c r="K765" t="s">
        <v>793</v>
      </c>
      <c r="L765" t="s">
        <v>842</v>
      </c>
      <c r="M765" s="5">
        <v>45847</v>
      </c>
      <c r="O765">
        <v>5</v>
      </c>
      <c r="P765">
        <v>38.36</v>
      </c>
      <c r="Q765">
        <v>53.7</v>
      </c>
      <c r="R765">
        <v>0</v>
      </c>
      <c r="S765">
        <v>268.5</v>
      </c>
      <c r="T765" t="s">
        <v>834</v>
      </c>
      <c r="U765">
        <v>191.8</v>
      </c>
      <c r="V765">
        <v>76.7</v>
      </c>
    </row>
    <row r="766" spans="1:22" x14ac:dyDescent="0.35">
      <c r="A766" t="s">
        <v>2206</v>
      </c>
      <c r="B766" t="s">
        <v>1995</v>
      </c>
      <c r="C766" t="s">
        <v>257</v>
      </c>
      <c r="D766" t="s">
        <v>258</v>
      </c>
      <c r="E766" t="s">
        <v>681</v>
      </c>
      <c r="F766" t="s">
        <v>235</v>
      </c>
      <c r="G766" t="s">
        <v>48</v>
      </c>
      <c r="H766" t="s">
        <v>8</v>
      </c>
      <c r="I766" t="s">
        <v>181</v>
      </c>
      <c r="J766" t="s">
        <v>786</v>
      </c>
      <c r="K766" t="s">
        <v>787</v>
      </c>
      <c r="L766" t="s">
        <v>842</v>
      </c>
      <c r="M766" s="5">
        <v>45453</v>
      </c>
      <c r="O766">
        <v>3</v>
      </c>
      <c r="P766">
        <v>20.49</v>
      </c>
      <c r="Q766">
        <v>29.71</v>
      </c>
      <c r="R766">
        <v>0</v>
      </c>
      <c r="S766">
        <v>89.13</v>
      </c>
      <c r="T766" t="s">
        <v>888</v>
      </c>
      <c r="U766">
        <v>61.47</v>
      </c>
      <c r="V766">
        <v>27.66</v>
      </c>
    </row>
    <row r="767" spans="1:22" x14ac:dyDescent="0.35">
      <c r="A767" t="s">
        <v>2207</v>
      </c>
      <c r="B767" t="s">
        <v>1000</v>
      </c>
      <c r="C767" t="s">
        <v>367</v>
      </c>
      <c r="D767" t="s">
        <v>368</v>
      </c>
      <c r="E767" t="s">
        <v>254</v>
      </c>
      <c r="F767" t="s">
        <v>264</v>
      </c>
      <c r="G767" t="s">
        <v>797</v>
      </c>
      <c r="H767" t="s">
        <v>8</v>
      </c>
      <c r="I767" t="s">
        <v>95</v>
      </c>
      <c r="J767" t="s">
        <v>786</v>
      </c>
      <c r="K767" t="s">
        <v>822</v>
      </c>
      <c r="L767" t="s">
        <v>788</v>
      </c>
      <c r="M767" s="5">
        <v>45595</v>
      </c>
      <c r="N767" s="5">
        <v>45589</v>
      </c>
      <c r="O767">
        <v>3</v>
      </c>
      <c r="P767">
        <v>23.02</v>
      </c>
      <c r="Q767">
        <v>28.77</v>
      </c>
      <c r="R767">
        <v>0.05</v>
      </c>
      <c r="S767">
        <v>81.99</v>
      </c>
      <c r="T767" t="s">
        <v>919</v>
      </c>
      <c r="U767">
        <v>69.06</v>
      </c>
      <c r="V767">
        <v>12.93</v>
      </c>
    </row>
    <row r="768" spans="1:22" x14ac:dyDescent="0.35">
      <c r="A768" t="s">
        <v>2208</v>
      </c>
      <c r="B768" t="s">
        <v>2060</v>
      </c>
      <c r="C768" t="s">
        <v>303</v>
      </c>
      <c r="D768" t="s">
        <v>304</v>
      </c>
      <c r="E768" t="s">
        <v>696</v>
      </c>
      <c r="F768" t="s">
        <v>243</v>
      </c>
      <c r="G768" t="s">
        <v>48</v>
      </c>
      <c r="H768" t="s">
        <v>29</v>
      </c>
      <c r="I768" t="s">
        <v>191</v>
      </c>
      <c r="J768" t="s">
        <v>813</v>
      </c>
      <c r="K768" t="s">
        <v>799</v>
      </c>
      <c r="L768" t="s">
        <v>818</v>
      </c>
      <c r="M768" s="5">
        <v>45317</v>
      </c>
      <c r="N768" s="5">
        <v>45322</v>
      </c>
      <c r="O768">
        <v>10</v>
      </c>
      <c r="P768">
        <v>11.26</v>
      </c>
      <c r="Q768">
        <v>15.2</v>
      </c>
      <c r="R768">
        <v>0</v>
      </c>
      <c r="S768">
        <v>152</v>
      </c>
      <c r="T768" t="s">
        <v>869</v>
      </c>
      <c r="U768">
        <v>112.6</v>
      </c>
      <c r="V768">
        <v>39.4</v>
      </c>
    </row>
    <row r="769" spans="1:22" x14ac:dyDescent="0.35">
      <c r="A769" t="s">
        <v>2209</v>
      </c>
      <c r="B769" t="s">
        <v>1550</v>
      </c>
      <c r="C769" t="s">
        <v>423</v>
      </c>
      <c r="D769" t="s">
        <v>424</v>
      </c>
      <c r="E769" t="s">
        <v>254</v>
      </c>
      <c r="F769" t="s">
        <v>235</v>
      </c>
      <c r="G769" t="s">
        <v>48</v>
      </c>
      <c r="H769" t="s">
        <v>8</v>
      </c>
      <c r="I769" t="s">
        <v>21</v>
      </c>
      <c r="J769" t="s">
        <v>798</v>
      </c>
      <c r="K769" t="s">
        <v>799</v>
      </c>
      <c r="L769" t="s">
        <v>842</v>
      </c>
      <c r="M769" s="5">
        <v>45463</v>
      </c>
      <c r="N769" s="5">
        <v>45462</v>
      </c>
      <c r="O769">
        <v>12</v>
      </c>
      <c r="P769">
        <v>21.57</v>
      </c>
      <c r="Q769">
        <v>26.96</v>
      </c>
      <c r="R769">
        <v>0</v>
      </c>
      <c r="S769">
        <v>323.52</v>
      </c>
      <c r="T769" t="s">
        <v>1134</v>
      </c>
      <c r="U769">
        <v>258.83999999999997</v>
      </c>
      <c r="V769">
        <v>64.680000000000007</v>
      </c>
    </row>
    <row r="770" spans="1:22" x14ac:dyDescent="0.35">
      <c r="A770" t="s">
        <v>2210</v>
      </c>
      <c r="B770" t="s">
        <v>1191</v>
      </c>
      <c r="C770" t="s">
        <v>552</v>
      </c>
      <c r="D770" t="s">
        <v>553</v>
      </c>
      <c r="E770" t="s">
        <v>627</v>
      </c>
      <c r="F770" t="s">
        <v>235</v>
      </c>
      <c r="G770" t="s">
        <v>797</v>
      </c>
      <c r="H770" t="s">
        <v>29</v>
      </c>
      <c r="I770" t="s">
        <v>158</v>
      </c>
      <c r="J770" t="s">
        <v>798</v>
      </c>
      <c r="K770" t="s">
        <v>793</v>
      </c>
      <c r="L770" t="s">
        <v>842</v>
      </c>
      <c r="M770" s="5">
        <v>45794</v>
      </c>
      <c r="O770">
        <v>2</v>
      </c>
      <c r="P770">
        <v>25.8</v>
      </c>
      <c r="Q770">
        <v>36.119999999999997</v>
      </c>
      <c r="R770">
        <v>0</v>
      </c>
      <c r="S770">
        <v>72.239999999999995</v>
      </c>
      <c r="T770" t="s">
        <v>946</v>
      </c>
      <c r="U770">
        <v>51.6</v>
      </c>
      <c r="V770">
        <v>20.64</v>
      </c>
    </row>
    <row r="771" spans="1:22" x14ac:dyDescent="0.35">
      <c r="A771" t="s">
        <v>2211</v>
      </c>
      <c r="B771" t="s">
        <v>1508</v>
      </c>
      <c r="C771" t="s">
        <v>257</v>
      </c>
      <c r="D771" t="s">
        <v>258</v>
      </c>
      <c r="E771" t="s">
        <v>627</v>
      </c>
      <c r="F771" t="s">
        <v>235</v>
      </c>
      <c r="G771" t="s">
        <v>14</v>
      </c>
      <c r="H771" t="s">
        <v>48</v>
      </c>
      <c r="I771" t="s">
        <v>202</v>
      </c>
      <c r="J771" t="s">
        <v>813</v>
      </c>
      <c r="K771" t="s">
        <v>799</v>
      </c>
      <c r="L771" t="s">
        <v>842</v>
      </c>
      <c r="M771" s="5">
        <v>45325</v>
      </c>
      <c r="N771" s="5">
        <v>45328</v>
      </c>
      <c r="O771">
        <v>10</v>
      </c>
      <c r="P771">
        <v>27</v>
      </c>
      <c r="Q771">
        <v>39.15</v>
      </c>
      <c r="R771">
        <v>0</v>
      </c>
      <c r="S771">
        <v>391.5</v>
      </c>
      <c r="T771" t="s">
        <v>839</v>
      </c>
      <c r="U771">
        <v>270</v>
      </c>
      <c r="V771">
        <v>121.5</v>
      </c>
    </row>
    <row r="772" spans="1:22" x14ac:dyDescent="0.35">
      <c r="A772" t="s">
        <v>2212</v>
      </c>
      <c r="B772" t="s">
        <v>2213</v>
      </c>
      <c r="C772" t="s">
        <v>312</v>
      </c>
      <c r="D772" t="s">
        <v>313</v>
      </c>
      <c r="E772" t="s">
        <v>681</v>
      </c>
      <c r="F772" t="s">
        <v>235</v>
      </c>
      <c r="G772" t="s">
        <v>14</v>
      </c>
      <c r="H772" t="s">
        <v>48</v>
      </c>
      <c r="I772" t="s">
        <v>143</v>
      </c>
      <c r="J772" t="s">
        <v>813</v>
      </c>
      <c r="K772" t="s">
        <v>793</v>
      </c>
      <c r="L772" t="s">
        <v>788</v>
      </c>
      <c r="M772" s="5">
        <v>45436</v>
      </c>
      <c r="O772">
        <v>10</v>
      </c>
      <c r="P772">
        <v>29.93</v>
      </c>
      <c r="Q772">
        <v>38.909999999999997</v>
      </c>
      <c r="R772">
        <v>0</v>
      </c>
      <c r="S772">
        <v>389.1</v>
      </c>
      <c r="T772" t="s">
        <v>814</v>
      </c>
      <c r="U772">
        <v>299.3</v>
      </c>
      <c r="V772">
        <v>89.8</v>
      </c>
    </row>
    <row r="773" spans="1:22" x14ac:dyDescent="0.35">
      <c r="A773" t="s">
        <v>2214</v>
      </c>
      <c r="B773" t="s">
        <v>1478</v>
      </c>
      <c r="C773" t="s">
        <v>570</v>
      </c>
      <c r="D773" t="s">
        <v>435</v>
      </c>
      <c r="E773" t="s">
        <v>633</v>
      </c>
      <c r="F773" t="s">
        <v>264</v>
      </c>
      <c r="G773" t="s">
        <v>14</v>
      </c>
      <c r="H773" t="s">
        <v>14</v>
      </c>
      <c r="I773" t="s">
        <v>67</v>
      </c>
      <c r="J773" t="s">
        <v>786</v>
      </c>
      <c r="K773" t="s">
        <v>799</v>
      </c>
      <c r="L773" t="s">
        <v>818</v>
      </c>
      <c r="M773" s="5">
        <v>46031</v>
      </c>
      <c r="N773" s="5">
        <v>46020</v>
      </c>
      <c r="O773">
        <v>20</v>
      </c>
      <c r="P773">
        <v>17.63</v>
      </c>
      <c r="Q773">
        <v>22.92</v>
      </c>
      <c r="R773">
        <v>0</v>
      </c>
      <c r="S773">
        <v>458.4</v>
      </c>
      <c r="T773" t="s">
        <v>1017</v>
      </c>
      <c r="U773">
        <v>352.6</v>
      </c>
      <c r="V773">
        <v>105.8</v>
      </c>
    </row>
    <row r="774" spans="1:22" x14ac:dyDescent="0.35">
      <c r="A774" t="s">
        <v>2215</v>
      </c>
      <c r="B774" t="s">
        <v>1370</v>
      </c>
      <c r="C774" t="s">
        <v>465</v>
      </c>
      <c r="D774" t="s">
        <v>348</v>
      </c>
      <c r="E774" t="s">
        <v>254</v>
      </c>
      <c r="F774" t="s">
        <v>264</v>
      </c>
      <c r="G774" t="s">
        <v>14</v>
      </c>
      <c r="H774" t="s">
        <v>48</v>
      </c>
      <c r="I774" t="s">
        <v>135</v>
      </c>
      <c r="J774" t="s">
        <v>786</v>
      </c>
      <c r="K774" t="s">
        <v>793</v>
      </c>
      <c r="L774" t="s">
        <v>788</v>
      </c>
      <c r="M774" s="5">
        <v>45508</v>
      </c>
      <c r="O774">
        <v>5</v>
      </c>
      <c r="P774">
        <v>51.72</v>
      </c>
      <c r="Q774">
        <v>67.239999999999995</v>
      </c>
      <c r="R774">
        <v>0.15</v>
      </c>
      <c r="S774">
        <v>285.77</v>
      </c>
      <c r="T774" t="s">
        <v>819</v>
      </c>
      <c r="U774">
        <v>258.60000000000002</v>
      </c>
      <c r="V774">
        <v>27.17</v>
      </c>
    </row>
    <row r="775" spans="1:22" x14ac:dyDescent="0.35">
      <c r="A775" t="s">
        <v>2216</v>
      </c>
      <c r="B775" t="s">
        <v>1500</v>
      </c>
      <c r="C775" t="s">
        <v>477</v>
      </c>
      <c r="D775" t="s">
        <v>478</v>
      </c>
      <c r="E775" t="s">
        <v>627</v>
      </c>
      <c r="F775" t="s">
        <v>243</v>
      </c>
      <c r="G775" t="s">
        <v>20</v>
      </c>
      <c r="H775" t="s">
        <v>8</v>
      </c>
      <c r="I775" t="s">
        <v>65</v>
      </c>
      <c r="J775" t="s">
        <v>786</v>
      </c>
      <c r="K775" t="s">
        <v>799</v>
      </c>
      <c r="L775" t="s">
        <v>818</v>
      </c>
      <c r="M775" s="5">
        <v>45749</v>
      </c>
      <c r="N775" s="5">
        <v>45745</v>
      </c>
      <c r="O775">
        <v>5</v>
      </c>
      <c r="P775">
        <v>30.16</v>
      </c>
      <c r="Q775">
        <v>40.72</v>
      </c>
      <c r="R775">
        <v>0.05</v>
      </c>
      <c r="S775">
        <v>193.42</v>
      </c>
      <c r="T775" t="s">
        <v>963</v>
      </c>
      <c r="U775">
        <v>150.80000000000001</v>
      </c>
      <c r="V775">
        <v>42.62</v>
      </c>
    </row>
    <row r="776" spans="1:22" x14ac:dyDescent="0.35">
      <c r="A776" t="s">
        <v>2217</v>
      </c>
      <c r="B776" t="s">
        <v>1214</v>
      </c>
      <c r="C776" t="s">
        <v>563</v>
      </c>
      <c r="D776" t="s">
        <v>311</v>
      </c>
      <c r="E776" t="s">
        <v>637</v>
      </c>
      <c r="F776" t="s">
        <v>264</v>
      </c>
      <c r="G776" t="s">
        <v>797</v>
      </c>
      <c r="H776" t="s">
        <v>8</v>
      </c>
      <c r="I776" t="s">
        <v>73</v>
      </c>
      <c r="J776" t="s">
        <v>813</v>
      </c>
      <c r="K776" t="s">
        <v>787</v>
      </c>
      <c r="L776" t="s">
        <v>800</v>
      </c>
      <c r="M776" s="5">
        <v>45656</v>
      </c>
      <c r="O776">
        <v>10</v>
      </c>
      <c r="P776">
        <v>67.95</v>
      </c>
      <c r="Q776">
        <v>88.34</v>
      </c>
      <c r="R776">
        <v>0.1</v>
      </c>
      <c r="S776">
        <v>795.06</v>
      </c>
      <c r="T776" t="s">
        <v>876</v>
      </c>
      <c r="U776">
        <v>679.5</v>
      </c>
      <c r="V776">
        <v>115.56</v>
      </c>
    </row>
    <row r="777" spans="1:22" x14ac:dyDescent="0.35">
      <c r="A777" t="s">
        <v>2218</v>
      </c>
      <c r="B777" t="s">
        <v>1677</v>
      </c>
      <c r="C777" t="s">
        <v>569</v>
      </c>
      <c r="D777" t="s">
        <v>535</v>
      </c>
      <c r="E777" t="s">
        <v>627</v>
      </c>
      <c r="G777" t="s">
        <v>797</v>
      </c>
      <c r="H777" t="s">
        <v>43</v>
      </c>
      <c r="I777" t="s">
        <v>58</v>
      </c>
      <c r="J777" t="s">
        <v>813</v>
      </c>
      <c r="K777" t="s">
        <v>787</v>
      </c>
      <c r="L777" t="s">
        <v>800</v>
      </c>
      <c r="M777" s="5">
        <v>45595</v>
      </c>
      <c r="O777">
        <v>1</v>
      </c>
      <c r="P777">
        <v>11.21</v>
      </c>
      <c r="Q777">
        <v>15.13</v>
      </c>
      <c r="R777">
        <v>0.05</v>
      </c>
      <c r="S777">
        <v>14.37</v>
      </c>
      <c r="T777" t="s">
        <v>810</v>
      </c>
      <c r="U777">
        <v>11.21</v>
      </c>
      <c r="V777">
        <v>3.16</v>
      </c>
    </row>
    <row r="778" spans="1:22" x14ac:dyDescent="0.35">
      <c r="A778" t="s">
        <v>2219</v>
      </c>
      <c r="B778" t="s">
        <v>1286</v>
      </c>
      <c r="C778" t="s">
        <v>303</v>
      </c>
      <c r="D778" t="s">
        <v>304</v>
      </c>
      <c r="E778" t="s">
        <v>674</v>
      </c>
      <c r="F778" t="s">
        <v>243</v>
      </c>
      <c r="G778" t="s">
        <v>14</v>
      </c>
      <c r="H778" t="s">
        <v>14</v>
      </c>
      <c r="I778" t="s">
        <v>12</v>
      </c>
      <c r="J778" t="s">
        <v>798</v>
      </c>
      <c r="K778" t="s">
        <v>799</v>
      </c>
      <c r="L778" t="s">
        <v>842</v>
      </c>
      <c r="M778" s="5">
        <v>45665</v>
      </c>
      <c r="N778" s="5">
        <v>45659</v>
      </c>
      <c r="O778">
        <v>5</v>
      </c>
      <c r="P778">
        <v>35.03</v>
      </c>
      <c r="Q778">
        <v>50.79</v>
      </c>
      <c r="R778">
        <v>0</v>
      </c>
      <c r="S778">
        <v>253.95</v>
      </c>
      <c r="T778" t="s">
        <v>1134</v>
      </c>
      <c r="U778">
        <v>175.15</v>
      </c>
      <c r="V778">
        <v>78.8</v>
      </c>
    </row>
    <row r="779" spans="1:22" x14ac:dyDescent="0.35">
      <c r="A779" t="s">
        <v>2220</v>
      </c>
      <c r="B779" t="s">
        <v>1068</v>
      </c>
      <c r="C779" t="s">
        <v>382</v>
      </c>
      <c r="D779" t="s">
        <v>383</v>
      </c>
      <c r="E779" t="s">
        <v>696</v>
      </c>
      <c r="F779" t="s">
        <v>264</v>
      </c>
      <c r="G779" t="s">
        <v>14</v>
      </c>
      <c r="H779" t="s">
        <v>29</v>
      </c>
      <c r="I779" t="s">
        <v>191</v>
      </c>
      <c r="J779" t="s">
        <v>798</v>
      </c>
      <c r="K779" t="s">
        <v>793</v>
      </c>
      <c r="L779" t="s">
        <v>842</v>
      </c>
      <c r="M779" s="5">
        <v>46033</v>
      </c>
      <c r="O779">
        <v>20</v>
      </c>
      <c r="P779">
        <v>11.26</v>
      </c>
      <c r="Q779">
        <v>15.2</v>
      </c>
      <c r="R779">
        <v>0.05</v>
      </c>
      <c r="S779">
        <v>288.8</v>
      </c>
      <c r="T779" t="s">
        <v>859</v>
      </c>
      <c r="U779">
        <v>225.2</v>
      </c>
      <c r="V779">
        <v>63.6</v>
      </c>
    </row>
    <row r="780" spans="1:22" x14ac:dyDescent="0.35">
      <c r="A780" t="s">
        <v>2221</v>
      </c>
      <c r="B780" t="s">
        <v>831</v>
      </c>
      <c r="C780" t="s">
        <v>522</v>
      </c>
      <c r="D780" t="s">
        <v>523</v>
      </c>
      <c r="E780" t="s">
        <v>674</v>
      </c>
      <c r="F780" t="s">
        <v>264</v>
      </c>
      <c r="G780" t="s">
        <v>797</v>
      </c>
      <c r="H780" t="s">
        <v>14</v>
      </c>
      <c r="I780" t="s">
        <v>60</v>
      </c>
      <c r="J780" t="s">
        <v>798</v>
      </c>
      <c r="K780" t="s">
        <v>799</v>
      </c>
      <c r="L780" t="s">
        <v>842</v>
      </c>
      <c r="M780" s="5">
        <v>45915</v>
      </c>
      <c r="N780" s="5">
        <v>45915</v>
      </c>
      <c r="O780">
        <v>3</v>
      </c>
      <c r="P780">
        <v>18.18</v>
      </c>
      <c r="Q780">
        <v>24.54</v>
      </c>
      <c r="R780">
        <v>0.1</v>
      </c>
      <c r="S780">
        <v>66.260000000000005</v>
      </c>
      <c r="T780" t="s">
        <v>869</v>
      </c>
      <c r="U780">
        <v>54.54</v>
      </c>
      <c r="V780">
        <v>11.72</v>
      </c>
    </row>
    <row r="781" spans="1:22" x14ac:dyDescent="0.35">
      <c r="A781" t="s">
        <v>2222</v>
      </c>
      <c r="B781" t="s">
        <v>1848</v>
      </c>
      <c r="C781" t="s">
        <v>432</v>
      </c>
      <c r="D781" t="s">
        <v>433</v>
      </c>
      <c r="E781" t="s">
        <v>637</v>
      </c>
      <c r="F781" t="s">
        <v>243</v>
      </c>
      <c r="G781" t="s">
        <v>797</v>
      </c>
      <c r="H781" t="s">
        <v>79</v>
      </c>
      <c r="I781" t="s">
        <v>77</v>
      </c>
      <c r="J781" t="s">
        <v>813</v>
      </c>
      <c r="K781" t="s">
        <v>799</v>
      </c>
      <c r="L781" t="s">
        <v>818</v>
      </c>
      <c r="M781" s="5">
        <v>45993</v>
      </c>
      <c r="N781" s="5">
        <v>45997</v>
      </c>
      <c r="O781">
        <v>1</v>
      </c>
      <c r="P781">
        <v>13.71</v>
      </c>
      <c r="Q781">
        <v>17.82</v>
      </c>
      <c r="R781">
        <v>0</v>
      </c>
      <c r="S781">
        <v>17.82</v>
      </c>
      <c r="T781" t="s">
        <v>1017</v>
      </c>
      <c r="U781">
        <v>13.71</v>
      </c>
      <c r="V781">
        <v>4.1100000000000003</v>
      </c>
    </row>
    <row r="782" spans="1:22" x14ac:dyDescent="0.35">
      <c r="A782" t="s">
        <v>2223</v>
      </c>
      <c r="B782" t="s">
        <v>965</v>
      </c>
      <c r="C782" t="s">
        <v>491</v>
      </c>
      <c r="D782" t="s">
        <v>492</v>
      </c>
      <c r="E782" t="s">
        <v>674</v>
      </c>
      <c r="F782" t="s">
        <v>264</v>
      </c>
      <c r="G782" t="s">
        <v>14</v>
      </c>
      <c r="H782" t="s">
        <v>43</v>
      </c>
      <c r="I782" t="s">
        <v>215</v>
      </c>
      <c r="J782" t="s">
        <v>798</v>
      </c>
      <c r="K782" t="s">
        <v>793</v>
      </c>
      <c r="L782" t="s">
        <v>842</v>
      </c>
      <c r="M782" s="5">
        <v>45421</v>
      </c>
      <c r="O782">
        <v>3</v>
      </c>
      <c r="P782">
        <v>28.96</v>
      </c>
      <c r="Q782">
        <v>40.54</v>
      </c>
      <c r="R782">
        <v>0</v>
      </c>
      <c r="S782">
        <v>121.62</v>
      </c>
      <c r="T782" t="s">
        <v>839</v>
      </c>
      <c r="U782">
        <v>86.88</v>
      </c>
      <c r="V782">
        <v>34.74</v>
      </c>
    </row>
    <row r="783" spans="1:22" x14ac:dyDescent="0.35">
      <c r="A783" t="s">
        <v>2224</v>
      </c>
      <c r="B783" t="s">
        <v>1009</v>
      </c>
      <c r="C783" t="s">
        <v>238</v>
      </c>
      <c r="D783" t="s">
        <v>239</v>
      </c>
      <c r="E783" t="s">
        <v>696</v>
      </c>
      <c r="F783" t="s">
        <v>243</v>
      </c>
      <c r="G783" t="s">
        <v>797</v>
      </c>
      <c r="H783" t="s">
        <v>43</v>
      </c>
      <c r="I783" t="s">
        <v>99</v>
      </c>
      <c r="J783" t="s">
        <v>786</v>
      </c>
      <c r="K783" t="s">
        <v>793</v>
      </c>
      <c r="L783" t="s">
        <v>842</v>
      </c>
      <c r="M783" s="5">
        <v>45965</v>
      </c>
      <c r="O783">
        <v>2</v>
      </c>
      <c r="P783">
        <v>10.88</v>
      </c>
      <c r="Q783">
        <v>15.78</v>
      </c>
      <c r="R783">
        <v>0</v>
      </c>
      <c r="S783">
        <v>31.56</v>
      </c>
      <c r="T783" t="s">
        <v>869</v>
      </c>
      <c r="U783">
        <v>21.76</v>
      </c>
      <c r="V783">
        <v>9.8000000000000007</v>
      </c>
    </row>
    <row r="784" spans="1:22" x14ac:dyDescent="0.35">
      <c r="A784" t="s">
        <v>2225</v>
      </c>
      <c r="B784" t="s">
        <v>1243</v>
      </c>
      <c r="C784" t="s">
        <v>498</v>
      </c>
      <c r="D784" t="s">
        <v>499</v>
      </c>
      <c r="E784" t="s">
        <v>254</v>
      </c>
      <c r="F784" t="s">
        <v>235</v>
      </c>
      <c r="G784" t="s">
        <v>20</v>
      </c>
      <c r="H784" t="s">
        <v>14</v>
      </c>
      <c r="I784" t="s">
        <v>90</v>
      </c>
      <c r="J784" t="s">
        <v>798</v>
      </c>
      <c r="K784" t="s">
        <v>793</v>
      </c>
      <c r="L784" t="s">
        <v>800</v>
      </c>
      <c r="M784" s="5">
        <v>45315</v>
      </c>
      <c r="O784">
        <v>5</v>
      </c>
      <c r="P784">
        <v>27.34</v>
      </c>
      <c r="Q784">
        <v>39.64</v>
      </c>
      <c r="R784">
        <v>0</v>
      </c>
      <c r="S784">
        <v>198.2</v>
      </c>
      <c r="T784" t="s">
        <v>935</v>
      </c>
      <c r="U784">
        <v>136.69999999999999</v>
      </c>
      <c r="V784">
        <v>61.5</v>
      </c>
    </row>
    <row r="785" spans="1:22" x14ac:dyDescent="0.35">
      <c r="A785" t="s">
        <v>2226</v>
      </c>
      <c r="B785" t="s">
        <v>1096</v>
      </c>
      <c r="C785" t="s">
        <v>614</v>
      </c>
      <c r="D785" t="s">
        <v>615</v>
      </c>
      <c r="E785" t="s">
        <v>633</v>
      </c>
      <c r="F785" t="s">
        <v>235</v>
      </c>
      <c r="G785" t="s">
        <v>14</v>
      </c>
      <c r="H785" t="s">
        <v>48</v>
      </c>
      <c r="I785" t="s">
        <v>210</v>
      </c>
      <c r="J785" t="s">
        <v>813</v>
      </c>
      <c r="K785" t="s">
        <v>793</v>
      </c>
      <c r="L785" t="s">
        <v>818</v>
      </c>
      <c r="M785" s="5">
        <v>45376</v>
      </c>
      <c r="O785">
        <v>20</v>
      </c>
      <c r="P785">
        <v>25.36</v>
      </c>
      <c r="Q785">
        <v>34.24</v>
      </c>
      <c r="R785">
        <v>0.05</v>
      </c>
      <c r="S785">
        <v>650.55999999999995</v>
      </c>
      <c r="T785" t="s">
        <v>869</v>
      </c>
      <c r="U785">
        <v>507.2</v>
      </c>
      <c r="V785">
        <v>143.36000000000001</v>
      </c>
    </row>
    <row r="786" spans="1:22" x14ac:dyDescent="0.35">
      <c r="A786" t="s">
        <v>2228</v>
      </c>
      <c r="B786" t="s">
        <v>1170</v>
      </c>
      <c r="C786" t="s">
        <v>559</v>
      </c>
      <c r="D786" t="s">
        <v>311</v>
      </c>
      <c r="E786" t="s">
        <v>254</v>
      </c>
      <c r="F786" t="s">
        <v>235</v>
      </c>
      <c r="G786" t="s">
        <v>797</v>
      </c>
      <c r="H786" t="s">
        <v>14</v>
      </c>
      <c r="I786" t="s">
        <v>90</v>
      </c>
      <c r="J786" t="s">
        <v>813</v>
      </c>
      <c r="K786" t="s">
        <v>787</v>
      </c>
      <c r="L786" t="s">
        <v>842</v>
      </c>
      <c r="M786" s="5">
        <v>45419</v>
      </c>
      <c r="O786">
        <v>20</v>
      </c>
      <c r="P786">
        <v>27.34</v>
      </c>
      <c r="Q786">
        <v>39.64</v>
      </c>
      <c r="R786">
        <v>0</v>
      </c>
      <c r="S786">
        <v>792.8</v>
      </c>
      <c r="T786" t="s">
        <v>1001</v>
      </c>
      <c r="U786">
        <v>546.79999999999995</v>
      </c>
      <c r="V786">
        <v>246</v>
      </c>
    </row>
    <row r="787" spans="1:22" x14ac:dyDescent="0.35">
      <c r="A787" t="s">
        <v>2230</v>
      </c>
      <c r="B787" t="s">
        <v>1208</v>
      </c>
      <c r="C787" t="s">
        <v>388</v>
      </c>
      <c r="D787" t="s">
        <v>389</v>
      </c>
      <c r="E787" t="s">
        <v>674</v>
      </c>
      <c r="F787" t="s">
        <v>243</v>
      </c>
      <c r="G787" t="s">
        <v>797</v>
      </c>
      <c r="H787" t="s">
        <v>43</v>
      </c>
      <c r="I787" t="s">
        <v>215</v>
      </c>
      <c r="J787" t="s">
        <v>798</v>
      </c>
      <c r="K787" t="s">
        <v>799</v>
      </c>
      <c r="L787" t="s">
        <v>842</v>
      </c>
      <c r="M787" s="5">
        <v>46040</v>
      </c>
      <c r="N787" s="5">
        <v>46038</v>
      </c>
      <c r="O787">
        <v>3</v>
      </c>
      <c r="P787">
        <v>28.96</v>
      </c>
      <c r="Q787">
        <v>40.54</v>
      </c>
      <c r="R787">
        <v>0.15</v>
      </c>
      <c r="S787">
        <v>103.38</v>
      </c>
      <c r="T787" t="s">
        <v>829</v>
      </c>
      <c r="U787">
        <v>86.88</v>
      </c>
      <c r="V787">
        <v>16.5</v>
      </c>
    </row>
    <row r="788" spans="1:22" x14ac:dyDescent="0.35">
      <c r="A788" t="s">
        <v>2231</v>
      </c>
      <c r="B788" t="s">
        <v>1434</v>
      </c>
      <c r="C788" t="s">
        <v>281</v>
      </c>
      <c r="D788" t="s">
        <v>282</v>
      </c>
      <c r="E788" t="s">
        <v>633</v>
      </c>
      <c r="F788" t="s">
        <v>243</v>
      </c>
      <c r="G788" t="s">
        <v>797</v>
      </c>
      <c r="H788" t="s">
        <v>8</v>
      </c>
      <c r="I788" t="s">
        <v>21</v>
      </c>
      <c r="J788" t="s">
        <v>798</v>
      </c>
      <c r="K788" t="s">
        <v>799</v>
      </c>
      <c r="L788" t="s">
        <v>818</v>
      </c>
      <c r="M788" s="5">
        <v>45343</v>
      </c>
      <c r="N788" s="5">
        <v>45339</v>
      </c>
      <c r="O788">
        <v>3</v>
      </c>
      <c r="P788">
        <v>21.57</v>
      </c>
      <c r="Q788">
        <v>26.96</v>
      </c>
      <c r="R788">
        <v>0</v>
      </c>
      <c r="S788">
        <v>80.88</v>
      </c>
      <c r="T788" t="s">
        <v>1001</v>
      </c>
      <c r="U788">
        <v>64.709999999999994</v>
      </c>
      <c r="V788">
        <v>16.170000000000002</v>
      </c>
    </row>
    <row r="789" spans="1:22" x14ac:dyDescent="0.35">
      <c r="A789" t="s">
        <v>2232</v>
      </c>
      <c r="B789" t="s">
        <v>2213</v>
      </c>
      <c r="C789" t="s">
        <v>494</v>
      </c>
      <c r="D789" t="s">
        <v>396</v>
      </c>
      <c r="E789" t="s">
        <v>254</v>
      </c>
      <c r="F789" t="s">
        <v>243</v>
      </c>
      <c r="G789" t="s">
        <v>797</v>
      </c>
      <c r="H789" t="s">
        <v>29</v>
      </c>
      <c r="I789" t="s">
        <v>183</v>
      </c>
      <c r="J789" t="s">
        <v>786</v>
      </c>
      <c r="K789" t="s">
        <v>799</v>
      </c>
      <c r="L789" t="s">
        <v>818</v>
      </c>
      <c r="M789" s="5">
        <v>45447</v>
      </c>
      <c r="N789" s="5">
        <v>45435</v>
      </c>
      <c r="O789">
        <v>12</v>
      </c>
      <c r="P789">
        <v>10.97</v>
      </c>
      <c r="Q789">
        <v>15.91</v>
      </c>
      <c r="R789">
        <v>0.15</v>
      </c>
      <c r="S789">
        <v>162.28</v>
      </c>
      <c r="T789" t="s">
        <v>845</v>
      </c>
      <c r="U789">
        <v>131.63999999999999</v>
      </c>
      <c r="V789">
        <v>30.64</v>
      </c>
    </row>
    <row r="790" spans="1:22" x14ac:dyDescent="0.35">
      <c r="A790" t="s">
        <v>2233</v>
      </c>
      <c r="B790" t="s">
        <v>1638</v>
      </c>
      <c r="C790" t="s">
        <v>397</v>
      </c>
      <c r="D790" t="s">
        <v>360</v>
      </c>
      <c r="E790" t="s">
        <v>627</v>
      </c>
      <c r="G790" t="s">
        <v>14</v>
      </c>
      <c r="H790" t="s">
        <v>79</v>
      </c>
      <c r="I790" t="s">
        <v>220</v>
      </c>
      <c r="J790" t="s">
        <v>798</v>
      </c>
      <c r="K790" t="s">
        <v>793</v>
      </c>
      <c r="L790" t="s">
        <v>818</v>
      </c>
      <c r="M790" s="5">
        <v>45833</v>
      </c>
      <c r="O790">
        <v>10</v>
      </c>
      <c r="P790">
        <v>46</v>
      </c>
      <c r="Q790">
        <v>62.1</v>
      </c>
      <c r="R790">
        <v>0</v>
      </c>
      <c r="S790">
        <v>621</v>
      </c>
      <c r="T790" t="s">
        <v>834</v>
      </c>
      <c r="U790">
        <v>460</v>
      </c>
      <c r="V790">
        <v>161</v>
      </c>
    </row>
    <row r="791" spans="1:22" x14ac:dyDescent="0.35">
      <c r="A791" t="s">
        <v>2234</v>
      </c>
      <c r="B791" t="s">
        <v>1220</v>
      </c>
      <c r="C791" t="s">
        <v>592</v>
      </c>
      <c r="D791" t="s">
        <v>478</v>
      </c>
      <c r="E791" t="s">
        <v>254</v>
      </c>
      <c r="F791" t="s">
        <v>243</v>
      </c>
      <c r="G791" t="s">
        <v>797</v>
      </c>
      <c r="H791" t="s">
        <v>48</v>
      </c>
      <c r="I791" t="s">
        <v>54</v>
      </c>
      <c r="J791" t="s">
        <v>786</v>
      </c>
      <c r="K791" t="s">
        <v>793</v>
      </c>
      <c r="L791" t="s">
        <v>788</v>
      </c>
      <c r="M791" s="5">
        <v>45576</v>
      </c>
      <c r="O791">
        <v>2</v>
      </c>
      <c r="P791">
        <v>21.67</v>
      </c>
      <c r="Q791">
        <v>28.17</v>
      </c>
      <c r="R791">
        <v>0.15</v>
      </c>
      <c r="S791">
        <v>47.89</v>
      </c>
      <c r="T791" t="s">
        <v>834</v>
      </c>
      <c r="U791">
        <v>43.34</v>
      </c>
      <c r="V791">
        <v>4.55</v>
      </c>
    </row>
    <row r="792" spans="1:22" x14ac:dyDescent="0.35">
      <c r="A792" t="s">
        <v>2235</v>
      </c>
      <c r="B792" t="s">
        <v>1563</v>
      </c>
      <c r="C792" t="s">
        <v>291</v>
      </c>
      <c r="D792" t="s">
        <v>292</v>
      </c>
      <c r="E792" t="s">
        <v>674</v>
      </c>
      <c r="F792" t="s">
        <v>243</v>
      </c>
      <c r="G792" t="s">
        <v>797</v>
      </c>
      <c r="H792" t="s">
        <v>29</v>
      </c>
      <c r="I792" t="s">
        <v>27</v>
      </c>
      <c r="J792" t="s">
        <v>798</v>
      </c>
      <c r="K792" t="s">
        <v>799</v>
      </c>
      <c r="L792" t="s">
        <v>788</v>
      </c>
      <c r="M792" s="5">
        <v>45375</v>
      </c>
      <c r="N792" s="5">
        <v>45374</v>
      </c>
      <c r="O792">
        <v>3</v>
      </c>
      <c r="P792">
        <v>33.06</v>
      </c>
      <c r="Q792">
        <v>47.94</v>
      </c>
      <c r="R792">
        <v>0.05</v>
      </c>
      <c r="S792">
        <v>136.63</v>
      </c>
      <c r="T792" t="s">
        <v>919</v>
      </c>
      <c r="U792">
        <v>99.18</v>
      </c>
      <c r="V792">
        <v>37.450000000000003</v>
      </c>
    </row>
    <row r="793" spans="1:22" x14ac:dyDescent="0.35">
      <c r="A793" t="s">
        <v>2236</v>
      </c>
      <c r="B793" t="s">
        <v>1329</v>
      </c>
      <c r="C793" t="s">
        <v>609</v>
      </c>
      <c r="D793" t="s">
        <v>610</v>
      </c>
      <c r="E793" t="s">
        <v>627</v>
      </c>
      <c r="G793" t="s">
        <v>14</v>
      </c>
      <c r="H793" t="s">
        <v>8</v>
      </c>
      <c r="I793" t="s">
        <v>207</v>
      </c>
      <c r="J793" t="s">
        <v>798</v>
      </c>
      <c r="K793" t="s">
        <v>822</v>
      </c>
      <c r="L793" t="s">
        <v>818</v>
      </c>
      <c r="M793" s="5">
        <v>45512</v>
      </c>
      <c r="N793" s="5">
        <v>45514</v>
      </c>
      <c r="O793">
        <v>1</v>
      </c>
      <c r="P793">
        <v>8.5399999999999991</v>
      </c>
      <c r="Q793">
        <v>10.67</v>
      </c>
      <c r="R793">
        <v>0.15</v>
      </c>
      <c r="S793">
        <v>9.07</v>
      </c>
      <c r="T793" t="s">
        <v>888</v>
      </c>
      <c r="U793">
        <v>8.5399999999999991</v>
      </c>
      <c r="V793">
        <v>0.53</v>
      </c>
    </row>
    <row r="794" spans="1:22" x14ac:dyDescent="0.35">
      <c r="A794" t="s">
        <v>2238</v>
      </c>
      <c r="B794" t="s">
        <v>2114</v>
      </c>
      <c r="C794" t="s">
        <v>386</v>
      </c>
      <c r="D794" t="s">
        <v>387</v>
      </c>
      <c r="E794" t="s">
        <v>633</v>
      </c>
      <c r="F794" t="s">
        <v>243</v>
      </c>
      <c r="G794" t="s">
        <v>797</v>
      </c>
      <c r="H794" t="s">
        <v>20</v>
      </c>
      <c r="I794" t="s">
        <v>119</v>
      </c>
      <c r="J794" t="s">
        <v>798</v>
      </c>
      <c r="K794" t="s">
        <v>799</v>
      </c>
      <c r="L794" t="s">
        <v>788</v>
      </c>
      <c r="M794" s="5">
        <v>45407</v>
      </c>
      <c r="N794" s="5">
        <v>45402</v>
      </c>
      <c r="O794">
        <v>3</v>
      </c>
      <c r="P794">
        <v>40.94</v>
      </c>
      <c r="Q794">
        <v>53.22</v>
      </c>
      <c r="R794">
        <v>0.05</v>
      </c>
      <c r="S794">
        <v>151.68</v>
      </c>
      <c r="T794" t="s">
        <v>963</v>
      </c>
      <c r="U794">
        <v>122.82</v>
      </c>
      <c r="V794">
        <v>28.86</v>
      </c>
    </row>
    <row r="795" spans="1:22" x14ac:dyDescent="0.35">
      <c r="A795" t="s">
        <v>2239</v>
      </c>
      <c r="B795" t="s">
        <v>1321</v>
      </c>
      <c r="C795" t="s">
        <v>359</v>
      </c>
      <c r="D795" t="s">
        <v>360</v>
      </c>
      <c r="E795" t="s">
        <v>681</v>
      </c>
      <c r="F795" t="s">
        <v>235</v>
      </c>
      <c r="G795" t="s">
        <v>797</v>
      </c>
      <c r="H795" t="s">
        <v>29</v>
      </c>
      <c r="I795" t="s">
        <v>145</v>
      </c>
      <c r="J795" t="s">
        <v>786</v>
      </c>
      <c r="K795" t="s">
        <v>799</v>
      </c>
      <c r="L795" t="s">
        <v>788</v>
      </c>
      <c r="M795" s="5">
        <v>45590</v>
      </c>
      <c r="N795" s="5">
        <v>45578</v>
      </c>
      <c r="O795">
        <v>10</v>
      </c>
      <c r="P795">
        <v>57.16</v>
      </c>
      <c r="Q795">
        <v>82.88</v>
      </c>
      <c r="R795">
        <v>0.05</v>
      </c>
      <c r="S795">
        <v>787.36</v>
      </c>
      <c r="T795" t="s">
        <v>919</v>
      </c>
      <c r="U795">
        <v>571.6</v>
      </c>
      <c r="V795">
        <v>215.76</v>
      </c>
    </row>
    <row r="796" spans="1:22" x14ac:dyDescent="0.35">
      <c r="A796" t="s">
        <v>2240</v>
      </c>
      <c r="B796" t="s">
        <v>1554</v>
      </c>
      <c r="C796" t="s">
        <v>494</v>
      </c>
      <c r="D796" t="s">
        <v>396</v>
      </c>
      <c r="E796" t="s">
        <v>674</v>
      </c>
      <c r="F796" t="s">
        <v>243</v>
      </c>
      <c r="G796" t="s">
        <v>797</v>
      </c>
      <c r="H796" t="s">
        <v>14</v>
      </c>
      <c r="I796" t="s">
        <v>209</v>
      </c>
      <c r="J796" t="s">
        <v>798</v>
      </c>
      <c r="K796" t="s">
        <v>799</v>
      </c>
      <c r="L796" t="s">
        <v>800</v>
      </c>
      <c r="M796" s="5">
        <v>45545</v>
      </c>
      <c r="N796" s="5">
        <v>45547</v>
      </c>
      <c r="O796">
        <v>10</v>
      </c>
      <c r="P796">
        <v>24.18</v>
      </c>
      <c r="Q796">
        <v>33.85</v>
      </c>
      <c r="R796">
        <v>0</v>
      </c>
      <c r="S796">
        <v>338.5</v>
      </c>
      <c r="T796" t="s">
        <v>919</v>
      </c>
      <c r="U796">
        <v>241.8</v>
      </c>
      <c r="V796">
        <v>96.7</v>
      </c>
    </row>
    <row r="797" spans="1:22" x14ac:dyDescent="0.35">
      <c r="A797" t="s">
        <v>2242</v>
      </c>
      <c r="B797" t="s">
        <v>1767</v>
      </c>
      <c r="C797" t="s">
        <v>481</v>
      </c>
      <c r="D797" t="s">
        <v>482</v>
      </c>
      <c r="E797" t="s">
        <v>674</v>
      </c>
      <c r="F797" t="s">
        <v>264</v>
      </c>
      <c r="G797" t="s">
        <v>797</v>
      </c>
      <c r="H797" t="s">
        <v>29</v>
      </c>
      <c r="I797" t="s">
        <v>106</v>
      </c>
      <c r="J797" t="s">
        <v>798</v>
      </c>
      <c r="K797" t="s">
        <v>799</v>
      </c>
      <c r="L797" t="s">
        <v>842</v>
      </c>
      <c r="M797" s="5">
        <v>45385</v>
      </c>
      <c r="N797" s="5">
        <v>45384</v>
      </c>
      <c r="O797">
        <v>5</v>
      </c>
      <c r="P797">
        <v>29.64</v>
      </c>
      <c r="Q797">
        <v>41.5</v>
      </c>
      <c r="R797">
        <v>0.05</v>
      </c>
      <c r="S797">
        <v>197.12</v>
      </c>
      <c r="T797" t="s">
        <v>1017</v>
      </c>
      <c r="U797">
        <v>148.19999999999999</v>
      </c>
      <c r="V797">
        <v>48.92</v>
      </c>
    </row>
    <row r="798" spans="1:22" x14ac:dyDescent="0.35">
      <c r="A798" t="s">
        <v>2243</v>
      </c>
      <c r="B798" t="s">
        <v>1615</v>
      </c>
      <c r="C798" t="s">
        <v>570</v>
      </c>
      <c r="D798" t="s">
        <v>435</v>
      </c>
      <c r="E798" t="s">
        <v>696</v>
      </c>
      <c r="F798" t="s">
        <v>264</v>
      </c>
      <c r="G798" t="s">
        <v>20</v>
      </c>
      <c r="H798" t="s">
        <v>48</v>
      </c>
      <c r="I798" t="s">
        <v>61</v>
      </c>
      <c r="J798" t="s">
        <v>798</v>
      </c>
      <c r="K798" t="s">
        <v>793</v>
      </c>
      <c r="L798" t="s">
        <v>818</v>
      </c>
      <c r="M798" s="5">
        <v>45399</v>
      </c>
      <c r="O798">
        <v>10</v>
      </c>
      <c r="P798">
        <v>26.08</v>
      </c>
      <c r="Q798">
        <v>35.21</v>
      </c>
      <c r="R798">
        <v>0</v>
      </c>
      <c r="S798">
        <v>352.1</v>
      </c>
      <c r="T798" t="s">
        <v>946</v>
      </c>
      <c r="U798">
        <v>260.8</v>
      </c>
      <c r="V798">
        <v>91.3</v>
      </c>
    </row>
    <row r="799" spans="1:22" x14ac:dyDescent="0.35">
      <c r="A799" t="s">
        <v>2244</v>
      </c>
      <c r="B799" t="s">
        <v>875</v>
      </c>
      <c r="C799" t="s">
        <v>555</v>
      </c>
      <c r="D799" t="s">
        <v>391</v>
      </c>
      <c r="E799" t="s">
        <v>696</v>
      </c>
      <c r="F799" t="s">
        <v>264</v>
      </c>
      <c r="G799" t="s">
        <v>14</v>
      </c>
      <c r="H799" t="s">
        <v>14</v>
      </c>
      <c r="I799" t="s">
        <v>111</v>
      </c>
      <c r="J799" t="s">
        <v>813</v>
      </c>
      <c r="K799" t="s">
        <v>787</v>
      </c>
      <c r="L799" t="s">
        <v>788</v>
      </c>
      <c r="M799" s="5">
        <v>45577</v>
      </c>
      <c r="O799">
        <v>3</v>
      </c>
      <c r="P799">
        <v>19.850000000000001</v>
      </c>
      <c r="Q799">
        <v>28.78</v>
      </c>
      <c r="R799">
        <v>0</v>
      </c>
      <c r="S799">
        <v>86.34</v>
      </c>
      <c r="T799" t="s">
        <v>794</v>
      </c>
      <c r="U799">
        <v>59.55</v>
      </c>
      <c r="V799">
        <v>26.79</v>
      </c>
    </row>
    <row r="800" spans="1:22" x14ac:dyDescent="0.35">
      <c r="A800" t="s">
        <v>2245</v>
      </c>
      <c r="B800" t="s">
        <v>2246</v>
      </c>
      <c r="C800" t="s">
        <v>272</v>
      </c>
      <c r="D800" t="s">
        <v>273</v>
      </c>
      <c r="E800" t="s">
        <v>627</v>
      </c>
      <c r="F800" t="s">
        <v>243</v>
      </c>
      <c r="G800" t="s">
        <v>797</v>
      </c>
      <c r="H800" t="s">
        <v>14</v>
      </c>
      <c r="I800" t="s">
        <v>152</v>
      </c>
      <c r="J800" t="s">
        <v>813</v>
      </c>
      <c r="K800" t="s">
        <v>787</v>
      </c>
      <c r="L800" t="s">
        <v>788</v>
      </c>
      <c r="M800" s="5">
        <v>45412</v>
      </c>
      <c r="O800">
        <v>1</v>
      </c>
      <c r="P800">
        <v>38.549999999999997</v>
      </c>
      <c r="Q800">
        <v>53.97</v>
      </c>
      <c r="R800">
        <v>0.1</v>
      </c>
      <c r="S800">
        <v>48.57</v>
      </c>
      <c r="T800" t="s">
        <v>1001</v>
      </c>
      <c r="U800">
        <v>38.549999999999997</v>
      </c>
      <c r="V800">
        <v>10.02</v>
      </c>
    </row>
    <row r="801" spans="1:22" x14ac:dyDescent="0.35">
      <c r="A801" t="s">
        <v>2247</v>
      </c>
      <c r="B801" t="s">
        <v>1976</v>
      </c>
      <c r="C801" t="s">
        <v>465</v>
      </c>
      <c r="D801" t="s">
        <v>348</v>
      </c>
      <c r="E801" t="s">
        <v>696</v>
      </c>
      <c r="F801" t="s">
        <v>264</v>
      </c>
      <c r="G801" t="s">
        <v>797</v>
      </c>
      <c r="H801" t="s">
        <v>29</v>
      </c>
      <c r="I801" t="s">
        <v>183</v>
      </c>
      <c r="J801" t="s">
        <v>798</v>
      </c>
      <c r="K801" t="s">
        <v>799</v>
      </c>
      <c r="L801" t="s">
        <v>800</v>
      </c>
      <c r="M801" s="5">
        <v>46032</v>
      </c>
      <c r="N801" s="5">
        <v>46028</v>
      </c>
      <c r="O801">
        <v>3</v>
      </c>
      <c r="P801">
        <v>10.97</v>
      </c>
      <c r="Q801">
        <v>15.91</v>
      </c>
      <c r="R801">
        <v>0.05</v>
      </c>
      <c r="S801">
        <v>45.34</v>
      </c>
      <c r="T801" t="s">
        <v>963</v>
      </c>
      <c r="U801">
        <v>32.909999999999997</v>
      </c>
      <c r="V801">
        <v>12.43</v>
      </c>
    </row>
    <row r="802" spans="1:22" x14ac:dyDescent="0.35">
      <c r="A802" t="s">
        <v>2248</v>
      </c>
      <c r="B802" t="s">
        <v>1884</v>
      </c>
      <c r="C802" t="s">
        <v>565</v>
      </c>
      <c r="D802" t="s">
        <v>566</v>
      </c>
      <c r="E802" t="s">
        <v>633</v>
      </c>
      <c r="G802" t="s">
        <v>20</v>
      </c>
      <c r="H802" t="s">
        <v>43</v>
      </c>
      <c r="I802" t="s">
        <v>200</v>
      </c>
      <c r="J802" t="s">
        <v>798</v>
      </c>
      <c r="K802" t="s">
        <v>787</v>
      </c>
      <c r="L802" t="s">
        <v>788</v>
      </c>
      <c r="M802" s="5">
        <v>45507</v>
      </c>
      <c r="O802">
        <v>3</v>
      </c>
      <c r="P802">
        <v>69.23</v>
      </c>
      <c r="Q802">
        <v>86.54</v>
      </c>
      <c r="R802">
        <v>0.1</v>
      </c>
      <c r="S802">
        <v>233.66</v>
      </c>
      <c r="T802" t="s">
        <v>1001</v>
      </c>
      <c r="U802">
        <v>207.69</v>
      </c>
      <c r="V802">
        <v>25.97</v>
      </c>
    </row>
    <row r="803" spans="1:22" x14ac:dyDescent="0.35">
      <c r="A803" t="s">
        <v>2249</v>
      </c>
      <c r="B803" t="s">
        <v>1137</v>
      </c>
      <c r="C803" t="s">
        <v>603</v>
      </c>
      <c r="D803" t="s">
        <v>508</v>
      </c>
      <c r="E803" t="s">
        <v>633</v>
      </c>
      <c r="F803" t="s">
        <v>264</v>
      </c>
      <c r="G803" t="s">
        <v>20</v>
      </c>
      <c r="H803" t="s">
        <v>29</v>
      </c>
      <c r="I803" t="s">
        <v>86</v>
      </c>
      <c r="J803" t="s">
        <v>798</v>
      </c>
      <c r="K803" t="s">
        <v>787</v>
      </c>
      <c r="L803" t="s">
        <v>842</v>
      </c>
      <c r="M803" s="5">
        <v>45936</v>
      </c>
      <c r="O803">
        <v>20</v>
      </c>
      <c r="P803">
        <v>8.35</v>
      </c>
      <c r="Q803">
        <v>12.11</v>
      </c>
      <c r="R803">
        <v>0</v>
      </c>
      <c r="S803">
        <v>242.2</v>
      </c>
      <c r="T803" t="s">
        <v>810</v>
      </c>
      <c r="U803">
        <v>167</v>
      </c>
      <c r="V803">
        <v>75.2</v>
      </c>
    </row>
    <row r="804" spans="1:22" x14ac:dyDescent="0.35">
      <c r="A804" t="s">
        <v>2250</v>
      </c>
      <c r="B804" t="s">
        <v>1277</v>
      </c>
      <c r="C804" t="s">
        <v>347</v>
      </c>
      <c r="D804" t="s">
        <v>348</v>
      </c>
      <c r="E804" t="s">
        <v>254</v>
      </c>
      <c r="F804" t="s">
        <v>243</v>
      </c>
      <c r="G804" t="s">
        <v>14</v>
      </c>
      <c r="H804" t="s">
        <v>8</v>
      </c>
      <c r="I804" t="s">
        <v>192</v>
      </c>
      <c r="J804" t="s">
        <v>798</v>
      </c>
      <c r="K804" t="s">
        <v>787</v>
      </c>
      <c r="L804" t="s">
        <v>800</v>
      </c>
      <c r="M804" s="5">
        <v>45639</v>
      </c>
      <c r="O804">
        <v>2</v>
      </c>
      <c r="P804">
        <v>19.47</v>
      </c>
      <c r="Q804">
        <v>28.23</v>
      </c>
      <c r="R804">
        <v>0</v>
      </c>
      <c r="S804">
        <v>56.46</v>
      </c>
      <c r="T804" t="s">
        <v>810</v>
      </c>
      <c r="U804">
        <v>38.94</v>
      </c>
      <c r="V804">
        <v>17.52</v>
      </c>
    </row>
    <row r="805" spans="1:22" x14ac:dyDescent="0.35">
      <c r="A805" t="s">
        <v>2251</v>
      </c>
      <c r="B805" t="s">
        <v>1116</v>
      </c>
      <c r="C805" t="s">
        <v>551</v>
      </c>
      <c r="D805" t="s">
        <v>304</v>
      </c>
      <c r="E805" t="s">
        <v>633</v>
      </c>
      <c r="F805" t="s">
        <v>264</v>
      </c>
      <c r="G805" t="s">
        <v>48</v>
      </c>
      <c r="H805" t="s">
        <v>29</v>
      </c>
      <c r="I805" t="s">
        <v>158</v>
      </c>
      <c r="J805" t="s">
        <v>798</v>
      </c>
      <c r="K805" t="s">
        <v>799</v>
      </c>
      <c r="L805" t="s">
        <v>788</v>
      </c>
      <c r="M805" s="5">
        <v>45994</v>
      </c>
      <c r="N805" s="5">
        <v>45988</v>
      </c>
      <c r="O805">
        <v>10</v>
      </c>
      <c r="P805">
        <v>25.8</v>
      </c>
      <c r="Q805">
        <v>36.119999999999997</v>
      </c>
      <c r="R805">
        <v>0.05</v>
      </c>
      <c r="S805">
        <v>343.14</v>
      </c>
      <c r="T805" t="s">
        <v>919</v>
      </c>
      <c r="U805">
        <v>258</v>
      </c>
      <c r="V805">
        <v>85.14</v>
      </c>
    </row>
    <row r="806" spans="1:22" x14ac:dyDescent="0.35">
      <c r="A806" t="s">
        <v>2252</v>
      </c>
      <c r="B806" t="s">
        <v>1685</v>
      </c>
      <c r="C806" t="s">
        <v>580</v>
      </c>
      <c r="D806" t="s">
        <v>581</v>
      </c>
      <c r="E806" t="s">
        <v>633</v>
      </c>
      <c r="F806" t="s">
        <v>235</v>
      </c>
      <c r="G806" t="s">
        <v>20</v>
      </c>
      <c r="H806" t="s">
        <v>48</v>
      </c>
      <c r="I806" t="s">
        <v>148</v>
      </c>
      <c r="J806" t="s">
        <v>798</v>
      </c>
      <c r="K806" t="s">
        <v>787</v>
      </c>
      <c r="L806" t="s">
        <v>788</v>
      </c>
      <c r="M806" s="5">
        <v>45316</v>
      </c>
      <c r="O806">
        <v>12</v>
      </c>
      <c r="P806">
        <v>58.01</v>
      </c>
      <c r="Q806">
        <v>72.510000000000005</v>
      </c>
      <c r="R806">
        <v>0</v>
      </c>
      <c r="S806">
        <v>870.12</v>
      </c>
      <c r="T806" t="s">
        <v>919</v>
      </c>
      <c r="U806">
        <v>696.12</v>
      </c>
      <c r="V806">
        <v>174</v>
      </c>
    </row>
    <row r="807" spans="1:22" x14ac:dyDescent="0.35">
      <c r="A807" t="s">
        <v>2253</v>
      </c>
      <c r="B807" t="s">
        <v>862</v>
      </c>
      <c r="C807" t="s">
        <v>491</v>
      </c>
      <c r="D807" t="s">
        <v>492</v>
      </c>
      <c r="E807" t="s">
        <v>696</v>
      </c>
      <c r="F807" t="s">
        <v>264</v>
      </c>
      <c r="G807" t="s">
        <v>20</v>
      </c>
      <c r="H807" t="s">
        <v>14</v>
      </c>
      <c r="I807" t="s">
        <v>16</v>
      </c>
      <c r="J807" t="s">
        <v>786</v>
      </c>
      <c r="K807" t="s">
        <v>793</v>
      </c>
      <c r="L807" t="s">
        <v>818</v>
      </c>
      <c r="M807" s="5">
        <v>45617</v>
      </c>
      <c r="O807">
        <v>2</v>
      </c>
      <c r="P807">
        <v>56.69</v>
      </c>
      <c r="Q807">
        <v>79.37</v>
      </c>
      <c r="R807">
        <v>0</v>
      </c>
      <c r="S807">
        <v>158.74</v>
      </c>
      <c r="T807" t="s">
        <v>814</v>
      </c>
      <c r="U807">
        <v>113.38</v>
      </c>
      <c r="V807">
        <v>45.36</v>
      </c>
    </row>
    <row r="808" spans="1:22" x14ac:dyDescent="0.35">
      <c r="A808" t="s">
        <v>2254</v>
      </c>
      <c r="B808" t="s">
        <v>894</v>
      </c>
      <c r="C808" t="s">
        <v>448</v>
      </c>
      <c r="D808" t="s">
        <v>427</v>
      </c>
      <c r="E808" t="s">
        <v>633</v>
      </c>
      <c r="F808" t="s">
        <v>243</v>
      </c>
      <c r="G808" t="s">
        <v>20</v>
      </c>
      <c r="H808" t="s">
        <v>8</v>
      </c>
      <c r="I808" t="s">
        <v>207</v>
      </c>
      <c r="J808" t="s">
        <v>786</v>
      </c>
      <c r="K808" t="s">
        <v>799</v>
      </c>
      <c r="L808" t="s">
        <v>818</v>
      </c>
      <c r="M808" s="5">
        <v>45775</v>
      </c>
      <c r="N808" s="5">
        <v>45770</v>
      </c>
      <c r="O808">
        <v>20</v>
      </c>
      <c r="P808">
        <v>8.5399999999999991</v>
      </c>
      <c r="Q808">
        <v>10.67</v>
      </c>
      <c r="R808">
        <v>0</v>
      </c>
      <c r="S808">
        <v>213.4</v>
      </c>
      <c r="T808" t="s">
        <v>1017</v>
      </c>
      <c r="U808">
        <v>170.8</v>
      </c>
      <c r="V808">
        <v>42.6</v>
      </c>
    </row>
    <row r="809" spans="1:22" x14ac:dyDescent="0.35">
      <c r="A809" t="s">
        <v>2255</v>
      </c>
      <c r="B809" t="s">
        <v>1575</v>
      </c>
      <c r="C809" t="s">
        <v>257</v>
      </c>
      <c r="D809" t="s">
        <v>258</v>
      </c>
      <c r="E809" t="s">
        <v>674</v>
      </c>
      <c r="F809" t="s">
        <v>235</v>
      </c>
      <c r="G809" t="s">
        <v>48</v>
      </c>
      <c r="H809" t="s">
        <v>29</v>
      </c>
      <c r="I809" t="s">
        <v>182</v>
      </c>
      <c r="J809" t="s">
        <v>786</v>
      </c>
      <c r="K809" t="s">
        <v>799</v>
      </c>
      <c r="L809" t="s">
        <v>788</v>
      </c>
      <c r="M809" s="5">
        <v>46051</v>
      </c>
      <c r="N809" s="5">
        <v>46038</v>
      </c>
      <c r="O809">
        <v>12</v>
      </c>
      <c r="P809">
        <v>19.77</v>
      </c>
      <c r="Q809">
        <v>27.68</v>
      </c>
      <c r="R809">
        <v>0</v>
      </c>
      <c r="S809">
        <v>332.16</v>
      </c>
      <c r="T809" t="s">
        <v>819</v>
      </c>
      <c r="U809">
        <v>237.24</v>
      </c>
      <c r="V809">
        <v>94.92</v>
      </c>
    </row>
    <row r="810" spans="1:22" x14ac:dyDescent="0.35">
      <c r="A810" t="s">
        <v>2256</v>
      </c>
      <c r="B810" t="s">
        <v>2257</v>
      </c>
      <c r="C810" t="s">
        <v>603</v>
      </c>
      <c r="D810" t="s">
        <v>508</v>
      </c>
      <c r="E810" t="s">
        <v>681</v>
      </c>
      <c r="F810" t="s">
        <v>264</v>
      </c>
      <c r="G810" t="s">
        <v>48</v>
      </c>
      <c r="H810" t="s">
        <v>43</v>
      </c>
      <c r="I810" t="s">
        <v>215</v>
      </c>
      <c r="J810" t="s">
        <v>798</v>
      </c>
      <c r="K810" t="s">
        <v>799</v>
      </c>
      <c r="L810" t="s">
        <v>788</v>
      </c>
      <c r="M810" s="5">
        <v>45549</v>
      </c>
      <c r="N810" s="5">
        <v>45544</v>
      </c>
      <c r="O810">
        <v>12</v>
      </c>
      <c r="P810">
        <v>28.96</v>
      </c>
      <c r="Q810">
        <v>40.54</v>
      </c>
      <c r="R810">
        <v>0.05</v>
      </c>
      <c r="S810">
        <v>462.16</v>
      </c>
      <c r="T810" t="s">
        <v>869</v>
      </c>
      <c r="U810">
        <v>347.52</v>
      </c>
      <c r="V810">
        <v>114.64</v>
      </c>
    </row>
    <row r="811" spans="1:22" x14ac:dyDescent="0.35">
      <c r="A811" t="s">
        <v>2258</v>
      </c>
      <c r="B811" t="s">
        <v>1897</v>
      </c>
      <c r="C811" t="s">
        <v>579</v>
      </c>
      <c r="D811" t="s">
        <v>514</v>
      </c>
      <c r="E811" t="s">
        <v>627</v>
      </c>
      <c r="F811" t="s">
        <v>243</v>
      </c>
      <c r="G811" t="s">
        <v>20</v>
      </c>
      <c r="H811" t="s">
        <v>38</v>
      </c>
      <c r="I811" t="s">
        <v>117</v>
      </c>
      <c r="J811" t="s">
        <v>798</v>
      </c>
      <c r="K811" t="s">
        <v>822</v>
      </c>
      <c r="L811" t="s">
        <v>788</v>
      </c>
      <c r="M811" s="5">
        <v>45579</v>
      </c>
      <c r="N811" s="5">
        <v>45578</v>
      </c>
      <c r="O811">
        <v>10</v>
      </c>
      <c r="P811">
        <v>43.25</v>
      </c>
      <c r="Q811">
        <v>60.55</v>
      </c>
      <c r="R811">
        <v>0</v>
      </c>
      <c r="S811">
        <v>605.5</v>
      </c>
      <c r="T811" t="s">
        <v>825</v>
      </c>
      <c r="U811">
        <v>432.5</v>
      </c>
      <c r="V811">
        <v>173</v>
      </c>
    </row>
    <row r="812" spans="1:22" x14ac:dyDescent="0.35">
      <c r="A812" t="s">
        <v>2259</v>
      </c>
      <c r="B812" t="s">
        <v>1670</v>
      </c>
      <c r="C812" t="s">
        <v>548</v>
      </c>
      <c r="D812" t="s">
        <v>549</v>
      </c>
      <c r="E812" t="s">
        <v>696</v>
      </c>
      <c r="F812" t="s">
        <v>264</v>
      </c>
      <c r="G812" t="s">
        <v>48</v>
      </c>
      <c r="H812" t="s">
        <v>48</v>
      </c>
      <c r="I812" t="s">
        <v>84</v>
      </c>
      <c r="J812" t="s">
        <v>798</v>
      </c>
      <c r="K812" t="s">
        <v>793</v>
      </c>
      <c r="L812" t="s">
        <v>800</v>
      </c>
      <c r="M812" s="5">
        <v>45638</v>
      </c>
      <c r="O812">
        <v>2</v>
      </c>
      <c r="P812">
        <v>27.52</v>
      </c>
      <c r="Q812">
        <v>34.4</v>
      </c>
      <c r="R812">
        <v>0.1</v>
      </c>
      <c r="S812">
        <v>61.92</v>
      </c>
      <c r="T812" t="s">
        <v>919</v>
      </c>
      <c r="U812">
        <v>55.04</v>
      </c>
      <c r="V812">
        <v>6.88</v>
      </c>
    </row>
    <row r="813" spans="1:22" x14ac:dyDescent="0.35">
      <c r="A813" t="s">
        <v>2260</v>
      </c>
      <c r="B813" t="s">
        <v>1500</v>
      </c>
      <c r="C813" t="s">
        <v>540</v>
      </c>
      <c r="D813" t="s">
        <v>458</v>
      </c>
      <c r="E813" t="s">
        <v>637</v>
      </c>
      <c r="F813" t="s">
        <v>264</v>
      </c>
      <c r="G813" t="s">
        <v>20</v>
      </c>
      <c r="H813" t="s">
        <v>8</v>
      </c>
      <c r="I813" t="s">
        <v>65</v>
      </c>
      <c r="J813" t="s">
        <v>798</v>
      </c>
      <c r="K813" t="s">
        <v>817</v>
      </c>
      <c r="L813" t="s">
        <v>818</v>
      </c>
      <c r="M813" s="5">
        <v>45742</v>
      </c>
      <c r="O813">
        <v>10</v>
      </c>
      <c r="P813">
        <v>30.16</v>
      </c>
      <c r="Q813">
        <v>40.72</v>
      </c>
      <c r="R813">
        <v>0.15</v>
      </c>
      <c r="S813">
        <v>346.12</v>
      </c>
      <c r="T813" t="s">
        <v>888</v>
      </c>
      <c r="U813">
        <v>301.60000000000002</v>
      </c>
      <c r="V813">
        <v>44.52</v>
      </c>
    </row>
    <row r="814" spans="1:22" x14ac:dyDescent="0.35">
      <c r="A814" t="s">
        <v>2262</v>
      </c>
      <c r="B814" t="s">
        <v>938</v>
      </c>
      <c r="C814" t="s">
        <v>520</v>
      </c>
      <c r="D814" t="s">
        <v>521</v>
      </c>
      <c r="E814" t="s">
        <v>633</v>
      </c>
      <c r="F814" t="s">
        <v>243</v>
      </c>
      <c r="G814" t="s">
        <v>14</v>
      </c>
      <c r="H814" t="s">
        <v>43</v>
      </c>
      <c r="I814" t="s">
        <v>99</v>
      </c>
      <c r="J814" t="s">
        <v>798</v>
      </c>
      <c r="K814" t="s">
        <v>793</v>
      </c>
      <c r="L814" t="s">
        <v>800</v>
      </c>
      <c r="M814" s="5">
        <v>45776</v>
      </c>
      <c r="O814">
        <v>2</v>
      </c>
      <c r="P814">
        <v>10.88</v>
      </c>
      <c r="Q814">
        <v>15.78</v>
      </c>
      <c r="R814">
        <v>0</v>
      </c>
      <c r="S814">
        <v>31.56</v>
      </c>
      <c r="T814" t="s">
        <v>859</v>
      </c>
      <c r="U814">
        <v>21.76</v>
      </c>
      <c r="V814">
        <v>9.8000000000000007</v>
      </c>
    </row>
    <row r="815" spans="1:22" x14ac:dyDescent="0.35">
      <c r="A815" t="s">
        <v>2263</v>
      </c>
      <c r="B815" t="s">
        <v>684</v>
      </c>
      <c r="C815" t="s">
        <v>276</v>
      </c>
      <c r="D815" t="s">
        <v>277</v>
      </c>
      <c r="E815" t="s">
        <v>674</v>
      </c>
      <c r="F815" t="s">
        <v>243</v>
      </c>
      <c r="G815" t="s">
        <v>797</v>
      </c>
      <c r="H815" t="s">
        <v>20</v>
      </c>
      <c r="I815" t="s">
        <v>196</v>
      </c>
      <c r="J815" t="s">
        <v>798</v>
      </c>
      <c r="K815" t="s">
        <v>787</v>
      </c>
      <c r="L815" t="s">
        <v>800</v>
      </c>
      <c r="M815" s="5">
        <v>45314</v>
      </c>
      <c r="O815">
        <v>10</v>
      </c>
      <c r="P815">
        <v>15.78</v>
      </c>
      <c r="Q815">
        <v>19.72</v>
      </c>
      <c r="R815">
        <v>0</v>
      </c>
      <c r="S815">
        <v>197.2</v>
      </c>
      <c r="T815" t="s">
        <v>876</v>
      </c>
      <c r="U815">
        <v>157.80000000000001</v>
      </c>
      <c r="V815">
        <v>39.4</v>
      </c>
    </row>
    <row r="816" spans="1:22" x14ac:dyDescent="0.35">
      <c r="A816" t="s">
        <v>2264</v>
      </c>
      <c r="B816" t="s">
        <v>838</v>
      </c>
      <c r="C816" t="s">
        <v>281</v>
      </c>
      <c r="D816" t="s">
        <v>282</v>
      </c>
      <c r="E816" t="s">
        <v>633</v>
      </c>
      <c r="F816" t="s">
        <v>243</v>
      </c>
      <c r="G816" t="s">
        <v>797</v>
      </c>
      <c r="H816" t="s">
        <v>14</v>
      </c>
      <c r="I816" t="s">
        <v>24</v>
      </c>
      <c r="J816" t="s">
        <v>786</v>
      </c>
      <c r="K816" t="s">
        <v>799</v>
      </c>
      <c r="L816" t="s">
        <v>788</v>
      </c>
      <c r="M816" s="5">
        <v>45666</v>
      </c>
      <c r="N816" s="5">
        <v>45657</v>
      </c>
      <c r="O816">
        <v>3</v>
      </c>
      <c r="P816">
        <v>37.42</v>
      </c>
      <c r="Q816">
        <v>50.52</v>
      </c>
      <c r="R816">
        <v>0</v>
      </c>
      <c r="S816">
        <v>151.56</v>
      </c>
      <c r="T816" t="s">
        <v>1001</v>
      </c>
      <c r="U816">
        <v>112.26</v>
      </c>
      <c r="V816">
        <v>39.299999999999997</v>
      </c>
    </row>
    <row r="817" spans="1:22" x14ac:dyDescent="0.35">
      <c r="A817" t="s">
        <v>2265</v>
      </c>
      <c r="B817" t="s">
        <v>2135</v>
      </c>
      <c r="C817" t="s">
        <v>481</v>
      </c>
      <c r="D817" t="s">
        <v>482</v>
      </c>
      <c r="E817" t="s">
        <v>627</v>
      </c>
      <c r="F817" t="s">
        <v>264</v>
      </c>
      <c r="G817" t="s">
        <v>48</v>
      </c>
      <c r="H817" t="s">
        <v>48</v>
      </c>
      <c r="I817" t="s">
        <v>143</v>
      </c>
      <c r="J817" t="s">
        <v>798</v>
      </c>
      <c r="K817" t="s">
        <v>787</v>
      </c>
      <c r="L817" t="s">
        <v>800</v>
      </c>
      <c r="M817" s="5">
        <v>45445</v>
      </c>
      <c r="O817">
        <v>2</v>
      </c>
      <c r="P817">
        <v>29.93</v>
      </c>
      <c r="Q817">
        <v>38.909999999999997</v>
      </c>
      <c r="R817">
        <v>0</v>
      </c>
      <c r="S817">
        <v>77.819999999999993</v>
      </c>
      <c r="T817" t="s">
        <v>825</v>
      </c>
      <c r="U817">
        <v>59.86</v>
      </c>
      <c r="V817">
        <v>17.96</v>
      </c>
    </row>
    <row r="818" spans="1:22" x14ac:dyDescent="0.35">
      <c r="A818" t="s">
        <v>2267</v>
      </c>
      <c r="B818" t="s">
        <v>1761</v>
      </c>
      <c r="C818" t="s">
        <v>477</v>
      </c>
      <c r="D818" t="s">
        <v>478</v>
      </c>
      <c r="E818" t="s">
        <v>696</v>
      </c>
      <c r="F818" t="s">
        <v>243</v>
      </c>
      <c r="G818" t="s">
        <v>48</v>
      </c>
      <c r="H818" t="s">
        <v>8</v>
      </c>
      <c r="I818" t="s">
        <v>73</v>
      </c>
      <c r="J818" t="s">
        <v>813</v>
      </c>
      <c r="K818" t="s">
        <v>793</v>
      </c>
      <c r="L818" t="s">
        <v>800</v>
      </c>
      <c r="M818" s="5">
        <v>45947</v>
      </c>
      <c r="O818">
        <v>3</v>
      </c>
      <c r="P818">
        <v>67.95</v>
      </c>
      <c r="Q818">
        <v>88.34</v>
      </c>
      <c r="R818">
        <v>0.1</v>
      </c>
      <c r="S818">
        <v>238.52</v>
      </c>
      <c r="T818" t="s">
        <v>859</v>
      </c>
      <c r="U818">
        <v>203.85</v>
      </c>
      <c r="V818">
        <v>34.67</v>
      </c>
    </row>
    <row r="819" spans="1:22" x14ac:dyDescent="0.35">
      <c r="A819" t="s">
        <v>2268</v>
      </c>
      <c r="B819" t="s">
        <v>848</v>
      </c>
      <c r="C819" t="s">
        <v>483</v>
      </c>
      <c r="D819" t="s">
        <v>484</v>
      </c>
      <c r="E819" t="s">
        <v>681</v>
      </c>
      <c r="F819" t="s">
        <v>264</v>
      </c>
      <c r="G819" t="s">
        <v>20</v>
      </c>
      <c r="H819" t="s">
        <v>43</v>
      </c>
      <c r="I819" t="s">
        <v>44</v>
      </c>
      <c r="J819" t="s">
        <v>786</v>
      </c>
      <c r="K819" t="s">
        <v>787</v>
      </c>
      <c r="L819" t="s">
        <v>788</v>
      </c>
      <c r="M819" s="5">
        <v>45483</v>
      </c>
      <c r="O819">
        <v>2</v>
      </c>
      <c r="P819">
        <v>14.05</v>
      </c>
      <c r="Q819">
        <v>19.670000000000002</v>
      </c>
      <c r="R819">
        <v>0</v>
      </c>
      <c r="S819">
        <v>39.340000000000003</v>
      </c>
      <c r="T819" t="s">
        <v>888</v>
      </c>
      <c r="U819">
        <v>28.1</v>
      </c>
      <c r="V819">
        <v>11.24</v>
      </c>
    </row>
    <row r="820" spans="1:22" x14ac:dyDescent="0.35">
      <c r="A820" t="s">
        <v>2269</v>
      </c>
      <c r="B820" t="s">
        <v>1021</v>
      </c>
      <c r="C820" t="s">
        <v>376</v>
      </c>
      <c r="D820" t="s">
        <v>253</v>
      </c>
      <c r="E820" t="s">
        <v>633</v>
      </c>
      <c r="F820" t="s">
        <v>264</v>
      </c>
      <c r="G820" t="s">
        <v>797</v>
      </c>
      <c r="H820" t="s">
        <v>38</v>
      </c>
      <c r="I820" t="s">
        <v>36</v>
      </c>
      <c r="J820" t="s">
        <v>798</v>
      </c>
      <c r="K820" t="s">
        <v>822</v>
      </c>
      <c r="L820" t="s">
        <v>818</v>
      </c>
      <c r="M820" s="5">
        <v>45725</v>
      </c>
      <c r="N820" s="5">
        <v>45725</v>
      </c>
      <c r="O820">
        <v>3</v>
      </c>
      <c r="P820">
        <v>8.57</v>
      </c>
      <c r="Q820">
        <v>11.14</v>
      </c>
      <c r="R820">
        <v>0.1</v>
      </c>
      <c r="S820">
        <v>30.08</v>
      </c>
      <c r="T820" t="s">
        <v>810</v>
      </c>
      <c r="U820">
        <v>25.71</v>
      </c>
      <c r="V820">
        <v>4.37</v>
      </c>
    </row>
    <row r="821" spans="1:22" x14ac:dyDescent="0.35">
      <c r="A821" t="s">
        <v>2270</v>
      </c>
      <c r="B821" t="s">
        <v>2200</v>
      </c>
      <c r="C821" t="s">
        <v>345</v>
      </c>
      <c r="D821" t="s">
        <v>346</v>
      </c>
      <c r="E821" t="s">
        <v>627</v>
      </c>
      <c r="F821" t="s">
        <v>264</v>
      </c>
      <c r="G821" t="s">
        <v>797</v>
      </c>
      <c r="H821" t="s">
        <v>8</v>
      </c>
      <c r="I821" t="s">
        <v>192</v>
      </c>
      <c r="J821" t="s">
        <v>798</v>
      </c>
      <c r="K821" t="s">
        <v>822</v>
      </c>
      <c r="L821" t="s">
        <v>800</v>
      </c>
      <c r="M821" s="5">
        <v>45746</v>
      </c>
      <c r="N821" s="5">
        <v>45746</v>
      </c>
      <c r="O821">
        <v>5</v>
      </c>
      <c r="P821">
        <v>19.47</v>
      </c>
      <c r="Q821">
        <v>28.23</v>
      </c>
      <c r="R821">
        <v>0.05</v>
      </c>
      <c r="S821">
        <v>134.09</v>
      </c>
      <c r="T821" t="s">
        <v>814</v>
      </c>
      <c r="U821">
        <v>97.35</v>
      </c>
      <c r="V821">
        <v>36.74</v>
      </c>
    </row>
    <row r="822" spans="1:22" x14ac:dyDescent="0.35">
      <c r="A822" t="s">
        <v>2271</v>
      </c>
      <c r="B822" t="s">
        <v>938</v>
      </c>
      <c r="C822" t="s">
        <v>473</v>
      </c>
      <c r="D822" t="s">
        <v>368</v>
      </c>
      <c r="E822" t="s">
        <v>696</v>
      </c>
      <c r="F822" t="s">
        <v>235</v>
      </c>
      <c r="G822" t="s">
        <v>797</v>
      </c>
      <c r="H822" t="s">
        <v>8</v>
      </c>
      <c r="I822" t="s">
        <v>10</v>
      </c>
      <c r="J822" t="s">
        <v>798</v>
      </c>
      <c r="K822" t="s">
        <v>822</v>
      </c>
      <c r="L822" t="s">
        <v>818</v>
      </c>
      <c r="M822" s="5">
        <v>45776</v>
      </c>
      <c r="N822" s="5">
        <v>45779</v>
      </c>
      <c r="O822">
        <v>3</v>
      </c>
      <c r="P822">
        <v>22.74</v>
      </c>
      <c r="Q822">
        <v>28.42</v>
      </c>
      <c r="R822">
        <v>0</v>
      </c>
      <c r="S822">
        <v>85.26</v>
      </c>
      <c r="T822" t="s">
        <v>888</v>
      </c>
      <c r="U822">
        <v>68.22</v>
      </c>
      <c r="V822">
        <v>17.04</v>
      </c>
    </row>
    <row r="823" spans="1:22" x14ac:dyDescent="0.35">
      <c r="A823" t="s">
        <v>2272</v>
      </c>
      <c r="B823" t="s">
        <v>1353</v>
      </c>
      <c r="C823" t="s">
        <v>545</v>
      </c>
      <c r="D823" t="s">
        <v>546</v>
      </c>
      <c r="E823" t="s">
        <v>627</v>
      </c>
      <c r="F823" t="s">
        <v>235</v>
      </c>
      <c r="G823" t="s">
        <v>797</v>
      </c>
      <c r="H823" t="s">
        <v>14</v>
      </c>
      <c r="I823" t="s">
        <v>214</v>
      </c>
      <c r="J823" t="s">
        <v>798</v>
      </c>
      <c r="K823" t="s">
        <v>822</v>
      </c>
      <c r="L823" t="s">
        <v>800</v>
      </c>
      <c r="M823" s="5">
        <v>45608</v>
      </c>
      <c r="N823" s="5">
        <v>45604</v>
      </c>
      <c r="O823">
        <v>1</v>
      </c>
      <c r="P823">
        <v>22.07</v>
      </c>
      <c r="Q823">
        <v>27.59</v>
      </c>
      <c r="R823">
        <v>0</v>
      </c>
      <c r="S823">
        <v>27.59</v>
      </c>
      <c r="T823" t="s">
        <v>935</v>
      </c>
      <c r="U823">
        <v>22.07</v>
      </c>
      <c r="V823">
        <v>5.52</v>
      </c>
    </row>
    <row r="824" spans="1:22" x14ac:dyDescent="0.35">
      <c r="A824" t="s">
        <v>2273</v>
      </c>
      <c r="B824" t="s">
        <v>1127</v>
      </c>
      <c r="C824" t="s">
        <v>495</v>
      </c>
      <c r="D824" t="s">
        <v>496</v>
      </c>
      <c r="E824" t="s">
        <v>637</v>
      </c>
      <c r="F824" t="s">
        <v>264</v>
      </c>
      <c r="G824" t="s">
        <v>20</v>
      </c>
      <c r="H824" t="s">
        <v>48</v>
      </c>
      <c r="I824" t="s">
        <v>139</v>
      </c>
      <c r="J824" t="s">
        <v>798</v>
      </c>
      <c r="K824" t="s">
        <v>799</v>
      </c>
      <c r="L824" t="s">
        <v>842</v>
      </c>
      <c r="M824" s="5">
        <v>45711</v>
      </c>
      <c r="N824" s="5">
        <v>45706</v>
      </c>
      <c r="O824">
        <v>1</v>
      </c>
      <c r="P824">
        <v>29.93</v>
      </c>
      <c r="Q824">
        <v>41.9</v>
      </c>
      <c r="R824">
        <v>0</v>
      </c>
      <c r="S824">
        <v>41.9</v>
      </c>
      <c r="T824" t="s">
        <v>1017</v>
      </c>
      <c r="U824">
        <v>29.93</v>
      </c>
      <c r="V824">
        <v>11.97</v>
      </c>
    </row>
    <row r="825" spans="1:22" x14ac:dyDescent="0.35">
      <c r="A825" t="s">
        <v>2274</v>
      </c>
      <c r="B825" t="s">
        <v>1278</v>
      </c>
      <c r="C825" t="s">
        <v>320</v>
      </c>
      <c r="D825" t="s">
        <v>321</v>
      </c>
      <c r="E825" t="s">
        <v>637</v>
      </c>
      <c r="F825" t="s">
        <v>235</v>
      </c>
      <c r="G825" t="s">
        <v>797</v>
      </c>
      <c r="H825" t="s">
        <v>14</v>
      </c>
      <c r="I825" t="s">
        <v>25</v>
      </c>
      <c r="J825" t="s">
        <v>798</v>
      </c>
      <c r="K825" t="s">
        <v>793</v>
      </c>
      <c r="L825" t="s">
        <v>842</v>
      </c>
      <c r="M825" s="5">
        <v>45640</v>
      </c>
      <c r="O825">
        <v>12</v>
      </c>
      <c r="P825">
        <v>18.95</v>
      </c>
      <c r="Q825">
        <v>25.58</v>
      </c>
      <c r="R825">
        <v>0</v>
      </c>
      <c r="S825">
        <v>306.95999999999998</v>
      </c>
      <c r="T825" t="s">
        <v>803</v>
      </c>
      <c r="U825">
        <v>227.4</v>
      </c>
      <c r="V825">
        <v>79.56</v>
      </c>
    </row>
    <row r="826" spans="1:22" x14ac:dyDescent="0.35">
      <c r="A826" t="s">
        <v>2275</v>
      </c>
      <c r="B826" t="s">
        <v>1587</v>
      </c>
      <c r="C826" t="s">
        <v>603</v>
      </c>
      <c r="D826" t="s">
        <v>508</v>
      </c>
      <c r="E826" t="s">
        <v>681</v>
      </c>
      <c r="F826" t="s">
        <v>264</v>
      </c>
      <c r="G826" t="s">
        <v>797</v>
      </c>
      <c r="H826" t="s">
        <v>48</v>
      </c>
      <c r="I826" t="s">
        <v>219</v>
      </c>
      <c r="J826" t="s">
        <v>798</v>
      </c>
      <c r="K826" t="s">
        <v>787</v>
      </c>
      <c r="L826" t="s">
        <v>818</v>
      </c>
      <c r="M826" s="5">
        <v>45989</v>
      </c>
      <c r="O826">
        <v>1</v>
      </c>
      <c r="P826">
        <v>12.9</v>
      </c>
      <c r="Q826">
        <v>18.7</v>
      </c>
      <c r="R826">
        <v>0</v>
      </c>
      <c r="S826">
        <v>18.7</v>
      </c>
      <c r="T826" t="s">
        <v>794</v>
      </c>
      <c r="U826">
        <v>12.9</v>
      </c>
      <c r="V826">
        <v>5.8</v>
      </c>
    </row>
    <row r="827" spans="1:22" x14ac:dyDescent="0.35">
      <c r="A827" t="s">
        <v>2276</v>
      </c>
      <c r="B827" t="s">
        <v>1887</v>
      </c>
      <c r="C827" t="s">
        <v>354</v>
      </c>
      <c r="D827" t="s">
        <v>321</v>
      </c>
      <c r="E827" t="s">
        <v>633</v>
      </c>
      <c r="F827" t="s">
        <v>243</v>
      </c>
      <c r="G827" t="s">
        <v>14</v>
      </c>
      <c r="H827" t="s">
        <v>8</v>
      </c>
      <c r="I827" t="s">
        <v>212</v>
      </c>
      <c r="J827" t="s">
        <v>798</v>
      </c>
      <c r="K827" t="s">
        <v>822</v>
      </c>
      <c r="L827" t="s">
        <v>818</v>
      </c>
      <c r="M827" s="5">
        <v>45990</v>
      </c>
      <c r="N827" s="5">
        <v>45987</v>
      </c>
      <c r="O827">
        <v>5</v>
      </c>
      <c r="P827">
        <v>95.09</v>
      </c>
      <c r="Q827">
        <v>133.13</v>
      </c>
      <c r="R827">
        <v>0.1</v>
      </c>
      <c r="S827">
        <v>599.09</v>
      </c>
      <c r="T827" t="s">
        <v>1001</v>
      </c>
      <c r="U827">
        <v>475.45</v>
      </c>
      <c r="V827">
        <v>123.64</v>
      </c>
    </row>
    <row r="828" spans="1:22" x14ac:dyDescent="0.35">
      <c r="A828" t="s">
        <v>2277</v>
      </c>
      <c r="B828" t="s">
        <v>2246</v>
      </c>
      <c r="C828" t="s">
        <v>230</v>
      </c>
      <c r="D828" t="s">
        <v>231</v>
      </c>
      <c r="E828" t="s">
        <v>674</v>
      </c>
      <c r="F828" t="s">
        <v>235</v>
      </c>
      <c r="G828" t="s">
        <v>14</v>
      </c>
      <c r="H828" t="s">
        <v>29</v>
      </c>
      <c r="I828" t="s">
        <v>32</v>
      </c>
      <c r="J828" t="s">
        <v>813</v>
      </c>
      <c r="K828" t="s">
        <v>787</v>
      </c>
      <c r="L828" t="s">
        <v>788</v>
      </c>
      <c r="M828" s="5">
        <v>45412</v>
      </c>
      <c r="O828">
        <v>5</v>
      </c>
      <c r="P828">
        <v>18.989999999999998</v>
      </c>
      <c r="Q828">
        <v>25.64</v>
      </c>
      <c r="R828">
        <v>0</v>
      </c>
      <c r="S828">
        <v>128.19999999999999</v>
      </c>
      <c r="T828" t="s">
        <v>819</v>
      </c>
      <c r="U828">
        <v>94.95</v>
      </c>
      <c r="V828">
        <v>33.25</v>
      </c>
    </row>
    <row r="829" spans="1:22" x14ac:dyDescent="0.35">
      <c r="A829" t="s">
        <v>2278</v>
      </c>
      <c r="B829" t="s">
        <v>1483</v>
      </c>
      <c r="C829" t="s">
        <v>487</v>
      </c>
      <c r="D829" t="s">
        <v>488</v>
      </c>
      <c r="E829" t="s">
        <v>696</v>
      </c>
      <c r="F829" t="s">
        <v>243</v>
      </c>
      <c r="G829" t="s">
        <v>797</v>
      </c>
      <c r="H829" t="s">
        <v>29</v>
      </c>
      <c r="I829" t="s">
        <v>176</v>
      </c>
      <c r="J829" t="s">
        <v>813</v>
      </c>
      <c r="K829" t="s">
        <v>793</v>
      </c>
      <c r="L829" t="s">
        <v>788</v>
      </c>
      <c r="M829" s="5">
        <v>45320</v>
      </c>
      <c r="O829">
        <v>5</v>
      </c>
      <c r="P829">
        <v>25.88</v>
      </c>
      <c r="Q829">
        <v>36.229999999999997</v>
      </c>
      <c r="R829">
        <v>0</v>
      </c>
      <c r="S829">
        <v>181.15</v>
      </c>
      <c r="T829" t="s">
        <v>790</v>
      </c>
      <c r="U829">
        <v>129.4</v>
      </c>
      <c r="V829">
        <v>51.75</v>
      </c>
    </row>
    <row r="830" spans="1:22" x14ac:dyDescent="0.35">
      <c r="A830" t="s">
        <v>2279</v>
      </c>
      <c r="B830" t="s">
        <v>1201</v>
      </c>
      <c r="C830" t="s">
        <v>580</v>
      </c>
      <c r="D830" t="s">
        <v>581</v>
      </c>
      <c r="E830" t="s">
        <v>696</v>
      </c>
      <c r="F830" t="s">
        <v>235</v>
      </c>
      <c r="G830" t="s">
        <v>20</v>
      </c>
      <c r="H830" t="s">
        <v>38</v>
      </c>
      <c r="I830" t="s">
        <v>165</v>
      </c>
      <c r="J830" t="s">
        <v>798</v>
      </c>
      <c r="K830" t="s">
        <v>799</v>
      </c>
      <c r="L830" t="s">
        <v>842</v>
      </c>
      <c r="M830" s="5">
        <v>45565</v>
      </c>
      <c r="N830" s="5">
        <v>45562</v>
      </c>
      <c r="O830">
        <v>12</v>
      </c>
      <c r="P830">
        <v>18.45</v>
      </c>
      <c r="Q830">
        <v>25.83</v>
      </c>
      <c r="R830">
        <v>0</v>
      </c>
      <c r="S830">
        <v>309.95999999999998</v>
      </c>
      <c r="T830" t="s">
        <v>888</v>
      </c>
      <c r="U830">
        <v>221.4</v>
      </c>
      <c r="V830">
        <v>88.56</v>
      </c>
    </row>
    <row r="831" spans="1:22" x14ac:dyDescent="0.35">
      <c r="A831" t="s">
        <v>2280</v>
      </c>
      <c r="B831" t="s">
        <v>886</v>
      </c>
      <c r="C831" t="s">
        <v>603</v>
      </c>
      <c r="D831" t="s">
        <v>508</v>
      </c>
      <c r="E831" t="s">
        <v>681</v>
      </c>
      <c r="F831" t="s">
        <v>264</v>
      </c>
      <c r="G831" t="s">
        <v>14</v>
      </c>
      <c r="H831" t="s">
        <v>20</v>
      </c>
      <c r="I831" t="s">
        <v>51</v>
      </c>
      <c r="J831" t="s">
        <v>798</v>
      </c>
      <c r="K831" t="s">
        <v>793</v>
      </c>
      <c r="L831" t="s">
        <v>842</v>
      </c>
      <c r="M831" s="5">
        <v>45473</v>
      </c>
      <c r="O831">
        <v>3</v>
      </c>
      <c r="P831">
        <v>11.28</v>
      </c>
      <c r="Q831">
        <v>15.23</v>
      </c>
      <c r="R831">
        <v>0.1</v>
      </c>
      <c r="S831">
        <v>41.12</v>
      </c>
      <c r="T831" t="s">
        <v>819</v>
      </c>
      <c r="U831">
        <v>33.840000000000003</v>
      </c>
      <c r="V831">
        <v>7.28</v>
      </c>
    </row>
    <row r="832" spans="1:22" x14ac:dyDescent="0.35">
      <c r="A832" t="s">
        <v>2281</v>
      </c>
      <c r="B832" t="s">
        <v>2033</v>
      </c>
      <c r="C832" t="s">
        <v>465</v>
      </c>
      <c r="D832" t="s">
        <v>348</v>
      </c>
      <c r="E832" t="s">
        <v>696</v>
      </c>
      <c r="F832" t="s">
        <v>264</v>
      </c>
      <c r="G832" t="s">
        <v>14</v>
      </c>
      <c r="H832" t="s">
        <v>43</v>
      </c>
      <c r="I832" t="s">
        <v>99</v>
      </c>
      <c r="J832" t="s">
        <v>813</v>
      </c>
      <c r="K832" t="s">
        <v>793</v>
      </c>
      <c r="L832" t="s">
        <v>818</v>
      </c>
      <c r="M832" s="5">
        <v>45671</v>
      </c>
      <c r="O832">
        <v>1</v>
      </c>
      <c r="P832">
        <v>10.88</v>
      </c>
      <c r="Q832">
        <v>15.78</v>
      </c>
      <c r="R832">
        <v>0</v>
      </c>
      <c r="S832">
        <v>15.78</v>
      </c>
      <c r="T832" t="s">
        <v>839</v>
      </c>
      <c r="U832">
        <v>10.88</v>
      </c>
      <c r="V832">
        <v>4.9000000000000004</v>
      </c>
    </row>
    <row r="833" spans="1:22" x14ac:dyDescent="0.35">
      <c r="A833" t="s">
        <v>2282</v>
      </c>
      <c r="B833" t="s">
        <v>945</v>
      </c>
      <c r="C833" t="s">
        <v>334</v>
      </c>
      <c r="D833" t="s">
        <v>335</v>
      </c>
      <c r="E833" t="s">
        <v>627</v>
      </c>
      <c r="F833" t="s">
        <v>243</v>
      </c>
      <c r="G833" t="s">
        <v>797</v>
      </c>
      <c r="H833" t="s">
        <v>48</v>
      </c>
      <c r="I833" t="s">
        <v>148</v>
      </c>
      <c r="J833" t="s">
        <v>798</v>
      </c>
      <c r="K833" t="s">
        <v>787</v>
      </c>
      <c r="L833" t="s">
        <v>818</v>
      </c>
      <c r="M833" s="5">
        <v>45589</v>
      </c>
      <c r="O833">
        <v>3</v>
      </c>
      <c r="P833">
        <v>58.01</v>
      </c>
      <c r="Q833">
        <v>72.510000000000005</v>
      </c>
      <c r="R833">
        <v>0</v>
      </c>
      <c r="S833">
        <v>217.53</v>
      </c>
      <c r="T833" t="s">
        <v>814</v>
      </c>
      <c r="U833">
        <v>174.03</v>
      </c>
      <c r="V833">
        <v>43.5</v>
      </c>
    </row>
    <row r="834" spans="1:22" x14ac:dyDescent="0.35">
      <c r="A834" t="s">
        <v>2283</v>
      </c>
      <c r="B834" t="s">
        <v>1653</v>
      </c>
      <c r="C834" t="s">
        <v>596</v>
      </c>
      <c r="D834" t="s">
        <v>443</v>
      </c>
      <c r="E834" t="s">
        <v>696</v>
      </c>
      <c r="F834" t="s">
        <v>264</v>
      </c>
      <c r="G834" t="s">
        <v>797</v>
      </c>
      <c r="H834" t="s">
        <v>8</v>
      </c>
      <c r="I834" t="s">
        <v>73</v>
      </c>
      <c r="J834" t="s">
        <v>786</v>
      </c>
      <c r="K834" t="s">
        <v>793</v>
      </c>
      <c r="L834" t="s">
        <v>788</v>
      </c>
      <c r="M834" s="5">
        <v>45448</v>
      </c>
      <c r="O834">
        <v>3</v>
      </c>
      <c r="P834">
        <v>67.95</v>
      </c>
      <c r="Q834">
        <v>88.34</v>
      </c>
      <c r="R834">
        <v>0</v>
      </c>
      <c r="S834">
        <v>265.02</v>
      </c>
      <c r="T834" t="s">
        <v>1001</v>
      </c>
      <c r="U834">
        <v>203.85</v>
      </c>
      <c r="V834">
        <v>61.17</v>
      </c>
    </row>
    <row r="835" spans="1:22" x14ac:dyDescent="0.35">
      <c r="A835" t="s">
        <v>2284</v>
      </c>
      <c r="B835" t="s">
        <v>1480</v>
      </c>
      <c r="C835" t="s">
        <v>516</v>
      </c>
      <c r="D835" t="s">
        <v>517</v>
      </c>
      <c r="E835" t="s">
        <v>254</v>
      </c>
      <c r="F835" t="s">
        <v>243</v>
      </c>
      <c r="G835" t="s">
        <v>797</v>
      </c>
      <c r="H835" t="s">
        <v>29</v>
      </c>
      <c r="I835" t="s">
        <v>121</v>
      </c>
      <c r="J835" t="s">
        <v>813</v>
      </c>
      <c r="K835" t="s">
        <v>799</v>
      </c>
      <c r="L835" t="s">
        <v>800</v>
      </c>
      <c r="M835" s="5">
        <v>45832</v>
      </c>
      <c r="N835" s="5">
        <v>45832</v>
      </c>
      <c r="O835">
        <v>1</v>
      </c>
      <c r="P835">
        <v>15.46</v>
      </c>
      <c r="Q835">
        <v>22.42</v>
      </c>
      <c r="R835">
        <v>0.05</v>
      </c>
      <c r="S835">
        <v>21.3</v>
      </c>
      <c r="T835" t="s">
        <v>1001</v>
      </c>
      <c r="U835">
        <v>15.46</v>
      </c>
      <c r="V835">
        <v>5.84</v>
      </c>
    </row>
    <row r="836" spans="1:22" x14ac:dyDescent="0.35">
      <c r="A836" t="s">
        <v>2285</v>
      </c>
      <c r="B836" t="s">
        <v>1493</v>
      </c>
      <c r="C836" t="s">
        <v>425</v>
      </c>
      <c r="D836" t="s">
        <v>404</v>
      </c>
      <c r="E836" t="s">
        <v>696</v>
      </c>
      <c r="F836" t="s">
        <v>264</v>
      </c>
      <c r="G836" t="s">
        <v>797</v>
      </c>
      <c r="H836" t="s">
        <v>14</v>
      </c>
      <c r="I836" t="s">
        <v>167</v>
      </c>
      <c r="J836" t="s">
        <v>786</v>
      </c>
      <c r="K836" t="s">
        <v>799</v>
      </c>
      <c r="L836" t="s">
        <v>818</v>
      </c>
      <c r="M836" s="5">
        <v>45591</v>
      </c>
      <c r="N836" s="5">
        <v>45580</v>
      </c>
      <c r="O836">
        <v>3</v>
      </c>
      <c r="P836">
        <v>18.62</v>
      </c>
      <c r="Q836">
        <v>26.07</v>
      </c>
      <c r="R836">
        <v>0.1</v>
      </c>
      <c r="S836">
        <v>70.39</v>
      </c>
      <c r="T836" t="s">
        <v>825</v>
      </c>
      <c r="U836">
        <v>55.86</v>
      </c>
      <c r="V836">
        <v>14.53</v>
      </c>
    </row>
    <row r="837" spans="1:22" x14ac:dyDescent="0.35">
      <c r="A837" t="s">
        <v>2286</v>
      </c>
      <c r="B837" t="s">
        <v>2287</v>
      </c>
      <c r="C837" t="s">
        <v>614</v>
      </c>
      <c r="D837" t="s">
        <v>615</v>
      </c>
      <c r="E837" t="s">
        <v>681</v>
      </c>
      <c r="F837" t="s">
        <v>235</v>
      </c>
      <c r="G837" t="s">
        <v>14</v>
      </c>
      <c r="H837" t="s">
        <v>29</v>
      </c>
      <c r="I837" t="s">
        <v>158</v>
      </c>
      <c r="J837" t="s">
        <v>813</v>
      </c>
      <c r="K837" t="s">
        <v>793</v>
      </c>
      <c r="L837" t="s">
        <v>800</v>
      </c>
      <c r="M837" s="5">
        <v>45884</v>
      </c>
      <c r="O837">
        <v>1</v>
      </c>
      <c r="P837">
        <v>25.8</v>
      </c>
      <c r="Q837">
        <v>36.119999999999997</v>
      </c>
      <c r="R837">
        <v>0.1</v>
      </c>
      <c r="S837">
        <v>32.51</v>
      </c>
      <c r="T837" t="s">
        <v>946</v>
      </c>
      <c r="U837">
        <v>25.8</v>
      </c>
      <c r="V837">
        <v>6.71</v>
      </c>
    </row>
    <row r="838" spans="1:22" x14ac:dyDescent="0.35">
      <c r="A838" t="s">
        <v>2288</v>
      </c>
      <c r="B838" t="s">
        <v>915</v>
      </c>
      <c r="C838" t="s">
        <v>278</v>
      </c>
      <c r="D838" t="s">
        <v>279</v>
      </c>
      <c r="E838" t="s">
        <v>254</v>
      </c>
      <c r="F838" t="s">
        <v>235</v>
      </c>
      <c r="G838" t="s">
        <v>20</v>
      </c>
      <c r="H838" t="s">
        <v>43</v>
      </c>
      <c r="I838" t="s">
        <v>171</v>
      </c>
      <c r="J838" t="s">
        <v>813</v>
      </c>
      <c r="K838" t="s">
        <v>787</v>
      </c>
      <c r="L838" t="s">
        <v>842</v>
      </c>
      <c r="M838" s="5">
        <v>45708</v>
      </c>
      <c r="O838">
        <v>1</v>
      </c>
      <c r="P838">
        <v>29.39</v>
      </c>
      <c r="Q838">
        <v>39.68</v>
      </c>
      <c r="R838">
        <v>0.05</v>
      </c>
      <c r="S838">
        <v>37.700000000000003</v>
      </c>
      <c r="T838" t="s">
        <v>825</v>
      </c>
      <c r="U838">
        <v>29.39</v>
      </c>
      <c r="V838">
        <v>8.31</v>
      </c>
    </row>
    <row r="839" spans="1:22" x14ac:dyDescent="0.35">
      <c r="A839" t="s">
        <v>2289</v>
      </c>
      <c r="B839" t="s">
        <v>881</v>
      </c>
      <c r="C839" t="s">
        <v>609</v>
      </c>
      <c r="D839" t="s">
        <v>610</v>
      </c>
      <c r="E839" t="s">
        <v>674</v>
      </c>
      <c r="G839" t="s">
        <v>48</v>
      </c>
      <c r="H839" t="s">
        <v>14</v>
      </c>
      <c r="I839" t="s">
        <v>24</v>
      </c>
      <c r="J839" t="s">
        <v>786</v>
      </c>
      <c r="K839" t="s">
        <v>799</v>
      </c>
      <c r="L839" t="s">
        <v>788</v>
      </c>
      <c r="M839" s="5">
        <v>45793</v>
      </c>
      <c r="N839" s="5">
        <v>45786</v>
      </c>
      <c r="O839">
        <v>5</v>
      </c>
      <c r="P839">
        <v>37.42</v>
      </c>
      <c r="Q839">
        <v>50.52</v>
      </c>
      <c r="R839">
        <v>0</v>
      </c>
      <c r="S839">
        <v>252.6</v>
      </c>
      <c r="T839" t="s">
        <v>810</v>
      </c>
      <c r="U839">
        <v>187.1</v>
      </c>
      <c r="V839">
        <v>65.5</v>
      </c>
    </row>
    <row r="840" spans="1:22" x14ac:dyDescent="0.35">
      <c r="A840" t="s">
        <v>2290</v>
      </c>
      <c r="B840" t="s">
        <v>912</v>
      </c>
      <c r="C840" t="s">
        <v>291</v>
      </c>
      <c r="D840" t="s">
        <v>292</v>
      </c>
      <c r="E840" t="s">
        <v>627</v>
      </c>
      <c r="F840" t="s">
        <v>243</v>
      </c>
      <c r="G840" t="s">
        <v>797</v>
      </c>
      <c r="H840" t="s">
        <v>38</v>
      </c>
      <c r="I840" t="s">
        <v>126</v>
      </c>
      <c r="J840" t="s">
        <v>813</v>
      </c>
      <c r="K840" t="s">
        <v>799</v>
      </c>
      <c r="L840" t="s">
        <v>818</v>
      </c>
      <c r="M840" s="5">
        <v>45725</v>
      </c>
      <c r="N840" s="5">
        <v>45723</v>
      </c>
      <c r="O840">
        <v>2</v>
      </c>
      <c r="P840">
        <v>41.95</v>
      </c>
      <c r="Q840">
        <v>58.73</v>
      </c>
      <c r="R840">
        <v>0</v>
      </c>
      <c r="S840">
        <v>117.46</v>
      </c>
      <c r="T840" t="s">
        <v>946</v>
      </c>
      <c r="U840">
        <v>83.9</v>
      </c>
      <c r="V840">
        <v>33.56</v>
      </c>
    </row>
    <row r="841" spans="1:22" x14ac:dyDescent="0.35">
      <c r="A841" t="s">
        <v>2291</v>
      </c>
      <c r="B841" t="s">
        <v>1308</v>
      </c>
      <c r="C841" t="s">
        <v>327</v>
      </c>
      <c r="D841" t="s">
        <v>328</v>
      </c>
      <c r="E841" t="s">
        <v>681</v>
      </c>
      <c r="F841" t="s">
        <v>264</v>
      </c>
      <c r="G841" t="s">
        <v>797</v>
      </c>
      <c r="H841" t="s">
        <v>14</v>
      </c>
      <c r="I841" t="s">
        <v>56</v>
      </c>
      <c r="J841" t="s">
        <v>813</v>
      </c>
      <c r="K841" t="s">
        <v>799</v>
      </c>
      <c r="L841" t="s">
        <v>788</v>
      </c>
      <c r="M841" s="5">
        <v>45473</v>
      </c>
      <c r="N841" s="5">
        <v>45478</v>
      </c>
      <c r="O841">
        <v>20</v>
      </c>
      <c r="P841">
        <v>25.46</v>
      </c>
      <c r="Q841">
        <v>31.83</v>
      </c>
      <c r="R841">
        <v>0</v>
      </c>
      <c r="S841">
        <v>636.6</v>
      </c>
      <c r="T841" t="s">
        <v>1017</v>
      </c>
      <c r="U841">
        <v>509.2</v>
      </c>
      <c r="V841">
        <v>127.4</v>
      </c>
    </row>
    <row r="842" spans="1:22" x14ac:dyDescent="0.35">
      <c r="A842" t="s">
        <v>2292</v>
      </c>
      <c r="B842" t="s">
        <v>1317</v>
      </c>
      <c r="C842" t="s">
        <v>388</v>
      </c>
      <c r="D842" t="s">
        <v>389</v>
      </c>
      <c r="E842" t="s">
        <v>674</v>
      </c>
      <c r="F842" t="s">
        <v>243</v>
      </c>
      <c r="G842" t="s">
        <v>20</v>
      </c>
      <c r="H842" t="s">
        <v>14</v>
      </c>
      <c r="I842" t="s">
        <v>214</v>
      </c>
      <c r="J842" t="s">
        <v>798</v>
      </c>
      <c r="K842" t="s">
        <v>799</v>
      </c>
      <c r="L842" t="s">
        <v>788</v>
      </c>
      <c r="M842" s="5">
        <v>45747</v>
      </c>
      <c r="N842" s="5">
        <v>45741</v>
      </c>
      <c r="O842">
        <v>2</v>
      </c>
      <c r="P842">
        <v>22.07</v>
      </c>
      <c r="Q842">
        <v>27.59</v>
      </c>
      <c r="R842">
        <v>0</v>
      </c>
      <c r="S842">
        <v>55.18</v>
      </c>
      <c r="T842" t="s">
        <v>803</v>
      </c>
      <c r="U842">
        <v>44.14</v>
      </c>
      <c r="V842">
        <v>11.04</v>
      </c>
    </row>
    <row r="843" spans="1:22" x14ac:dyDescent="0.35">
      <c r="A843" t="s">
        <v>2293</v>
      </c>
      <c r="B843" t="s">
        <v>2024</v>
      </c>
      <c r="C843" t="s">
        <v>377</v>
      </c>
      <c r="D843" t="s">
        <v>378</v>
      </c>
      <c r="E843" t="s">
        <v>254</v>
      </c>
      <c r="F843" t="s">
        <v>243</v>
      </c>
      <c r="G843" t="s">
        <v>20</v>
      </c>
      <c r="H843" t="s">
        <v>38</v>
      </c>
      <c r="I843" t="s">
        <v>132</v>
      </c>
      <c r="J843" t="s">
        <v>786</v>
      </c>
      <c r="K843" t="s">
        <v>793</v>
      </c>
      <c r="L843" t="s">
        <v>818</v>
      </c>
      <c r="M843" s="5">
        <v>45950</v>
      </c>
      <c r="O843">
        <v>2</v>
      </c>
      <c r="P843">
        <v>12.71</v>
      </c>
      <c r="Q843">
        <v>17.79</v>
      </c>
      <c r="R843">
        <v>0.1</v>
      </c>
      <c r="S843">
        <v>32.020000000000003</v>
      </c>
      <c r="T843" t="s">
        <v>790</v>
      </c>
      <c r="U843">
        <v>25.42</v>
      </c>
      <c r="V843">
        <v>6.6</v>
      </c>
    </row>
    <row r="844" spans="1:22" x14ac:dyDescent="0.35">
      <c r="A844" t="s">
        <v>2294</v>
      </c>
      <c r="B844" t="s">
        <v>744</v>
      </c>
      <c r="C844" t="s">
        <v>369</v>
      </c>
      <c r="D844" t="s">
        <v>282</v>
      </c>
      <c r="E844" t="s">
        <v>681</v>
      </c>
      <c r="F844" t="s">
        <v>243</v>
      </c>
      <c r="G844" t="s">
        <v>20</v>
      </c>
      <c r="H844" t="s">
        <v>14</v>
      </c>
      <c r="I844" t="s">
        <v>60</v>
      </c>
      <c r="J844" t="s">
        <v>786</v>
      </c>
      <c r="K844" t="s">
        <v>799</v>
      </c>
      <c r="L844" t="s">
        <v>818</v>
      </c>
      <c r="M844" s="5">
        <v>45379</v>
      </c>
      <c r="N844" s="5">
        <v>45375</v>
      </c>
      <c r="O844">
        <v>3</v>
      </c>
      <c r="P844">
        <v>18.18</v>
      </c>
      <c r="Q844">
        <v>24.54</v>
      </c>
      <c r="R844">
        <v>0</v>
      </c>
      <c r="S844">
        <v>73.62</v>
      </c>
      <c r="T844" t="s">
        <v>963</v>
      </c>
      <c r="U844">
        <v>54.54</v>
      </c>
      <c r="V844">
        <v>19.079999999999998</v>
      </c>
    </row>
    <row r="845" spans="1:22" x14ac:dyDescent="0.35">
      <c r="A845" t="s">
        <v>2295</v>
      </c>
      <c r="B845" t="s">
        <v>1411</v>
      </c>
      <c r="C845" t="s">
        <v>448</v>
      </c>
      <c r="D845" t="s">
        <v>427</v>
      </c>
      <c r="E845" t="s">
        <v>633</v>
      </c>
      <c r="F845" t="s">
        <v>243</v>
      </c>
      <c r="G845" t="s">
        <v>14</v>
      </c>
      <c r="H845" t="s">
        <v>38</v>
      </c>
      <c r="I845" t="s">
        <v>82</v>
      </c>
      <c r="J845" t="s">
        <v>798</v>
      </c>
      <c r="K845" t="s">
        <v>787</v>
      </c>
      <c r="L845" t="s">
        <v>842</v>
      </c>
      <c r="M845" s="5">
        <v>45784</v>
      </c>
      <c r="O845">
        <v>1</v>
      </c>
      <c r="P845">
        <v>12.54</v>
      </c>
      <c r="Q845">
        <v>16.93</v>
      </c>
      <c r="R845">
        <v>0.05</v>
      </c>
      <c r="S845">
        <v>16.079999999999998</v>
      </c>
      <c r="T845" t="s">
        <v>876</v>
      </c>
      <c r="U845">
        <v>12.54</v>
      </c>
      <c r="V845">
        <v>3.54</v>
      </c>
    </row>
    <row r="846" spans="1:22" x14ac:dyDescent="0.35">
      <c r="A846" t="s">
        <v>2296</v>
      </c>
      <c r="B846" t="s">
        <v>903</v>
      </c>
      <c r="C846" t="s">
        <v>303</v>
      </c>
      <c r="D846" t="s">
        <v>304</v>
      </c>
      <c r="E846" t="s">
        <v>627</v>
      </c>
      <c r="F846" t="s">
        <v>243</v>
      </c>
      <c r="G846" t="s">
        <v>797</v>
      </c>
      <c r="H846" t="s">
        <v>8</v>
      </c>
      <c r="I846" t="s">
        <v>192</v>
      </c>
      <c r="J846" t="s">
        <v>786</v>
      </c>
      <c r="K846" t="s">
        <v>793</v>
      </c>
      <c r="L846" t="s">
        <v>842</v>
      </c>
      <c r="M846" s="5">
        <v>45946</v>
      </c>
      <c r="O846">
        <v>3</v>
      </c>
      <c r="P846">
        <v>19.47</v>
      </c>
      <c r="Q846">
        <v>28.23</v>
      </c>
      <c r="R846">
        <v>0.05</v>
      </c>
      <c r="S846">
        <v>80.459999999999994</v>
      </c>
      <c r="T846" t="s">
        <v>794</v>
      </c>
      <c r="U846">
        <v>58.41</v>
      </c>
      <c r="V846">
        <v>22.05</v>
      </c>
    </row>
    <row r="847" spans="1:22" x14ac:dyDescent="0.35">
      <c r="A847" t="s">
        <v>2297</v>
      </c>
      <c r="B847" t="s">
        <v>1234</v>
      </c>
      <c r="C847" t="s">
        <v>528</v>
      </c>
      <c r="D847" t="s">
        <v>433</v>
      </c>
      <c r="E847" t="s">
        <v>633</v>
      </c>
      <c r="F847" t="s">
        <v>264</v>
      </c>
      <c r="G847" t="s">
        <v>797</v>
      </c>
      <c r="H847" t="s">
        <v>20</v>
      </c>
      <c r="I847" t="s">
        <v>97</v>
      </c>
      <c r="J847" t="s">
        <v>786</v>
      </c>
      <c r="K847" t="s">
        <v>793</v>
      </c>
      <c r="L847" t="s">
        <v>800</v>
      </c>
      <c r="M847" s="5">
        <v>45358</v>
      </c>
      <c r="O847">
        <v>1</v>
      </c>
      <c r="P847">
        <v>20.79</v>
      </c>
      <c r="Q847">
        <v>28.07</v>
      </c>
      <c r="R847">
        <v>0.05</v>
      </c>
      <c r="S847">
        <v>26.67</v>
      </c>
      <c r="T847" t="s">
        <v>1001</v>
      </c>
      <c r="U847">
        <v>20.79</v>
      </c>
      <c r="V847">
        <v>5.88</v>
      </c>
    </row>
    <row r="848" spans="1:22" x14ac:dyDescent="0.35">
      <c r="A848" t="s">
        <v>2298</v>
      </c>
      <c r="B848" t="s">
        <v>1286</v>
      </c>
      <c r="C848" t="s">
        <v>355</v>
      </c>
      <c r="D848" t="s">
        <v>356</v>
      </c>
      <c r="E848" t="s">
        <v>633</v>
      </c>
      <c r="F848" t="s">
        <v>264</v>
      </c>
      <c r="G848" t="s">
        <v>797</v>
      </c>
      <c r="H848" t="s">
        <v>38</v>
      </c>
      <c r="I848" t="s">
        <v>165</v>
      </c>
      <c r="J848" t="s">
        <v>798</v>
      </c>
      <c r="K848" t="s">
        <v>799</v>
      </c>
      <c r="L848" t="s">
        <v>800</v>
      </c>
      <c r="M848" s="5">
        <v>45665</v>
      </c>
      <c r="N848" s="5">
        <v>45659</v>
      </c>
      <c r="O848">
        <v>5</v>
      </c>
      <c r="P848">
        <v>18.45</v>
      </c>
      <c r="Q848">
        <v>25.83</v>
      </c>
      <c r="R848">
        <v>0.05</v>
      </c>
      <c r="S848">
        <v>122.69</v>
      </c>
      <c r="T848" t="s">
        <v>946</v>
      </c>
      <c r="U848">
        <v>92.25</v>
      </c>
      <c r="V848">
        <v>30.44</v>
      </c>
    </row>
    <row r="849" spans="1:22" x14ac:dyDescent="0.35">
      <c r="A849" t="s">
        <v>2299</v>
      </c>
      <c r="B849" t="s">
        <v>2187</v>
      </c>
      <c r="C849" t="s">
        <v>547</v>
      </c>
      <c r="D849" t="s">
        <v>375</v>
      </c>
      <c r="E849" t="s">
        <v>696</v>
      </c>
      <c r="F849" t="s">
        <v>243</v>
      </c>
      <c r="G849" t="s">
        <v>48</v>
      </c>
      <c r="H849" t="s">
        <v>38</v>
      </c>
      <c r="I849" t="s">
        <v>206</v>
      </c>
      <c r="J849" t="s">
        <v>786</v>
      </c>
      <c r="K849" t="s">
        <v>799</v>
      </c>
      <c r="L849" t="s">
        <v>842</v>
      </c>
      <c r="M849" s="5">
        <v>45865</v>
      </c>
      <c r="N849" s="5">
        <v>45856</v>
      </c>
      <c r="O849">
        <v>3</v>
      </c>
      <c r="P849">
        <v>23.55</v>
      </c>
      <c r="Q849">
        <v>31.79</v>
      </c>
      <c r="R849">
        <v>0</v>
      </c>
      <c r="S849">
        <v>95.37</v>
      </c>
      <c r="T849" t="s">
        <v>876</v>
      </c>
      <c r="U849">
        <v>70.650000000000006</v>
      </c>
      <c r="V849">
        <v>24.72</v>
      </c>
    </row>
    <row r="850" spans="1:22" x14ac:dyDescent="0.35">
      <c r="A850" t="s">
        <v>2300</v>
      </c>
      <c r="B850" t="s">
        <v>2301</v>
      </c>
      <c r="C850" t="s">
        <v>611</v>
      </c>
      <c r="D850" t="s">
        <v>287</v>
      </c>
      <c r="E850" t="s">
        <v>254</v>
      </c>
      <c r="F850" t="s">
        <v>235</v>
      </c>
      <c r="G850" t="s">
        <v>797</v>
      </c>
      <c r="H850" t="s">
        <v>20</v>
      </c>
      <c r="I850" t="s">
        <v>102</v>
      </c>
      <c r="J850" t="s">
        <v>798</v>
      </c>
      <c r="K850" t="s">
        <v>799</v>
      </c>
      <c r="L850" t="s">
        <v>842</v>
      </c>
      <c r="M850" s="5">
        <v>45504</v>
      </c>
      <c r="N850" s="5">
        <v>45499</v>
      </c>
      <c r="O850">
        <v>2</v>
      </c>
      <c r="P850">
        <v>19.04</v>
      </c>
      <c r="Q850">
        <v>25.7</v>
      </c>
      <c r="R850">
        <v>0</v>
      </c>
      <c r="S850">
        <v>51.4</v>
      </c>
      <c r="T850" t="s">
        <v>819</v>
      </c>
      <c r="U850">
        <v>38.08</v>
      </c>
      <c r="V850">
        <v>13.32</v>
      </c>
    </row>
    <row r="851" spans="1:22" x14ac:dyDescent="0.35">
      <c r="A851" t="s">
        <v>2303</v>
      </c>
      <c r="B851" t="s">
        <v>1038</v>
      </c>
      <c r="C851" t="s">
        <v>588</v>
      </c>
      <c r="D851" t="s">
        <v>435</v>
      </c>
      <c r="E851" t="s">
        <v>637</v>
      </c>
      <c r="F851" t="s">
        <v>264</v>
      </c>
      <c r="G851" t="s">
        <v>20</v>
      </c>
      <c r="H851" t="s">
        <v>48</v>
      </c>
      <c r="I851" t="s">
        <v>210</v>
      </c>
      <c r="J851" t="s">
        <v>813</v>
      </c>
      <c r="K851" t="s">
        <v>817</v>
      </c>
      <c r="L851" t="s">
        <v>818</v>
      </c>
      <c r="M851" s="5">
        <v>45872</v>
      </c>
      <c r="O851">
        <v>1</v>
      </c>
      <c r="P851">
        <v>25.36</v>
      </c>
      <c r="Q851">
        <v>34.24</v>
      </c>
      <c r="R851">
        <v>0.1</v>
      </c>
      <c r="S851">
        <v>30.82</v>
      </c>
      <c r="T851" t="s">
        <v>946</v>
      </c>
      <c r="U851">
        <v>25.36</v>
      </c>
      <c r="V851">
        <v>5.46</v>
      </c>
    </row>
    <row r="852" spans="1:22" x14ac:dyDescent="0.35">
      <c r="A852" t="s">
        <v>2304</v>
      </c>
      <c r="B852" t="s">
        <v>1580</v>
      </c>
      <c r="C852" t="s">
        <v>501</v>
      </c>
      <c r="D852" t="s">
        <v>363</v>
      </c>
      <c r="E852" t="s">
        <v>674</v>
      </c>
      <c r="F852" t="s">
        <v>264</v>
      </c>
      <c r="G852" t="s">
        <v>797</v>
      </c>
      <c r="H852" t="s">
        <v>38</v>
      </c>
      <c r="I852" t="s">
        <v>156</v>
      </c>
      <c r="J852" t="s">
        <v>813</v>
      </c>
      <c r="K852" t="s">
        <v>787</v>
      </c>
      <c r="L852" t="s">
        <v>788</v>
      </c>
      <c r="M852" s="5">
        <v>45377</v>
      </c>
      <c r="O852">
        <v>1</v>
      </c>
      <c r="P852">
        <v>20.81</v>
      </c>
      <c r="Q852">
        <v>29.13</v>
      </c>
      <c r="R852">
        <v>0.15</v>
      </c>
      <c r="S852">
        <v>24.76</v>
      </c>
      <c r="T852" t="s">
        <v>814</v>
      </c>
      <c r="U852">
        <v>20.81</v>
      </c>
      <c r="V852">
        <v>3.95</v>
      </c>
    </row>
    <row r="853" spans="1:22" x14ac:dyDescent="0.35">
      <c r="A853" t="s">
        <v>2305</v>
      </c>
      <c r="B853" t="s">
        <v>1501</v>
      </c>
      <c r="C853" t="s">
        <v>425</v>
      </c>
      <c r="D853" t="s">
        <v>404</v>
      </c>
      <c r="E853" t="s">
        <v>637</v>
      </c>
      <c r="F853" t="s">
        <v>264</v>
      </c>
      <c r="G853" t="s">
        <v>20</v>
      </c>
      <c r="H853" t="s">
        <v>29</v>
      </c>
      <c r="I853" t="s">
        <v>182</v>
      </c>
      <c r="J853" t="s">
        <v>786</v>
      </c>
      <c r="K853" t="s">
        <v>787</v>
      </c>
      <c r="L853" t="s">
        <v>842</v>
      </c>
      <c r="M853" s="5">
        <v>45747</v>
      </c>
      <c r="O853">
        <v>3</v>
      </c>
      <c r="P853">
        <v>19.77</v>
      </c>
      <c r="Q853">
        <v>27.68</v>
      </c>
      <c r="R853">
        <v>0</v>
      </c>
      <c r="S853">
        <v>83.04</v>
      </c>
      <c r="T853" t="s">
        <v>963</v>
      </c>
      <c r="U853">
        <v>59.31</v>
      </c>
      <c r="V853">
        <v>23.73</v>
      </c>
    </row>
    <row r="854" spans="1:22" x14ac:dyDescent="0.35">
      <c r="A854" t="s">
        <v>2306</v>
      </c>
      <c r="B854" t="s">
        <v>1852</v>
      </c>
      <c r="C854" t="s">
        <v>459</v>
      </c>
      <c r="D854" t="s">
        <v>460</v>
      </c>
      <c r="E854" t="s">
        <v>681</v>
      </c>
      <c r="F854" t="s">
        <v>264</v>
      </c>
      <c r="G854" t="s">
        <v>14</v>
      </c>
      <c r="H854" t="s">
        <v>79</v>
      </c>
      <c r="I854" t="s">
        <v>124</v>
      </c>
      <c r="J854" t="s">
        <v>813</v>
      </c>
      <c r="K854" t="s">
        <v>799</v>
      </c>
      <c r="L854" t="s">
        <v>818</v>
      </c>
      <c r="M854" s="5">
        <v>45842</v>
      </c>
      <c r="N854" s="5">
        <v>45842</v>
      </c>
      <c r="O854">
        <v>3</v>
      </c>
      <c r="P854">
        <v>29.44</v>
      </c>
      <c r="Q854">
        <v>41.22</v>
      </c>
      <c r="R854">
        <v>0.05</v>
      </c>
      <c r="S854">
        <v>117.48</v>
      </c>
      <c r="T854" t="s">
        <v>1001</v>
      </c>
      <c r="U854">
        <v>88.32</v>
      </c>
      <c r="V854">
        <v>29.16</v>
      </c>
    </row>
    <row r="855" spans="1:22" x14ac:dyDescent="0.35">
      <c r="A855" t="s">
        <v>2307</v>
      </c>
      <c r="B855" t="s">
        <v>1642</v>
      </c>
      <c r="C855" t="s">
        <v>530</v>
      </c>
      <c r="D855" t="s">
        <v>531</v>
      </c>
      <c r="E855" t="s">
        <v>674</v>
      </c>
      <c r="F855" t="s">
        <v>235</v>
      </c>
      <c r="G855" t="s">
        <v>797</v>
      </c>
      <c r="H855" t="s">
        <v>14</v>
      </c>
      <c r="I855" t="s">
        <v>16</v>
      </c>
      <c r="J855" t="s">
        <v>813</v>
      </c>
      <c r="K855" t="s">
        <v>799</v>
      </c>
      <c r="L855" t="s">
        <v>800</v>
      </c>
      <c r="M855" s="5">
        <v>45735</v>
      </c>
      <c r="N855" s="5">
        <v>45738</v>
      </c>
      <c r="O855">
        <v>10</v>
      </c>
      <c r="P855">
        <v>56.69</v>
      </c>
      <c r="Q855">
        <v>79.37</v>
      </c>
      <c r="R855">
        <v>0</v>
      </c>
      <c r="S855">
        <v>793.7</v>
      </c>
      <c r="T855" t="s">
        <v>963</v>
      </c>
      <c r="U855">
        <v>566.9</v>
      </c>
      <c r="V855">
        <v>226.8</v>
      </c>
    </row>
    <row r="856" spans="1:22" x14ac:dyDescent="0.35">
      <c r="A856" t="s">
        <v>2308</v>
      </c>
      <c r="B856" t="s">
        <v>2200</v>
      </c>
      <c r="C856" t="s">
        <v>395</v>
      </c>
      <c r="D856" t="s">
        <v>396</v>
      </c>
      <c r="E856" t="s">
        <v>674</v>
      </c>
      <c r="F856" t="s">
        <v>264</v>
      </c>
      <c r="G856" t="s">
        <v>797</v>
      </c>
      <c r="H856" t="s">
        <v>43</v>
      </c>
      <c r="I856" t="s">
        <v>41</v>
      </c>
      <c r="J856" t="s">
        <v>813</v>
      </c>
      <c r="K856" t="s">
        <v>793</v>
      </c>
      <c r="L856" t="s">
        <v>842</v>
      </c>
      <c r="M856" s="5">
        <v>45742</v>
      </c>
      <c r="O856">
        <v>2</v>
      </c>
      <c r="P856">
        <v>18.010000000000002</v>
      </c>
      <c r="Q856">
        <v>22.51</v>
      </c>
      <c r="R856">
        <v>0</v>
      </c>
      <c r="S856">
        <v>45.02</v>
      </c>
      <c r="T856" t="s">
        <v>794</v>
      </c>
      <c r="U856">
        <v>36.020000000000003</v>
      </c>
      <c r="V856">
        <v>9</v>
      </c>
    </row>
    <row r="857" spans="1:22" x14ac:dyDescent="0.35">
      <c r="A857" t="s">
        <v>2309</v>
      </c>
      <c r="B857" t="s">
        <v>1435</v>
      </c>
      <c r="C857" t="s">
        <v>286</v>
      </c>
      <c r="D857" t="s">
        <v>287</v>
      </c>
      <c r="E857" t="s">
        <v>674</v>
      </c>
      <c r="F857" t="s">
        <v>264</v>
      </c>
      <c r="G857" t="s">
        <v>797</v>
      </c>
      <c r="H857" t="s">
        <v>48</v>
      </c>
      <c r="I857" t="s">
        <v>202</v>
      </c>
      <c r="J857" t="s">
        <v>798</v>
      </c>
      <c r="K857" t="s">
        <v>793</v>
      </c>
      <c r="L857" t="s">
        <v>788</v>
      </c>
      <c r="M857" s="5">
        <v>45357</v>
      </c>
      <c r="O857">
        <v>12</v>
      </c>
      <c r="P857">
        <v>27</v>
      </c>
      <c r="Q857">
        <v>39.15</v>
      </c>
      <c r="R857">
        <v>0</v>
      </c>
      <c r="S857">
        <v>469.8</v>
      </c>
      <c r="T857" t="s">
        <v>888</v>
      </c>
      <c r="U857">
        <v>324</v>
      </c>
      <c r="V857">
        <v>145.80000000000001</v>
      </c>
    </row>
    <row r="858" spans="1:22" x14ac:dyDescent="0.35">
      <c r="A858" t="s">
        <v>2310</v>
      </c>
      <c r="B858" t="s">
        <v>833</v>
      </c>
      <c r="C858" t="s">
        <v>501</v>
      </c>
      <c r="D858" t="s">
        <v>363</v>
      </c>
      <c r="E858" t="s">
        <v>681</v>
      </c>
      <c r="F858" t="s">
        <v>264</v>
      </c>
      <c r="G858" t="s">
        <v>797</v>
      </c>
      <c r="H858" t="s">
        <v>43</v>
      </c>
      <c r="I858" t="s">
        <v>44</v>
      </c>
      <c r="J858" t="s">
        <v>813</v>
      </c>
      <c r="K858" t="s">
        <v>793</v>
      </c>
      <c r="L858" t="s">
        <v>788</v>
      </c>
      <c r="M858" s="5">
        <v>45915</v>
      </c>
      <c r="O858">
        <v>5</v>
      </c>
      <c r="P858">
        <v>14.05</v>
      </c>
      <c r="Q858">
        <v>19.670000000000002</v>
      </c>
      <c r="R858">
        <v>0.05</v>
      </c>
      <c r="S858">
        <v>93.43</v>
      </c>
      <c r="T858" t="s">
        <v>1001</v>
      </c>
      <c r="U858">
        <v>70.25</v>
      </c>
      <c r="V858">
        <v>23.18</v>
      </c>
    </row>
    <row r="859" spans="1:22" x14ac:dyDescent="0.35">
      <c r="A859" t="s">
        <v>2311</v>
      </c>
      <c r="B859" t="s">
        <v>1750</v>
      </c>
      <c r="C859" t="s">
        <v>386</v>
      </c>
      <c r="D859" t="s">
        <v>387</v>
      </c>
      <c r="E859" t="s">
        <v>696</v>
      </c>
      <c r="F859" t="s">
        <v>243</v>
      </c>
      <c r="G859" t="s">
        <v>20</v>
      </c>
      <c r="H859" t="s">
        <v>8</v>
      </c>
      <c r="I859" t="s">
        <v>192</v>
      </c>
      <c r="J859" t="s">
        <v>786</v>
      </c>
      <c r="K859" t="s">
        <v>799</v>
      </c>
      <c r="L859" t="s">
        <v>800</v>
      </c>
      <c r="M859" s="5">
        <v>46058</v>
      </c>
      <c r="N859" s="5">
        <v>46053</v>
      </c>
      <c r="O859">
        <v>1</v>
      </c>
      <c r="P859">
        <v>19.47</v>
      </c>
      <c r="Q859">
        <v>28.23</v>
      </c>
      <c r="R859">
        <v>0.15</v>
      </c>
      <c r="S859">
        <v>24</v>
      </c>
      <c r="T859" t="s">
        <v>794</v>
      </c>
      <c r="U859">
        <v>19.47</v>
      </c>
      <c r="V859">
        <v>4.53</v>
      </c>
    </row>
    <row r="860" spans="1:22" x14ac:dyDescent="0.35">
      <c r="A860" t="s">
        <v>2312</v>
      </c>
      <c r="B860" t="s">
        <v>1732</v>
      </c>
      <c r="C860" t="s">
        <v>587</v>
      </c>
      <c r="D860" t="s">
        <v>431</v>
      </c>
      <c r="E860" t="s">
        <v>627</v>
      </c>
      <c r="F860" t="s">
        <v>235</v>
      </c>
      <c r="G860" t="s">
        <v>14</v>
      </c>
      <c r="H860" t="s">
        <v>48</v>
      </c>
      <c r="I860" t="s">
        <v>219</v>
      </c>
      <c r="J860" t="s">
        <v>813</v>
      </c>
      <c r="K860" t="s">
        <v>822</v>
      </c>
      <c r="L860" t="s">
        <v>818</v>
      </c>
      <c r="M860" s="5">
        <v>45568</v>
      </c>
      <c r="N860" s="5">
        <v>45569</v>
      </c>
      <c r="O860">
        <v>20</v>
      </c>
      <c r="P860">
        <v>12.9</v>
      </c>
      <c r="Q860">
        <v>18.7</v>
      </c>
      <c r="R860">
        <v>0</v>
      </c>
      <c r="S860">
        <v>374</v>
      </c>
      <c r="T860" t="s">
        <v>834</v>
      </c>
      <c r="U860">
        <v>258</v>
      </c>
      <c r="V860">
        <v>116</v>
      </c>
    </row>
    <row r="861" spans="1:22" x14ac:dyDescent="0.35">
      <c r="A861" t="s">
        <v>2313</v>
      </c>
      <c r="B861" t="s">
        <v>1527</v>
      </c>
      <c r="C861" t="s">
        <v>394</v>
      </c>
      <c r="D861" t="s">
        <v>356</v>
      </c>
      <c r="E861" t="s">
        <v>633</v>
      </c>
      <c r="F861" t="s">
        <v>264</v>
      </c>
      <c r="G861" t="s">
        <v>20</v>
      </c>
      <c r="H861" t="s">
        <v>79</v>
      </c>
      <c r="I861" t="s">
        <v>108</v>
      </c>
      <c r="J861" t="s">
        <v>798</v>
      </c>
      <c r="K861" t="s">
        <v>793</v>
      </c>
      <c r="L861" t="s">
        <v>788</v>
      </c>
      <c r="M861" s="5">
        <v>45439</v>
      </c>
      <c r="O861">
        <v>3</v>
      </c>
      <c r="P861">
        <v>9.3000000000000007</v>
      </c>
      <c r="Q861">
        <v>12.56</v>
      </c>
      <c r="R861">
        <v>0</v>
      </c>
      <c r="S861">
        <v>37.68</v>
      </c>
      <c r="T861" t="s">
        <v>794</v>
      </c>
      <c r="U861">
        <v>27.9</v>
      </c>
      <c r="V861">
        <v>9.7799999999999994</v>
      </c>
    </row>
    <row r="862" spans="1:22" x14ac:dyDescent="0.35">
      <c r="A862" t="s">
        <v>2314</v>
      </c>
      <c r="B862" t="s">
        <v>1428</v>
      </c>
      <c r="C862" t="s">
        <v>570</v>
      </c>
      <c r="D862" t="s">
        <v>435</v>
      </c>
      <c r="E862" t="s">
        <v>637</v>
      </c>
      <c r="F862" t="s">
        <v>264</v>
      </c>
      <c r="G862" t="s">
        <v>14</v>
      </c>
      <c r="H862" t="s">
        <v>48</v>
      </c>
      <c r="I862" t="s">
        <v>190</v>
      </c>
      <c r="J862" t="s">
        <v>813</v>
      </c>
      <c r="K862" t="s">
        <v>799</v>
      </c>
      <c r="L862" t="s">
        <v>842</v>
      </c>
      <c r="M862" s="5">
        <v>46010</v>
      </c>
      <c r="N862" s="5">
        <v>46017</v>
      </c>
      <c r="O862">
        <v>10</v>
      </c>
      <c r="P862">
        <v>21.56</v>
      </c>
      <c r="Q862">
        <v>31.26</v>
      </c>
      <c r="R862">
        <v>0</v>
      </c>
      <c r="S862">
        <v>312.60000000000002</v>
      </c>
      <c r="T862" t="s">
        <v>1017</v>
      </c>
      <c r="U862">
        <v>215.6</v>
      </c>
      <c r="V862">
        <v>97</v>
      </c>
    </row>
    <row r="863" spans="1:22" x14ac:dyDescent="0.35">
      <c r="A863" t="s">
        <v>2315</v>
      </c>
      <c r="B863" t="s">
        <v>1920</v>
      </c>
      <c r="C863" t="s">
        <v>312</v>
      </c>
      <c r="D863" t="s">
        <v>313</v>
      </c>
      <c r="E863" t="s">
        <v>254</v>
      </c>
      <c r="F863" t="s">
        <v>235</v>
      </c>
      <c r="G863" t="s">
        <v>797</v>
      </c>
      <c r="H863" t="s">
        <v>14</v>
      </c>
      <c r="I863" t="s">
        <v>111</v>
      </c>
      <c r="J863" t="s">
        <v>798</v>
      </c>
      <c r="K863" t="s">
        <v>799</v>
      </c>
      <c r="L863" t="s">
        <v>818</v>
      </c>
      <c r="M863" s="5">
        <v>45692</v>
      </c>
      <c r="N863" s="5">
        <v>45686</v>
      </c>
      <c r="O863">
        <v>2</v>
      </c>
      <c r="P863">
        <v>19.850000000000001</v>
      </c>
      <c r="Q863">
        <v>28.78</v>
      </c>
      <c r="R863">
        <v>0.05</v>
      </c>
      <c r="S863">
        <v>54.68</v>
      </c>
      <c r="T863" t="s">
        <v>845</v>
      </c>
      <c r="U863">
        <v>39.700000000000003</v>
      </c>
      <c r="V863">
        <v>14.98</v>
      </c>
    </row>
    <row r="864" spans="1:22" x14ac:dyDescent="0.35">
      <c r="A864" t="s">
        <v>2316</v>
      </c>
      <c r="B864" t="s">
        <v>1441</v>
      </c>
      <c r="C864" t="s">
        <v>459</v>
      </c>
      <c r="D864" t="s">
        <v>460</v>
      </c>
      <c r="E864" t="s">
        <v>674</v>
      </c>
      <c r="F864" t="s">
        <v>264</v>
      </c>
      <c r="G864" t="s">
        <v>14</v>
      </c>
      <c r="H864" t="s">
        <v>29</v>
      </c>
      <c r="I864" t="s">
        <v>191</v>
      </c>
      <c r="J864" t="s">
        <v>798</v>
      </c>
      <c r="K864" t="s">
        <v>799</v>
      </c>
      <c r="L864" t="s">
        <v>842</v>
      </c>
      <c r="M864" s="5">
        <v>45528</v>
      </c>
      <c r="N864" s="5">
        <v>45522</v>
      </c>
      <c r="O864">
        <v>1</v>
      </c>
      <c r="P864">
        <v>11.26</v>
      </c>
      <c r="Q864">
        <v>15.2</v>
      </c>
      <c r="R864">
        <v>0.1</v>
      </c>
      <c r="S864">
        <v>13.68</v>
      </c>
      <c r="T864" t="s">
        <v>814</v>
      </c>
      <c r="U864">
        <v>11.26</v>
      </c>
      <c r="V864">
        <v>2.42</v>
      </c>
    </row>
    <row r="865" spans="1:22" x14ac:dyDescent="0.35">
      <c r="A865" t="s">
        <v>2317</v>
      </c>
      <c r="B865" t="s">
        <v>1899</v>
      </c>
      <c r="C865" t="s">
        <v>406</v>
      </c>
      <c r="D865" t="s">
        <v>287</v>
      </c>
      <c r="E865" t="s">
        <v>637</v>
      </c>
      <c r="F865" t="s">
        <v>243</v>
      </c>
      <c r="G865" t="s">
        <v>20</v>
      </c>
      <c r="H865" t="s">
        <v>8</v>
      </c>
      <c r="I865" t="s">
        <v>101</v>
      </c>
      <c r="J865" t="s">
        <v>798</v>
      </c>
      <c r="K865" t="s">
        <v>787</v>
      </c>
      <c r="L865" t="s">
        <v>818</v>
      </c>
      <c r="M865" s="5">
        <v>45922</v>
      </c>
      <c r="O865">
        <v>1</v>
      </c>
      <c r="P865">
        <v>16.510000000000002</v>
      </c>
      <c r="Q865">
        <v>23.94</v>
      </c>
      <c r="R865">
        <v>0.05</v>
      </c>
      <c r="S865">
        <v>22.74</v>
      </c>
      <c r="T865" t="s">
        <v>829</v>
      </c>
      <c r="U865">
        <v>16.510000000000002</v>
      </c>
      <c r="V865">
        <v>6.23</v>
      </c>
    </row>
    <row r="866" spans="1:22" x14ac:dyDescent="0.35">
      <c r="A866" t="s">
        <v>2318</v>
      </c>
      <c r="B866" t="s">
        <v>1080</v>
      </c>
      <c r="C866" t="s">
        <v>463</v>
      </c>
      <c r="D866" t="s">
        <v>464</v>
      </c>
      <c r="E866" t="s">
        <v>681</v>
      </c>
      <c r="F866" t="s">
        <v>264</v>
      </c>
      <c r="G866" t="s">
        <v>48</v>
      </c>
      <c r="H866" t="s">
        <v>48</v>
      </c>
      <c r="I866" t="s">
        <v>54</v>
      </c>
      <c r="J866" t="s">
        <v>798</v>
      </c>
      <c r="K866" t="s">
        <v>817</v>
      </c>
      <c r="L866" t="s">
        <v>818</v>
      </c>
      <c r="M866" s="5">
        <v>45410</v>
      </c>
      <c r="O866">
        <v>2</v>
      </c>
      <c r="P866">
        <v>21.67</v>
      </c>
      <c r="Q866">
        <v>28.17</v>
      </c>
      <c r="R866">
        <v>0.05</v>
      </c>
      <c r="S866">
        <v>53.52</v>
      </c>
      <c r="T866" t="s">
        <v>803</v>
      </c>
      <c r="U866">
        <v>43.34</v>
      </c>
      <c r="V866">
        <v>10.18</v>
      </c>
    </row>
    <row r="867" spans="1:22" x14ac:dyDescent="0.35">
      <c r="A867" t="s">
        <v>2320</v>
      </c>
      <c r="B867" t="s">
        <v>1402</v>
      </c>
      <c r="C867" t="s">
        <v>612</v>
      </c>
      <c r="D867" t="s">
        <v>447</v>
      </c>
      <c r="E867" t="s">
        <v>627</v>
      </c>
      <c r="F867" t="s">
        <v>235</v>
      </c>
      <c r="G867" t="s">
        <v>797</v>
      </c>
      <c r="H867" t="s">
        <v>20</v>
      </c>
      <c r="I867" t="s">
        <v>196</v>
      </c>
      <c r="J867" t="s">
        <v>786</v>
      </c>
      <c r="K867" t="s">
        <v>799</v>
      </c>
      <c r="L867" t="s">
        <v>788</v>
      </c>
      <c r="M867" s="5">
        <v>46042</v>
      </c>
      <c r="N867" s="5">
        <v>46033</v>
      </c>
      <c r="O867">
        <v>3</v>
      </c>
      <c r="P867">
        <v>15.78</v>
      </c>
      <c r="Q867">
        <v>19.72</v>
      </c>
      <c r="R867">
        <v>0</v>
      </c>
      <c r="S867">
        <v>59.16</v>
      </c>
      <c r="T867" t="s">
        <v>839</v>
      </c>
      <c r="U867">
        <v>47.34</v>
      </c>
      <c r="V867">
        <v>11.82</v>
      </c>
    </row>
    <row r="868" spans="1:22" x14ac:dyDescent="0.35">
      <c r="A868" t="s">
        <v>2322</v>
      </c>
      <c r="B868" t="s">
        <v>1848</v>
      </c>
      <c r="C868" t="s">
        <v>312</v>
      </c>
      <c r="D868" t="s">
        <v>313</v>
      </c>
      <c r="E868" t="s">
        <v>674</v>
      </c>
      <c r="F868" t="s">
        <v>235</v>
      </c>
      <c r="G868" t="s">
        <v>20</v>
      </c>
      <c r="H868" t="s">
        <v>20</v>
      </c>
      <c r="I868" t="s">
        <v>102</v>
      </c>
      <c r="J868" t="s">
        <v>798</v>
      </c>
      <c r="K868" t="s">
        <v>799</v>
      </c>
      <c r="L868" t="s">
        <v>842</v>
      </c>
      <c r="M868" s="5">
        <v>45997</v>
      </c>
      <c r="N868" s="5">
        <v>45996</v>
      </c>
      <c r="O868">
        <v>5</v>
      </c>
      <c r="P868">
        <v>19.04</v>
      </c>
      <c r="Q868">
        <v>25.7</v>
      </c>
      <c r="R868">
        <v>0.1</v>
      </c>
      <c r="S868">
        <v>115.65</v>
      </c>
      <c r="T868" t="s">
        <v>1017</v>
      </c>
      <c r="U868">
        <v>95.2</v>
      </c>
      <c r="V868">
        <v>20.45</v>
      </c>
    </row>
    <row r="869" spans="1:22" x14ac:dyDescent="0.35">
      <c r="A869" t="s">
        <v>2323</v>
      </c>
      <c r="B869" t="s">
        <v>874</v>
      </c>
      <c r="C869" t="s">
        <v>572</v>
      </c>
      <c r="D869" t="s">
        <v>304</v>
      </c>
      <c r="E869" t="s">
        <v>637</v>
      </c>
      <c r="F869" t="s">
        <v>235</v>
      </c>
      <c r="G869" t="s">
        <v>20</v>
      </c>
      <c r="H869" t="s">
        <v>14</v>
      </c>
      <c r="I869" t="s">
        <v>12</v>
      </c>
      <c r="J869" t="s">
        <v>813</v>
      </c>
      <c r="K869" t="s">
        <v>793</v>
      </c>
      <c r="L869" t="s">
        <v>800</v>
      </c>
      <c r="M869" s="5">
        <v>45570</v>
      </c>
      <c r="O869">
        <v>2</v>
      </c>
      <c r="P869">
        <v>35.03</v>
      </c>
      <c r="Q869">
        <v>50.79</v>
      </c>
      <c r="R869">
        <v>0</v>
      </c>
      <c r="S869">
        <v>101.58</v>
      </c>
      <c r="T869" t="s">
        <v>810</v>
      </c>
      <c r="U869">
        <v>70.06</v>
      </c>
      <c r="V869">
        <v>31.52</v>
      </c>
    </row>
    <row r="870" spans="1:22" x14ac:dyDescent="0.35">
      <c r="A870" t="s">
        <v>2324</v>
      </c>
      <c r="B870" t="s">
        <v>1378</v>
      </c>
      <c r="C870" t="s">
        <v>252</v>
      </c>
      <c r="D870" t="s">
        <v>253</v>
      </c>
      <c r="E870" t="s">
        <v>696</v>
      </c>
      <c r="F870" t="s">
        <v>243</v>
      </c>
      <c r="G870" t="s">
        <v>797</v>
      </c>
      <c r="H870" t="s">
        <v>14</v>
      </c>
      <c r="I870" t="s">
        <v>90</v>
      </c>
      <c r="J870" t="s">
        <v>813</v>
      </c>
      <c r="K870" t="s">
        <v>793</v>
      </c>
      <c r="L870" t="s">
        <v>788</v>
      </c>
      <c r="M870" s="5">
        <v>45749</v>
      </c>
      <c r="O870">
        <v>1</v>
      </c>
      <c r="P870">
        <v>27.34</v>
      </c>
      <c r="Q870">
        <v>39.64</v>
      </c>
      <c r="R870">
        <v>0.05</v>
      </c>
      <c r="S870">
        <v>37.659999999999997</v>
      </c>
      <c r="T870" t="s">
        <v>829</v>
      </c>
      <c r="U870">
        <v>27.34</v>
      </c>
      <c r="V870">
        <v>10.32</v>
      </c>
    </row>
    <row r="871" spans="1:22" x14ac:dyDescent="0.35">
      <c r="A871" t="s">
        <v>2325</v>
      </c>
      <c r="B871" t="s">
        <v>1194</v>
      </c>
      <c r="C871" t="s">
        <v>411</v>
      </c>
      <c r="D871" t="s">
        <v>412</v>
      </c>
      <c r="E871" t="s">
        <v>627</v>
      </c>
      <c r="F871" t="s">
        <v>235</v>
      </c>
      <c r="G871" t="s">
        <v>14</v>
      </c>
      <c r="H871" t="s">
        <v>48</v>
      </c>
      <c r="I871" t="s">
        <v>190</v>
      </c>
      <c r="J871" t="s">
        <v>786</v>
      </c>
      <c r="K871" t="s">
        <v>799</v>
      </c>
      <c r="L871" t="s">
        <v>800</v>
      </c>
      <c r="M871" s="5">
        <v>45899</v>
      </c>
      <c r="N871" s="5">
        <v>45893</v>
      </c>
      <c r="O871">
        <v>1</v>
      </c>
      <c r="P871">
        <v>21.56</v>
      </c>
      <c r="Q871">
        <v>31.26</v>
      </c>
      <c r="R871">
        <v>0</v>
      </c>
      <c r="S871">
        <v>31.26</v>
      </c>
      <c r="T871" t="s">
        <v>1017</v>
      </c>
      <c r="U871">
        <v>21.56</v>
      </c>
      <c r="V871">
        <v>9.6999999999999993</v>
      </c>
    </row>
    <row r="872" spans="1:22" x14ac:dyDescent="0.35">
      <c r="A872" t="s">
        <v>2326</v>
      </c>
      <c r="B872" t="s">
        <v>1258</v>
      </c>
      <c r="C872" t="s">
        <v>563</v>
      </c>
      <c r="D872" t="s">
        <v>311</v>
      </c>
      <c r="E872" t="s">
        <v>674</v>
      </c>
      <c r="F872" t="s">
        <v>264</v>
      </c>
      <c r="G872" t="s">
        <v>797</v>
      </c>
      <c r="H872" t="s">
        <v>43</v>
      </c>
      <c r="I872" t="s">
        <v>200</v>
      </c>
      <c r="J872" t="s">
        <v>798</v>
      </c>
      <c r="K872" t="s">
        <v>787</v>
      </c>
      <c r="L872" t="s">
        <v>842</v>
      </c>
      <c r="M872" s="5">
        <v>45429</v>
      </c>
      <c r="O872">
        <v>12</v>
      </c>
      <c r="P872">
        <v>69.23</v>
      </c>
      <c r="Q872">
        <v>86.54</v>
      </c>
      <c r="R872">
        <v>0.15</v>
      </c>
      <c r="S872">
        <v>882.71</v>
      </c>
      <c r="T872" t="s">
        <v>829</v>
      </c>
      <c r="U872">
        <v>830.76</v>
      </c>
      <c r="V872">
        <v>51.95</v>
      </c>
    </row>
    <row r="873" spans="1:22" x14ac:dyDescent="0.35">
      <c r="A873" t="s">
        <v>2327</v>
      </c>
      <c r="B873" t="s">
        <v>2121</v>
      </c>
      <c r="C873" t="s">
        <v>485</v>
      </c>
      <c r="D873" t="s">
        <v>486</v>
      </c>
      <c r="E873" t="s">
        <v>627</v>
      </c>
      <c r="F873" t="s">
        <v>243</v>
      </c>
      <c r="G873" t="s">
        <v>797</v>
      </c>
      <c r="H873" t="s">
        <v>79</v>
      </c>
      <c r="I873" t="s">
        <v>77</v>
      </c>
      <c r="J873" t="s">
        <v>798</v>
      </c>
      <c r="K873" t="s">
        <v>793</v>
      </c>
      <c r="L873" t="s">
        <v>800</v>
      </c>
      <c r="M873" s="5">
        <v>45487</v>
      </c>
      <c r="O873">
        <v>3</v>
      </c>
      <c r="P873">
        <v>13.71</v>
      </c>
      <c r="Q873">
        <v>17.82</v>
      </c>
      <c r="R873">
        <v>0</v>
      </c>
      <c r="S873">
        <v>53.46</v>
      </c>
      <c r="T873" t="s">
        <v>839</v>
      </c>
      <c r="U873">
        <v>41.13</v>
      </c>
      <c r="V873">
        <v>12.33</v>
      </c>
    </row>
    <row r="874" spans="1:22" x14ac:dyDescent="0.35">
      <c r="A874" t="s">
        <v>2328</v>
      </c>
      <c r="B874" t="s">
        <v>1645</v>
      </c>
      <c r="C874" t="s">
        <v>528</v>
      </c>
      <c r="D874" t="s">
        <v>433</v>
      </c>
      <c r="E874" t="s">
        <v>681</v>
      </c>
      <c r="F874" t="s">
        <v>264</v>
      </c>
      <c r="G874" t="s">
        <v>797</v>
      </c>
      <c r="H874" t="s">
        <v>43</v>
      </c>
      <c r="I874" t="s">
        <v>53</v>
      </c>
      <c r="J874" t="s">
        <v>798</v>
      </c>
      <c r="K874" t="s">
        <v>787</v>
      </c>
      <c r="L874" t="s">
        <v>818</v>
      </c>
      <c r="M874" s="5">
        <v>45993</v>
      </c>
      <c r="O874">
        <v>12</v>
      </c>
      <c r="P874">
        <v>54.93</v>
      </c>
      <c r="Q874">
        <v>79.650000000000006</v>
      </c>
      <c r="R874">
        <v>0</v>
      </c>
      <c r="S874">
        <v>955.8</v>
      </c>
      <c r="T874" t="s">
        <v>892</v>
      </c>
      <c r="U874">
        <v>659.16</v>
      </c>
      <c r="V874">
        <v>296.64</v>
      </c>
    </row>
    <row r="875" spans="1:22" x14ac:dyDescent="0.35">
      <c r="A875" t="s">
        <v>2329</v>
      </c>
      <c r="B875" t="s">
        <v>1113</v>
      </c>
      <c r="C875" t="s">
        <v>377</v>
      </c>
      <c r="D875" t="s">
        <v>378</v>
      </c>
      <c r="E875" t="s">
        <v>633</v>
      </c>
      <c r="F875" t="s">
        <v>243</v>
      </c>
      <c r="G875" t="s">
        <v>14</v>
      </c>
      <c r="H875" t="s">
        <v>14</v>
      </c>
      <c r="I875" t="s">
        <v>67</v>
      </c>
      <c r="J875" t="s">
        <v>786</v>
      </c>
      <c r="K875" t="s">
        <v>799</v>
      </c>
      <c r="L875" t="s">
        <v>842</v>
      </c>
      <c r="M875" s="5">
        <v>45385</v>
      </c>
      <c r="N875" s="5">
        <v>45376</v>
      </c>
      <c r="O875">
        <v>10</v>
      </c>
      <c r="P875">
        <v>17.63</v>
      </c>
      <c r="Q875">
        <v>22.92</v>
      </c>
      <c r="R875">
        <v>0.15</v>
      </c>
      <c r="S875">
        <v>194.82</v>
      </c>
      <c r="T875" t="s">
        <v>876</v>
      </c>
      <c r="U875">
        <v>176.3</v>
      </c>
      <c r="V875">
        <v>18.52</v>
      </c>
    </row>
    <row r="876" spans="1:22" x14ac:dyDescent="0.35">
      <c r="A876" t="s">
        <v>2330</v>
      </c>
      <c r="B876" t="s">
        <v>2135</v>
      </c>
      <c r="C876" t="s">
        <v>436</v>
      </c>
      <c r="D876" t="s">
        <v>396</v>
      </c>
      <c r="E876" t="s">
        <v>627</v>
      </c>
      <c r="F876" t="s">
        <v>235</v>
      </c>
      <c r="G876" t="s">
        <v>20</v>
      </c>
      <c r="H876" t="s">
        <v>8</v>
      </c>
      <c r="I876" t="s">
        <v>73</v>
      </c>
      <c r="J876" t="s">
        <v>798</v>
      </c>
      <c r="K876" t="s">
        <v>793</v>
      </c>
      <c r="L876" t="s">
        <v>800</v>
      </c>
      <c r="M876" s="5">
        <v>45445</v>
      </c>
      <c r="O876">
        <v>1</v>
      </c>
      <c r="P876">
        <v>67.95</v>
      </c>
      <c r="Q876">
        <v>88.34</v>
      </c>
      <c r="R876">
        <v>0.05</v>
      </c>
      <c r="S876">
        <v>83.92</v>
      </c>
      <c r="T876" t="s">
        <v>859</v>
      </c>
      <c r="U876">
        <v>67.95</v>
      </c>
      <c r="V876">
        <v>15.97</v>
      </c>
    </row>
    <row r="877" spans="1:22" x14ac:dyDescent="0.35">
      <c r="A877" t="s">
        <v>2331</v>
      </c>
      <c r="B877" t="s">
        <v>1016</v>
      </c>
      <c r="C877" t="s">
        <v>358</v>
      </c>
      <c r="D877" t="s">
        <v>287</v>
      </c>
      <c r="E877" t="s">
        <v>633</v>
      </c>
      <c r="F877" t="s">
        <v>243</v>
      </c>
      <c r="G877" t="s">
        <v>797</v>
      </c>
      <c r="H877" t="s">
        <v>20</v>
      </c>
      <c r="I877" t="s">
        <v>39</v>
      </c>
      <c r="J877" t="s">
        <v>786</v>
      </c>
      <c r="K877" t="s">
        <v>822</v>
      </c>
      <c r="L877" t="s">
        <v>842</v>
      </c>
      <c r="M877" s="5">
        <v>45942</v>
      </c>
      <c r="N877" s="5">
        <v>45932</v>
      </c>
      <c r="O877">
        <v>10</v>
      </c>
      <c r="P877">
        <v>9.5</v>
      </c>
      <c r="Q877">
        <v>12.83</v>
      </c>
      <c r="R877">
        <v>0</v>
      </c>
      <c r="S877">
        <v>128.30000000000001</v>
      </c>
      <c r="T877" t="s">
        <v>946</v>
      </c>
      <c r="U877">
        <v>95</v>
      </c>
      <c r="V877">
        <v>33.299999999999997</v>
      </c>
    </row>
    <row r="878" spans="1:22" x14ac:dyDescent="0.35">
      <c r="A878" t="s">
        <v>2332</v>
      </c>
      <c r="B878" t="s">
        <v>969</v>
      </c>
      <c r="C878" t="s">
        <v>593</v>
      </c>
      <c r="D878" t="s">
        <v>594</v>
      </c>
      <c r="E878" t="s">
        <v>637</v>
      </c>
      <c r="F878" t="s">
        <v>243</v>
      </c>
      <c r="G878" t="s">
        <v>20</v>
      </c>
      <c r="H878" t="s">
        <v>79</v>
      </c>
      <c r="I878" t="s">
        <v>108</v>
      </c>
      <c r="J878" t="s">
        <v>786</v>
      </c>
      <c r="K878" t="s">
        <v>799</v>
      </c>
      <c r="L878" t="s">
        <v>788</v>
      </c>
      <c r="M878" s="5">
        <v>45626</v>
      </c>
      <c r="N878" s="5">
        <v>45613</v>
      </c>
      <c r="O878">
        <v>10</v>
      </c>
      <c r="P878">
        <v>9.3000000000000007</v>
      </c>
      <c r="Q878">
        <v>12.56</v>
      </c>
      <c r="R878">
        <v>0.05</v>
      </c>
      <c r="S878">
        <v>119.32</v>
      </c>
      <c r="T878" t="s">
        <v>803</v>
      </c>
      <c r="U878">
        <v>93</v>
      </c>
      <c r="V878">
        <v>26.32</v>
      </c>
    </row>
    <row r="879" spans="1:22" x14ac:dyDescent="0.35">
      <c r="A879" t="s">
        <v>2333</v>
      </c>
      <c r="B879" t="s">
        <v>1911</v>
      </c>
      <c r="C879" t="s">
        <v>459</v>
      </c>
      <c r="D879" t="s">
        <v>460</v>
      </c>
      <c r="E879" t="s">
        <v>637</v>
      </c>
      <c r="F879" t="s">
        <v>264</v>
      </c>
      <c r="G879" t="s">
        <v>48</v>
      </c>
      <c r="H879" t="s">
        <v>20</v>
      </c>
      <c r="I879" t="s">
        <v>163</v>
      </c>
      <c r="J879" t="s">
        <v>813</v>
      </c>
      <c r="K879" t="s">
        <v>787</v>
      </c>
      <c r="L879" t="s">
        <v>788</v>
      </c>
      <c r="M879" s="5">
        <v>45967</v>
      </c>
      <c r="O879">
        <v>5</v>
      </c>
      <c r="P879">
        <v>55.3</v>
      </c>
      <c r="Q879">
        <v>74.66</v>
      </c>
      <c r="R879">
        <v>0.1</v>
      </c>
      <c r="S879">
        <v>335.97</v>
      </c>
      <c r="T879" t="s">
        <v>892</v>
      </c>
      <c r="U879">
        <v>276.5</v>
      </c>
      <c r="V879">
        <v>59.47</v>
      </c>
    </row>
    <row r="880" spans="1:22" x14ac:dyDescent="0.35">
      <c r="A880" t="s">
        <v>2334</v>
      </c>
      <c r="B880" t="s">
        <v>1364</v>
      </c>
      <c r="C880" t="s">
        <v>530</v>
      </c>
      <c r="D880" t="s">
        <v>531</v>
      </c>
      <c r="E880" t="s">
        <v>681</v>
      </c>
      <c r="F880" t="s">
        <v>235</v>
      </c>
      <c r="G880" t="s">
        <v>797</v>
      </c>
      <c r="H880" t="s">
        <v>20</v>
      </c>
      <c r="I880" t="s">
        <v>18</v>
      </c>
      <c r="J880" t="s">
        <v>798</v>
      </c>
      <c r="K880" t="s">
        <v>799</v>
      </c>
      <c r="L880" t="s">
        <v>842</v>
      </c>
      <c r="M880" s="5">
        <v>45887</v>
      </c>
      <c r="N880" s="5">
        <v>45889</v>
      </c>
      <c r="O880">
        <v>10</v>
      </c>
      <c r="P880">
        <v>21.57</v>
      </c>
      <c r="Q880">
        <v>26.96</v>
      </c>
      <c r="R880">
        <v>0.1</v>
      </c>
      <c r="S880">
        <v>242.64</v>
      </c>
      <c r="T880" t="s">
        <v>819</v>
      </c>
      <c r="U880">
        <v>215.7</v>
      </c>
      <c r="V880">
        <v>26.94</v>
      </c>
    </row>
    <row r="881" spans="1:22" x14ac:dyDescent="0.35">
      <c r="A881" t="s">
        <v>2335</v>
      </c>
      <c r="B881" t="s">
        <v>1718</v>
      </c>
      <c r="C881" t="s">
        <v>432</v>
      </c>
      <c r="D881" t="s">
        <v>433</v>
      </c>
      <c r="E881" t="s">
        <v>633</v>
      </c>
      <c r="F881" t="s">
        <v>243</v>
      </c>
      <c r="G881" t="s">
        <v>797</v>
      </c>
      <c r="H881" t="s">
        <v>8</v>
      </c>
      <c r="I881" t="s">
        <v>10</v>
      </c>
      <c r="J881" t="s">
        <v>798</v>
      </c>
      <c r="K881" t="s">
        <v>822</v>
      </c>
      <c r="L881" t="s">
        <v>800</v>
      </c>
      <c r="M881" s="5">
        <v>45831</v>
      </c>
      <c r="N881" s="5">
        <v>45828</v>
      </c>
      <c r="O881">
        <v>10</v>
      </c>
      <c r="P881">
        <v>22.74</v>
      </c>
      <c r="Q881">
        <v>28.42</v>
      </c>
      <c r="R881">
        <v>0</v>
      </c>
      <c r="S881">
        <v>284.2</v>
      </c>
      <c r="T881" t="s">
        <v>814</v>
      </c>
      <c r="U881">
        <v>227.4</v>
      </c>
      <c r="V881">
        <v>56.8</v>
      </c>
    </row>
    <row r="882" spans="1:22" x14ac:dyDescent="0.35">
      <c r="A882" t="s">
        <v>2336</v>
      </c>
      <c r="B882" t="s">
        <v>2337</v>
      </c>
      <c r="C882" t="s">
        <v>605</v>
      </c>
      <c r="D882" t="s">
        <v>389</v>
      </c>
      <c r="E882" t="s">
        <v>254</v>
      </c>
      <c r="F882" t="s">
        <v>264</v>
      </c>
      <c r="G882" t="s">
        <v>14</v>
      </c>
      <c r="H882" t="s">
        <v>43</v>
      </c>
      <c r="I882" t="s">
        <v>146</v>
      </c>
      <c r="J882" t="s">
        <v>798</v>
      </c>
      <c r="K882" t="s">
        <v>822</v>
      </c>
      <c r="L882" t="s">
        <v>818</v>
      </c>
      <c r="M882" s="5">
        <v>45765</v>
      </c>
      <c r="N882" s="5">
        <v>45764</v>
      </c>
      <c r="O882">
        <v>3</v>
      </c>
      <c r="P882">
        <v>24.05</v>
      </c>
      <c r="Q882">
        <v>31.27</v>
      </c>
      <c r="R882">
        <v>0</v>
      </c>
      <c r="S882">
        <v>93.81</v>
      </c>
      <c r="T882" t="s">
        <v>834</v>
      </c>
      <c r="U882">
        <v>72.150000000000006</v>
      </c>
      <c r="V882">
        <v>21.66</v>
      </c>
    </row>
    <row r="883" spans="1:22" x14ac:dyDescent="0.35">
      <c r="A883" t="s">
        <v>2338</v>
      </c>
      <c r="B883" t="s">
        <v>2192</v>
      </c>
      <c r="C883" t="s">
        <v>306</v>
      </c>
      <c r="D883" t="s">
        <v>307</v>
      </c>
      <c r="E883" t="s">
        <v>633</v>
      </c>
      <c r="G883" t="s">
        <v>14</v>
      </c>
      <c r="H883" t="s">
        <v>29</v>
      </c>
      <c r="I883" t="s">
        <v>123</v>
      </c>
      <c r="J883" t="s">
        <v>798</v>
      </c>
      <c r="K883" t="s">
        <v>799</v>
      </c>
      <c r="L883" t="s">
        <v>818</v>
      </c>
      <c r="M883" s="5">
        <v>45872</v>
      </c>
      <c r="N883" s="5">
        <v>45868</v>
      </c>
      <c r="O883">
        <v>12</v>
      </c>
      <c r="P883">
        <v>20.7</v>
      </c>
      <c r="Q883">
        <v>30.01</v>
      </c>
      <c r="R883">
        <v>0</v>
      </c>
      <c r="S883">
        <v>360.12</v>
      </c>
      <c r="T883" t="s">
        <v>803</v>
      </c>
      <c r="U883">
        <v>248.4</v>
      </c>
      <c r="V883">
        <v>111.72</v>
      </c>
    </row>
    <row r="884" spans="1:22" x14ac:dyDescent="0.35">
      <c r="A884" t="s">
        <v>2339</v>
      </c>
      <c r="B884" t="s">
        <v>1100</v>
      </c>
      <c r="C884" t="s">
        <v>614</v>
      </c>
      <c r="D884" t="s">
        <v>615</v>
      </c>
      <c r="E884" t="s">
        <v>696</v>
      </c>
      <c r="F884" t="s">
        <v>235</v>
      </c>
      <c r="G884" t="s">
        <v>14</v>
      </c>
      <c r="H884" t="s">
        <v>29</v>
      </c>
      <c r="I884" t="s">
        <v>106</v>
      </c>
      <c r="J884" t="s">
        <v>798</v>
      </c>
      <c r="K884" t="s">
        <v>799</v>
      </c>
      <c r="L884" t="s">
        <v>800</v>
      </c>
      <c r="M884" s="5">
        <v>45849</v>
      </c>
      <c r="N884" s="5">
        <v>45844</v>
      </c>
      <c r="O884">
        <v>20</v>
      </c>
      <c r="P884">
        <v>29.64</v>
      </c>
      <c r="Q884">
        <v>41.5</v>
      </c>
      <c r="R884">
        <v>0</v>
      </c>
      <c r="S884">
        <v>830</v>
      </c>
      <c r="T884" t="s">
        <v>1134</v>
      </c>
      <c r="U884">
        <v>592.79999999999995</v>
      </c>
      <c r="V884">
        <v>237.2</v>
      </c>
    </row>
    <row r="885" spans="1:22" x14ac:dyDescent="0.35">
      <c r="A885" t="s">
        <v>2340</v>
      </c>
      <c r="B885" t="s">
        <v>867</v>
      </c>
      <c r="C885" t="s">
        <v>475</v>
      </c>
      <c r="D885" t="s">
        <v>476</v>
      </c>
      <c r="E885" t="s">
        <v>627</v>
      </c>
      <c r="F885" t="s">
        <v>243</v>
      </c>
      <c r="G885" t="s">
        <v>48</v>
      </c>
      <c r="H885" t="s">
        <v>38</v>
      </c>
      <c r="I885" t="s">
        <v>156</v>
      </c>
      <c r="J885" t="s">
        <v>798</v>
      </c>
      <c r="K885" t="s">
        <v>799</v>
      </c>
      <c r="L885" t="s">
        <v>788</v>
      </c>
      <c r="M885" s="5">
        <v>45382</v>
      </c>
      <c r="N885" s="5">
        <v>45376</v>
      </c>
      <c r="O885">
        <v>1</v>
      </c>
      <c r="P885">
        <v>20.81</v>
      </c>
      <c r="Q885">
        <v>29.13</v>
      </c>
      <c r="R885">
        <v>0</v>
      </c>
      <c r="S885">
        <v>29.13</v>
      </c>
      <c r="T885" t="s">
        <v>845</v>
      </c>
      <c r="U885">
        <v>20.81</v>
      </c>
      <c r="V885">
        <v>8.32</v>
      </c>
    </row>
    <row r="886" spans="1:22" x14ac:dyDescent="0.35">
      <c r="A886" t="s">
        <v>2341</v>
      </c>
      <c r="B886" t="s">
        <v>847</v>
      </c>
      <c r="C886" t="s">
        <v>475</v>
      </c>
      <c r="D886" t="s">
        <v>476</v>
      </c>
      <c r="E886" t="s">
        <v>633</v>
      </c>
      <c r="F886" t="s">
        <v>243</v>
      </c>
      <c r="G886" t="s">
        <v>20</v>
      </c>
      <c r="H886" t="s">
        <v>20</v>
      </c>
      <c r="I886" t="s">
        <v>34</v>
      </c>
      <c r="J886" t="s">
        <v>798</v>
      </c>
      <c r="K886" t="s">
        <v>799</v>
      </c>
      <c r="L886" t="s">
        <v>842</v>
      </c>
      <c r="M886" s="5">
        <v>45469</v>
      </c>
      <c r="N886" s="5">
        <v>45469</v>
      </c>
      <c r="O886">
        <v>2</v>
      </c>
      <c r="P886">
        <v>28.02</v>
      </c>
      <c r="Q886">
        <v>36.43</v>
      </c>
      <c r="R886">
        <v>0</v>
      </c>
      <c r="S886">
        <v>72.86</v>
      </c>
      <c r="T886" t="s">
        <v>829</v>
      </c>
      <c r="U886">
        <v>56.04</v>
      </c>
      <c r="V886">
        <v>16.82</v>
      </c>
    </row>
    <row r="887" spans="1:22" x14ac:dyDescent="0.35">
      <c r="A887" t="s">
        <v>2342</v>
      </c>
      <c r="B887" t="s">
        <v>1632</v>
      </c>
      <c r="C887" t="s">
        <v>303</v>
      </c>
      <c r="D887" t="s">
        <v>304</v>
      </c>
      <c r="E887" t="s">
        <v>674</v>
      </c>
      <c r="F887" t="s">
        <v>243</v>
      </c>
      <c r="G887" t="s">
        <v>14</v>
      </c>
      <c r="H887" t="s">
        <v>38</v>
      </c>
      <c r="I887" t="s">
        <v>172</v>
      </c>
      <c r="J887" t="s">
        <v>798</v>
      </c>
      <c r="K887" t="s">
        <v>793</v>
      </c>
      <c r="L887" t="s">
        <v>818</v>
      </c>
      <c r="M887" s="5">
        <v>45323</v>
      </c>
      <c r="O887">
        <v>2</v>
      </c>
      <c r="P887">
        <v>18.329999999999998</v>
      </c>
      <c r="Q887">
        <v>22.91</v>
      </c>
      <c r="R887">
        <v>0</v>
      </c>
      <c r="S887">
        <v>45.82</v>
      </c>
      <c r="T887" t="s">
        <v>888</v>
      </c>
      <c r="U887">
        <v>36.659999999999997</v>
      </c>
      <c r="V887">
        <v>9.16</v>
      </c>
    </row>
    <row r="888" spans="1:22" x14ac:dyDescent="0.35">
      <c r="A888" t="s">
        <v>2343</v>
      </c>
      <c r="B888" t="s">
        <v>950</v>
      </c>
      <c r="C888" t="s">
        <v>397</v>
      </c>
      <c r="D888" t="s">
        <v>360</v>
      </c>
      <c r="E888" t="s">
        <v>681</v>
      </c>
      <c r="G888" t="s">
        <v>797</v>
      </c>
      <c r="H888" t="s">
        <v>14</v>
      </c>
      <c r="I888" t="s">
        <v>56</v>
      </c>
      <c r="J888" t="s">
        <v>798</v>
      </c>
      <c r="K888" t="s">
        <v>799</v>
      </c>
      <c r="L888" t="s">
        <v>800</v>
      </c>
      <c r="M888" s="5">
        <v>45710</v>
      </c>
      <c r="N888" s="5">
        <v>45713</v>
      </c>
      <c r="O888">
        <v>5</v>
      </c>
      <c r="P888">
        <v>25.46</v>
      </c>
      <c r="Q888">
        <v>31.83</v>
      </c>
      <c r="R888">
        <v>0.1</v>
      </c>
      <c r="S888">
        <v>143.22999999999999</v>
      </c>
      <c r="T888" t="s">
        <v>946</v>
      </c>
      <c r="U888">
        <v>127.3</v>
      </c>
      <c r="V888">
        <v>15.93</v>
      </c>
    </row>
    <row r="889" spans="1:22" x14ac:dyDescent="0.35">
      <c r="A889" t="s">
        <v>2344</v>
      </c>
      <c r="B889" t="s">
        <v>1340</v>
      </c>
      <c r="C889" t="s">
        <v>303</v>
      </c>
      <c r="D889" t="s">
        <v>304</v>
      </c>
      <c r="E889" t="s">
        <v>681</v>
      </c>
      <c r="F889" t="s">
        <v>243</v>
      </c>
      <c r="G889" t="s">
        <v>48</v>
      </c>
      <c r="H889" t="s">
        <v>8</v>
      </c>
      <c r="I889" t="s">
        <v>212</v>
      </c>
      <c r="J889" t="s">
        <v>786</v>
      </c>
      <c r="K889" t="s">
        <v>822</v>
      </c>
      <c r="L889" t="s">
        <v>818</v>
      </c>
      <c r="M889" s="5">
        <v>45416</v>
      </c>
      <c r="N889" s="5">
        <v>45407</v>
      </c>
      <c r="O889">
        <v>3</v>
      </c>
      <c r="P889">
        <v>95.09</v>
      </c>
      <c r="Q889">
        <v>133.13</v>
      </c>
      <c r="R889">
        <v>0.15</v>
      </c>
      <c r="S889">
        <v>339.48</v>
      </c>
      <c r="T889" t="s">
        <v>876</v>
      </c>
      <c r="U889">
        <v>285.27</v>
      </c>
      <c r="V889">
        <v>54.21</v>
      </c>
    </row>
    <row r="890" spans="1:22" x14ac:dyDescent="0.35">
      <c r="A890" t="s">
        <v>2345</v>
      </c>
      <c r="B890" t="s">
        <v>1190</v>
      </c>
      <c r="C890" t="s">
        <v>599</v>
      </c>
      <c r="D890" t="s">
        <v>600</v>
      </c>
      <c r="E890" t="s">
        <v>674</v>
      </c>
      <c r="F890" t="s">
        <v>243</v>
      </c>
      <c r="G890" t="s">
        <v>20</v>
      </c>
      <c r="H890" t="s">
        <v>79</v>
      </c>
      <c r="I890" t="s">
        <v>108</v>
      </c>
      <c r="J890" t="s">
        <v>798</v>
      </c>
      <c r="K890" t="s">
        <v>799</v>
      </c>
      <c r="L890" t="s">
        <v>842</v>
      </c>
      <c r="M890" s="5">
        <v>45787</v>
      </c>
      <c r="N890" s="5">
        <v>45790</v>
      </c>
      <c r="O890">
        <v>2</v>
      </c>
      <c r="P890">
        <v>9.3000000000000007</v>
      </c>
      <c r="Q890">
        <v>12.56</v>
      </c>
      <c r="R890">
        <v>0</v>
      </c>
      <c r="S890">
        <v>25.12</v>
      </c>
      <c r="T890" t="s">
        <v>839</v>
      </c>
      <c r="U890">
        <v>18.600000000000001</v>
      </c>
      <c r="V890">
        <v>6.52</v>
      </c>
    </row>
    <row r="891" spans="1:22" x14ac:dyDescent="0.35">
      <c r="A891" t="s">
        <v>2346</v>
      </c>
      <c r="B891" t="s">
        <v>1224</v>
      </c>
      <c r="C891" t="s">
        <v>578</v>
      </c>
      <c r="D891" t="s">
        <v>368</v>
      </c>
      <c r="E891" t="s">
        <v>681</v>
      </c>
      <c r="F891" t="s">
        <v>235</v>
      </c>
      <c r="G891" t="s">
        <v>14</v>
      </c>
      <c r="H891" t="s">
        <v>29</v>
      </c>
      <c r="I891" t="s">
        <v>86</v>
      </c>
      <c r="J891" t="s">
        <v>798</v>
      </c>
      <c r="K891" t="s">
        <v>787</v>
      </c>
      <c r="L891" t="s">
        <v>800</v>
      </c>
      <c r="M891" s="5">
        <v>45906</v>
      </c>
      <c r="O891">
        <v>3</v>
      </c>
      <c r="P891">
        <v>8.35</v>
      </c>
      <c r="Q891">
        <v>12.11</v>
      </c>
      <c r="R891">
        <v>0</v>
      </c>
      <c r="S891">
        <v>36.33</v>
      </c>
      <c r="T891" t="s">
        <v>794</v>
      </c>
      <c r="U891">
        <v>25.05</v>
      </c>
      <c r="V891">
        <v>11.28</v>
      </c>
    </row>
    <row r="892" spans="1:22" x14ac:dyDescent="0.35">
      <c r="A892" t="s">
        <v>2347</v>
      </c>
      <c r="B892" t="s">
        <v>861</v>
      </c>
      <c r="C892" t="s">
        <v>442</v>
      </c>
      <c r="D892" t="s">
        <v>443</v>
      </c>
      <c r="E892" t="s">
        <v>254</v>
      </c>
      <c r="F892" t="s">
        <v>235</v>
      </c>
      <c r="G892" t="s">
        <v>14</v>
      </c>
      <c r="H892" t="s">
        <v>29</v>
      </c>
      <c r="I892" t="s">
        <v>121</v>
      </c>
      <c r="J892" t="s">
        <v>786</v>
      </c>
      <c r="K892" t="s">
        <v>799</v>
      </c>
      <c r="L892" t="s">
        <v>818</v>
      </c>
      <c r="M892" s="5">
        <v>45610</v>
      </c>
      <c r="N892" s="5">
        <v>45603</v>
      </c>
      <c r="O892">
        <v>10</v>
      </c>
      <c r="P892">
        <v>15.46</v>
      </c>
      <c r="Q892">
        <v>22.42</v>
      </c>
      <c r="R892">
        <v>0</v>
      </c>
      <c r="S892">
        <v>224.2</v>
      </c>
      <c r="T892" t="s">
        <v>1134</v>
      </c>
      <c r="U892">
        <v>154.6</v>
      </c>
      <c r="V892">
        <v>69.599999999999994</v>
      </c>
    </row>
    <row r="893" spans="1:22" x14ac:dyDescent="0.35">
      <c r="A893" t="s">
        <v>2348</v>
      </c>
      <c r="B893" t="s">
        <v>1987</v>
      </c>
      <c r="C893" t="s">
        <v>347</v>
      </c>
      <c r="D893" t="s">
        <v>348</v>
      </c>
      <c r="E893" t="s">
        <v>254</v>
      </c>
      <c r="F893" t="s">
        <v>243</v>
      </c>
      <c r="G893" t="s">
        <v>20</v>
      </c>
      <c r="H893" t="s">
        <v>29</v>
      </c>
      <c r="I893" t="s">
        <v>115</v>
      </c>
      <c r="J893" t="s">
        <v>798</v>
      </c>
      <c r="K893" t="s">
        <v>817</v>
      </c>
      <c r="L893" t="s">
        <v>788</v>
      </c>
      <c r="M893" s="5">
        <v>45625</v>
      </c>
      <c r="O893">
        <v>5</v>
      </c>
      <c r="P893">
        <v>34.340000000000003</v>
      </c>
      <c r="Q893">
        <v>44.64</v>
      </c>
      <c r="R893">
        <v>0.05</v>
      </c>
      <c r="S893">
        <v>212.04</v>
      </c>
      <c r="T893" t="s">
        <v>892</v>
      </c>
      <c r="U893">
        <v>171.7</v>
      </c>
      <c r="V893">
        <v>40.340000000000003</v>
      </c>
    </row>
    <row r="894" spans="1:22" x14ac:dyDescent="0.35">
      <c r="A894" t="s">
        <v>2349</v>
      </c>
      <c r="B894" t="s">
        <v>1321</v>
      </c>
      <c r="C894" t="s">
        <v>557</v>
      </c>
      <c r="D894" t="s">
        <v>558</v>
      </c>
      <c r="E894" t="s">
        <v>633</v>
      </c>
      <c r="F894" t="s">
        <v>235</v>
      </c>
      <c r="G894" t="s">
        <v>797</v>
      </c>
      <c r="H894" t="s">
        <v>14</v>
      </c>
      <c r="I894" t="s">
        <v>194</v>
      </c>
      <c r="J894" t="s">
        <v>798</v>
      </c>
      <c r="K894" t="s">
        <v>787</v>
      </c>
      <c r="L894" t="s">
        <v>800</v>
      </c>
      <c r="M894" s="5">
        <v>45583</v>
      </c>
      <c r="O894">
        <v>1</v>
      </c>
      <c r="P894">
        <v>20.32</v>
      </c>
      <c r="Q894">
        <v>25.4</v>
      </c>
      <c r="R894">
        <v>0.05</v>
      </c>
      <c r="S894">
        <v>24.13</v>
      </c>
      <c r="T894" t="s">
        <v>845</v>
      </c>
      <c r="U894">
        <v>20.32</v>
      </c>
      <c r="V894">
        <v>3.81</v>
      </c>
    </row>
    <row r="895" spans="1:22" x14ac:dyDescent="0.35">
      <c r="A895" t="s">
        <v>2350</v>
      </c>
      <c r="B895" t="s">
        <v>1441</v>
      </c>
      <c r="C895" t="s">
        <v>418</v>
      </c>
      <c r="D895" t="s">
        <v>253</v>
      </c>
      <c r="E895" t="s">
        <v>633</v>
      </c>
      <c r="F895" t="s">
        <v>264</v>
      </c>
      <c r="G895" t="s">
        <v>48</v>
      </c>
      <c r="H895" t="s">
        <v>14</v>
      </c>
      <c r="I895" t="s">
        <v>93</v>
      </c>
      <c r="J895" t="s">
        <v>786</v>
      </c>
      <c r="K895" t="s">
        <v>822</v>
      </c>
      <c r="L895" t="s">
        <v>800</v>
      </c>
      <c r="M895" s="5">
        <v>45535</v>
      </c>
      <c r="N895" s="5">
        <v>45525</v>
      </c>
      <c r="O895">
        <v>5</v>
      </c>
      <c r="P895">
        <v>26.96</v>
      </c>
      <c r="Q895">
        <v>37.74</v>
      </c>
      <c r="R895">
        <v>0</v>
      </c>
      <c r="S895">
        <v>188.7</v>
      </c>
      <c r="T895" t="s">
        <v>919</v>
      </c>
      <c r="U895">
        <v>134.80000000000001</v>
      </c>
      <c r="V895">
        <v>53.9</v>
      </c>
    </row>
    <row r="896" spans="1:22" x14ac:dyDescent="0.35">
      <c r="A896" t="s">
        <v>2352</v>
      </c>
      <c r="B896" t="s">
        <v>2067</v>
      </c>
      <c r="C896" t="s">
        <v>607</v>
      </c>
      <c r="D896" t="s">
        <v>608</v>
      </c>
      <c r="E896" t="s">
        <v>674</v>
      </c>
      <c r="F896" t="s">
        <v>264</v>
      </c>
      <c r="G896" t="s">
        <v>797</v>
      </c>
      <c r="H896" t="s">
        <v>8</v>
      </c>
      <c r="I896" t="s">
        <v>207</v>
      </c>
      <c r="J896" t="s">
        <v>786</v>
      </c>
      <c r="K896" t="s">
        <v>822</v>
      </c>
      <c r="L896" t="s">
        <v>788</v>
      </c>
      <c r="M896" s="5">
        <v>45871</v>
      </c>
      <c r="N896" s="5">
        <v>45858</v>
      </c>
      <c r="O896">
        <v>10</v>
      </c>
      <c r="P896">
        <v>8.5399999999999991</v>
      </c>
      <c r="Q896">
        <v>10.67</v>
      </c>
      <c r="R896">
        <v>0</v>
      </c>
      <c r="S896">
        <v>106.7</v>
      </c>
      <c r="T896" t="s">
        <v>819</v>
      </c>
      <c r="U896">
        <v>85.4</v>
      </c>
      <c r="V896">
        <v>21.3</v>
      </c>
    </row>
    <row r="897" spans="1:22" x14ac:dyDescent="0.35">
      <c r="A897" t="s">
        <v>2354</v>
      </c>
      <c r="B897" t="s">
        <v>1672</v>
      </c>
      <c r="C897" t="s">
        <v>416</v>
      </c>
      <c r="D897" t="s">
        <v>417</v>
      </c>
      <c r="E897" t="s">
        <v>627</v>
      </c>
      <c r="F897" t="s">
        <v>264</v>
      </c>
      <c r="G897" t="s">
        <v>797</v>
      </c>
      <c r="H897" t="s">
        <v>43</v>
      </c>
      <c r="I897" t="s">
        <v>44</v>
      </c>
      <c r="J897" t="s">
        <v>798</v>
      </c>
      <c r="K897" t="s">
        <v>787</v>
      </c>
      <c r="L897" t="s">
        <v>818</v>
      </c>
      <c r="M897" s="5">
        <v>45677</v>
      </c>
      <c r="O897">
        <v>3</v>
      </c>
      <c r="P897">
        <v>14.05</v>
      </c>
      <c r="Q897">
        <v>19.670000000000002</v>
      </c>
      <c r="R897">
        <v>0</v>
      </c>
      <c r="S897">
        <v>59.01</v>
      </c>
      <c r="T897" t="s">
        <v>919</v>
      </c>
      <c r="U897">
        <v>42.15</v>
      </c>
      <c r="V897">
        <v>16.86</v>
      </c>
    </row>
    <row r="898" spans="1:22" x14ac:dyDescent="0.35">
      <c r="A898" t="s">
        <v>2355</v>
      </c>
      <c r="B898" t="s">
        <v>1976</v>
      </c>
      <c r="C898" t="s">
        <v>487</v>
      </c>
      <c r="D898" t="s">
        <v>488</v>
      </c>
      <c r="E898" t="s">
        <v>696</v>
      </c>
      <c r="F898" t="s">
        <v>243</v>
      </c>
      <c r="G898" t="s">
        <v>14</v>
      </c>
      <c r="H898" t="s">
        <v>38</v>
      </c>
      <c r="I898" t="s">
        <v>69</v>
      </c>
      <c r="J898" t="s">
        <v>813</v>
      </c>
      <c r="K898" t="s">
        <v>787</v>
      </c>
      <c r="L898" t="s">
        <v>800</v>
      </c>
      <c r="M898" s="5">
        <v>46028</v>
      </c>
      <c r="O898">
        <v>20</v>
      </c>
      <c r="P898">
        <v>20.9</v>
      </c>
      <c r="Q898">
        <v>28.21</v>
      </c>
      <c r="R898">
        <v>0.15</v>
      </c>
      <c r="S898">
        <v>479.57</v>
      </c>
      <c r="T898" t="s">
        <v>825</v>
      </c>
      <c r="U898">
        <v>418</v>
      </c>
      <c r="V898">
        <v>61.57</v>
      </c>
    </row>
    <row r="899" spans="1:22" x14ac:dyDescent="0.35">
      <c r="A899" t="s">
        <v>2356</v>
      </c>
      <c r="B899" t="s">
        <v>1692</v>
      </c>
      <c r="C899" t="s">
        <v>310</v>
      </c>
      <c r="D899" t="s">
        <v>311</v>
      </c>
      <c r="E899" t="s">
        <v>681</v>
      </c>
      <c r="F899" t="s">
        <v>264</v>
      </c>
      <c r="G899" t="s">
        <v>20</v>
      </c>
      <c r="H899" t="s">
        <v>20</v>
      </c>
      <c r="I899" t="s">
        <v>97</v>
      </c>
      <c r="J899" t="s">
        <v>798</v>
      </c>
      <c r="K899" t="s">
        <v>793</v>
      </c>
      <c r="L899" t="s">
        <v>800</v>
      </c>
      <c r="M899" s="5">
        <v>45418</v>
      </c>
      <c r="O899">
        <v>2</v>
      </c>
      <c r="P899">
        <v>20.79</v>
      </c>
      <c r="Q899">
        <v>28.07</v>
      </c>
      <c r="R899">
        <v>0</v>
      </c>
      <c r="S899">
        <v>56.14</v>
      </c>
      <c r="T899" t="s">
        <v>845</v>
      </c>
      <c r="U899">
        <v>41.58</v>
      </c>
      <c r="V899">
        <v>14.56</v>
      </c>
    </row>
    <row r="900" spans="1:22" x14ac:dyDescent="0.35">
      <c r="A900" t="s">
        <v>2357</v>
      </c>
      <c r="B900" t="s">
        <v>1337</v>
      </c>
      <c r="C900" t="s">
        <v>578</v>
      </c>
      <c r="D900" t="s">
        <v>368</v>
      </c>
      <c r="E900" t="s">
        <v>637</v>
      </c>
      <c r="F900" t="s">
        <v>235</v>
      </c>
      <c r="G900" t="s">
        <v>797</v>
      </c>
      <c r="H900" t="s">
        <v>43</v>
      </c>
      <c r="I900" t="s">
        <v>41</v>
      </c>
      <c r="J900" t="s">
        <v>798</v>
      </c>
      <c r="K900" t="s">
        <v>822</v>
      </c>
      <c r="L900" t="s">
        <v>842</v>
      </c>
      <c r="M900" s="5">
        <v>45944</v>
      </c>
      <c r="N900" s="5">
        <v>45946</v>
      </c>
      <c r="O900">
        <v>2</v>
      </c>
      <c r="P900">
        <v>18.010000000000002</v>
      </c>
      <c r="Q900">
        <v>22.51</v>
      </c>
      <c r="R900">
        <v>0.05</v>
      </c>
      <c r="S900">
        <v>42.77</v>
      </c>
      <c r="T900" t="s">
        <v>919</v>
      </c>
      <c r="U900">
        <v>36.020000000000003</v>
      </c>
      <c r="V900">
        <v>6.75</v>
      </c>
    </row>
    <row r="901" spans="1:22" x14ac:dyDescent="0.35">
      <c r="A901" t="s">
        <v>2358</v>
      </c>
      <c r="B901" t="s">
        <v>1669</v>
      </c>
      <c r="C901" t="s">
        <v>534</v>
      </c>
      <c r="D901" t="s">
        <v>535</v>
      </c>
      <c r="E901" t="s">
        <v>681</v>
      </c>
      <c r="G901" t="s">
        <v>20</v>
      </c>
      <c r="H901" t="s">
        <v>8</v>
      </c>
      <c r="I901" t="s">
        <v>6</v>
      </c>
      <c r="J901" t="s">
        <v>798</v>
      </c>
      <c r="K901" t="s">
        <v>822</v>
      </c>
      <c r="L901" t="s">
        <v>842</v>
      </c>
      <c r="M901" s="5">
        <v>45624</v>
      </c>
      <c r="N901" s="5">
        <v>45627</v>
      </c>
      <c r="O901">
        <v>10</v>
      </c>
      <c r="P901">
        <v>32.24</v>
      </c>
      <c r="Q901">
        <v>41.91</v>
      </c>
      <c r="R901">
        <v>0</v>
      </c>
      <c r="S901">
        <v>419.1</v>
      </c>
      <c r="T901" t="s">
        <v>888</v>
      </c>
      <c r="U901">
        <v>322.39999999999998</v>
      </c>
      <c r="V901">
        <v>96.7</v>
      </c>
    </row>
    <row r="902" spans="1:22" x14ac:dyDescent="0.35">
      <c r="A902" t="s">
        <v>2359</v>
      </c>
      <c r="B902" t="s">
        <v>1348</v>
      </c>
      <c r="C902" t="s">
        <v>578</v>
      </c>
      <c r="D902" t="s">
        <v>368</v>
      </c>
      <c r="E902" t="s">
        <v>674</v>
      </c>
      <c r="F902" t="s">
        <v>235</v>
      </c>
      <c r="G902" t="s">
        <v>797</v>
      </c>
      <c r="H902" t="s">
        <v>38</v>
      </c>
      <c r="I902" t="s">
        <v>165</v>
      </c>
      <c r="J902" t="s">
        <v>813</v>
      </c>
      <c r="K902" t="s">
        <v>799</v>
      </c>
      <c r="L902" t="s">
        <v>818</v>
      </c>
      <c r="M902" s="5">
        <v>45680</v>
      </c>
      <c r="N902" s="5">
        <v>45681</v>
      </c>
      <c r="O902">
        <v>20</v>
      </c>
      <c r="P902">
        <v>18.45</v>
      </c>
      <c r="Q902">
        <v>25.83</v>
      </c>
      <c r="R902">
        <v>0</v>
      </c>
      <c r="S902">
        <v>516.6</v>
      </c>
      <c r="T902" t="s">
        <v>888</v>
      </c>
      <c r="U902">
        <v>369</v>
      </c>
      <c r="V902">
        <v>147.6</v>
      </c>
    </row>
    <row r="903" spans="1:22" x14ac:dyDescent="0.35">
      <c r="A903" t="s">
        <v>2360</v>
      </c>
      <c r="B903" t="s">
        <v>1619</v>
      </c>
      <c r="C903" t="s">
        <v>518</v>
      </c>
      <c r="D903" t="s">
        <v>519</v>
      </c>
      <c r="E903" t="s">
        <v>637</v>
      </c>
      <c r="F903" t="s">
        <v>264</v>
      </c>
      <c r="G903" t="s">
        <v>20</v>
      </c>
      <c r="H903" t="s">
        <v>43</v>
      </c>
      <c r="I903" t="s">
        <v>41</v>
      </c>
      <c r="J903" t="s">
        <v>798</v>
      </c>
      <c r="K903" t="s">
        <v>799</v>
      </c>
      <c r="L903" t="s">
        <v>818</v>
      </c>
      <c r="M903" s="5">
        <v>45949</v>
      </c>
      <c r="N903" s="5">
        <v>45946</v>
      </c>
      <c r="O903">
        <v>5</v>
      </c>
      <c r="P903">
        <v>18.010000000000002</v>
      </c>
      <c r="Q903">
        <v>22.51</v>
      </c>
      <c r="R903">
        <v>0.1</v>
      </c>
      <c r="S903">
        <v>101.3</v>
      </c>
      <c r="T903" t="s">
        <v>946</v>
      </c>
      <c r="U903">
        <v>90.05</v>
      </c>
      <c r="V903">
        <v>11.25</v>
      </c>
    </row>
    <row r="904" spans="1:22" x14ac:dyDescent="0.35">
      <c r="A904" t="s">
        <v>2361</v>
      </c>
      <c r="B904" t="s">
        <v>1070</v>
      </c>
      <c r="C904" t="s">
        <v>272</v>
      </c>
      <c r="D904" t="s">
        <v>273</v>
      </c>
      <c r="E904" t="s">
        <v>696</v>
      </c>
      <c r="F904" t="s">
        <v>243</v>
      </c>
      <c r="G904" t="s">
        <v>14</v>
      </c>
      <c r="H904" t="s">
        <v>20</v>
      </c>
      <c r="I904" t="s">
        <v>18</v>
      </c>
      <c r="J904" t="s">
        <v>798</v>
      </c>
      <c r="K904" t="s">
        <v>799</v>
      </c>
      <c r="L904" t="s">
        <v>788</v>
      </c>
      <c r="M904" s="5">
        <v>46026</v>
      </c>
      <c r="N904" s="5">
        <v>46027</v>
      </c>
      <c r="O904">
        <v>10</v>
      </c>
      <c r="P904">
        <v>21.57</v>
      </c>
      <c r="Q904">
        <v>26.96</v>
      </c>
      <c r="R904">
        <v>0.15</v>
      </c>
      <c r="S904">
        <v>229.16</v>
      </c>
      <c r="T904" t="s">
        <v>814</v>
      </c>
      <c r="U904">
        <v>215.7</v>
      </c>
      <c r="V904">
        <v>13.46</v>
      </c>
    </row>
    <row r="905" spans="1:22" x14ac:dyDescent="0.35">
      <c r="A905" t="s">
        <v>2362</v>
      </c>
      <c r="B905" t="s">
        <v>1099</v>
      </c>
      <c r="C905" t="s">
        <v>367</v>
      </c>
      <c r="D905" t="s">
        <v>368</v>
      </c>
      <c r="E905" t="s">
        <v>633</v>
      </c>
      <c r="F905" t="s">
        <v>264</v>
      </c>
      <c r="G905" t="s">
        <v>20</v>
      </c>
      <c r="H905" t="s">
        <v>8</v>
      </c>
      <c r="I905" t="s">
        <v>73</v>
      </c>
      <c r="J905" t="s">
        <v>786</v>
      </c>
      <c r="K905" t="s">
        <v>799</v>
      </c>
      <c r="L905" t="s">
        <v>818</v>
      </c>
      <c r="M905" s="5">
        <v>45849</v>
      </c>
      <c r="N905" s="5">
        <v>45845</v>
      </c>
      <c r="O905">
        <v>12</v>
      </c>
      <c r="P905">
        <v>67.95</v>
      </c>
      <c r="Q905">
        <v>88.34</v>
      </c>
      <c r="R905">
        <v>0.15</v>
      </c>
      <c r="S905">
        <v>901.07</v>
      </c>
      <c r="T905" t="s">
        <v>935</v>
      </c>
      <c r="U905">
        <v>815.4</v>
      </c>
      <c r="V905">
        <v>85.67</v>
      </c>
    </row>
    <row r="906" spans="1:22" x14ac:dyDescent="0.35">
      <c r="A906" t="s">
        <v>2363</v>
      </c>
      <c r="B906" t="s">
        <v>1464</v>
      </c>
      <c r="C906" t="s">
        <v>502</v>
      </c>
      <c r="D906" t="s">
        <v>503</v>
      </c>
      <c r="E906" t="s">
        <v>633</v>
      </c>
      <c r="F906" t="s">
        <v>235</v>
      </c>
      <c r="G906" t="s">
        <v>797</v>
      </c>
      <c r="H906" t="s">
        <v>79</v>
      </c>
      <c r="I906" t="s">
        <v>124</v>
      </c>
      <c r="J906" t="s">
        <v>813</v>
      </c>
      <c r="K906" t="s">
        <v>822</v>
      </c>
      <c r="L906" t="s">
        <v>800</v>
      </c>
      <c r="M906" s="5">
        <v>45660</v>
      </c>
      <c r="N906" s="5">
        <v>45663</v>
      </c>
      <c r="O906">
        <v>10</v>
      </c>
      <c r="P906">
        <v>29.44</v>
      </c>
      <c r="Q906">
        <v>41.22</v>
      </c>
      <c r="R906">
        <v>0.05</v>
      </c>
      <c r="S906">
        <v>391.59</v>
      </c>
      <c r="T906" t="s">
        <v>845</v>
      </c>
      <c r="U906">
        <v>294.39999999999998</v>
      </c>
      <c r="V906">
        <v>97.19</v>
      </c>
    </row>
    <row r="907" spans="1:22" x14ac:dyDescent="0.35">
      <c r="A907" t="s">
        <v>2364</v>
      </c>
      <c r="B907" t="s">
        <v>1273</v>
      </c>
      <c r="C907" t="s">
        <v>331</v>
      </c>
      <c r="D907" t="s">
        <v>332</v>
      </c>
      <c r="E907" t="s">
        <v>674</v>
      </c>
      <c r="F907" t="s">
        <v>264</v>
      </c>
      <c r="G907" t="s">
        <v>14</v>
      </c>
      <c r="H907" t="s">
        <v>29</v>
      </c>
      <c r="I907" t="s">
        <v>158</v>
      </c>
      <c r="J907" t="s">
        <v>798</v>
      </c>
      <c r="K907" t="s">
        <v>787</v>
      </c>
      <c r="L907" t="s">
        <v>818</v>
      </c>
      <c r="M907" s="5">
        <v>45552</v>
      </c>
      <c r="O907">
        <v>2</v>
      </c>
      <c r="P907">
        <v>25.8</v>
      </c>
      <c r="Q907">
        <v>36.119999999999997</v>
      </c>
      <c r="R907">
        <v>0.15</v>
      </c>
      <c r="S907">
        <v>61.4</v>
      </c>
      <c r="T907" t="s">
        <v>888</v>
      </c>
      <c r="U907">
        <v>51.6</v>
      </c>
      <c r="V907">
        <v>9.8000000000000007</v>
      </c>
    </row>
    <row r="908" spans="1:22" x14ac:dyDescent="0.35">
      <c r="A908" t="s">
        <v>2365</v>
      </c>
      <c r="B908" t="s">
        <v>1191</v>
      </c>
      <c r="C908" t="s">
        <v>552</v>
      </c>
      <c r="D908" t="s">
        <v>553</v>
      </c>
      <c r="E908" t="s">
        <v>696</v>
      </c>
      <c r="F908" t="s">
        <v>235</v>
      </c>
      <c r="G908" t="s">
        <v>14</v>
      </c>
      <c r="H908" t="s">
        <v>14</v>
      </c>
      <c r="I908" t="s">
        <v>167</v>
      </c>
      <c r="J908" t="s">
        <v>813</v>
      </c>
      <c r="K908" t="s">
        <v>793</v>
      </c>
      <c r="L908" t="s">
        <v>788</v>
      </c>
      <c r="M908" s="5">
        <v>45790</v>
      </c>
      <c r="O908">
        <v>1</v>
      </c>
      <c r="P908">
        <v>18.62</v>
      </c>
      <c r="Q908">
        <v>26.07</v>
      </c>
      <c r="R908">
        <v>0.05</v>
      </c>
      <c r="S908">
        <v>24.77</v>
      </c>
      <c r="T908" t="s">
        <v>829</v>
      </c>
      <c r="U908">
        <v>18.62</v>
      </c>
      <c r="V908">
        <v>6.15</v>
      </c>
    </row>
    <row r="909" spans="1:22" x14ac:dyDescent="0.35">
      <c r="A909" t="s">
        <v>2366</v>
      </c>
      <c r="B909" t="s">
        <v>1252</v>
      </c>
      <c r="C909" t="s">
        <v>405</v>
      </c>
      <c r="D909" t="s">
        <v>404</v>
      </c>
      <c r="E909" t="s">
        <v>681</v>
      </c>
      <c r="F909" t="s">
        <v>264</v>
      </c>
      <c r="G909" t="s">
        <v>797</v>
      </c>
      <c r="H909" t="s">
        <v>8</v>
      </c>
      <c r="I909" t="s">
        <v>162</v>
      </c>
      <c r="J909" t="s">
        <v>798</v>
      </c>
      <c r="K909" t="s">
        <v>799</v>
      </c>
      <c r="L909" t="s">
        <v>818</v>
      </c>
      <c r="M909" s="5">
        <v>45874</v>
      </c>
      <c r="N909" s="5">
        <v>45872</v>
      </c>
      <c r="O909">
        <v>1</v>
      </c>
      <c r="P909">
        <v>29.86</v>
      </c>
      <c r="Q909">
        <v>38.82</v>
      </c>
      <c r="R909">
        <v>0</v>
      </c>
      <c r="S909">
        <v>38.82</v>
      </c>
      <c r="T909" t="s">
        <v>829</v>
      </c>
      <c r="U909">
        <v>29.86</v>
      </c>
      <c r="V909">
        <v>8.9600000000000009</v>
      </c>
    </row>
    <row r="910" spans="1:22" x14ac:dyDescent="0.35">
      <c r="A910" t="s">
        <v>2367</v>
      </c>
      <c r="B910" t="s">
        <v>1024</v>
      </c>
      <c r="C910" t="s">
        <v>440</v>
      </c>
      <c r="D910" t="s">
        <v>441</v>
      </c>
      <c r="E910" t="s">
        <v>681</v>
      </c>
      <c r="F910" t="s">
        <v>264</v>
      </c>
      <c r="G910" t="s">
        <v>20</v>
      </c>
      <c r="H910" t="s">
        <v>20</v>
      </c>
      <c r="I910" t="s">
        <v>188</v>
      </c>
      <c r="J910" t="s">
        <v>798</v>
      </c>
      <c r="K910" t="s">
        <v>793</v>
      </c>
      <c r="L910" t="s">
        <v>788</v>
      </c>
      <c r="M910" s="5">
        <v>45796</v>
      </c>
      <c r="O910">
        <v>10</v>
      </c>
      <c r="P910">
        <v>24.6</v>
      </c>
      <c r="Q910">
        <v>35.67</v>
      </c>
      <c r="R910">
        <v>0.1</v>
      </c>
      <c r="S910">
        <v>321.02999999999997</v>
      </c>
      <c r="T910" t="s">
        <v>963</v>
      </c>
      <c r="U910">
        <v>246</v>
      </c>
      <c r="V910">
        <v>75.03</v>
      </c>
    </row>
    <row r="911" spans="1:22" x14ac:dyDescent="0.35">
      <c r="A911" t="s">
        <v>2368</v>
      </c>
      <c r="B911" t="s">
        <v>903</v>
      </c>
      <c r="C911" t="s">
        <v>557</v>
      </c>
      <c r="D911" t="s">
        <v>558</v>
      </c>
      <c r="E911" t="s">
        <v>627</v>
      </c>
      <c r="F911" t="s">
        <v>235</v>
      </c>
      <c r="G911" t="s">
        <v>797</v>
      </c>
      <c r="H911" t="s">
        <v>48</v>
      </c>
      <c r="I911" t="s">
        <v>135</v>
      </c>
      <c r="J911" t="s">
        <v>798</v>
      </c>
      <c r="K911" t="s">
        <v>787</v>
      </c>
      <c r="L911" t="s">
        <v>842</v>
      </c>
      <c r="M911" s="5">
        <v>45939</v>
      </c>
      <c r="O911">
        <v>1</v>
      </c>
      <c r="P911">
        <v>51.72</v>
      </c>
      <c r="Q911">
        <v>67.239999999999995</v>
      </c>
      <c r="R911">
        <v>0.05</v>
      </c>
      <c r="S911">
        <v>63.88</v>
      </c>
      <c r="T911" t="s">
        <v>834</v>
      </c>
      <c r="U911">
        <v>51.72</v>
      </c>
      <c r="V911">
        <v>12.16</v>
      </c>
    </row>
    <row r="912" spans="1:22" x14ac:dyDescent="0.35">
      <c r="A912" t="s">
        <v>2369</v>
      </c>
      <c r="B912" t="s">
        <v>816</v>
      </c>
      <c r="C912" t="s">
        <v>448</v>
      </c>
      <c r="D912" t="s">
        <v>427</v>
      </c>
      <c r="E912" t="s">
        <v>637</v>
      </c>
      <c r="F912" t="s">
        <v>243</v>
      </c>
      <c r="G912" t="s">
        <v>20</v>
      </c>
      <c r="H912" t="s">
        <v>20</v>
      </c>
      <c r="I912" t="s">
        <v>18</v>
      </c>
      <c r="J912" t="s">
        <v>813</v>
      </c>
      <c r="K912" t="s">
        <v>787</v>
      </c>
      <c r="L912" t="s">
        <v>788</v>
      </c>
      <c r="M912" s="5">
        <v>46016</v>
      </c>
      <c r="O912">
        <v>1</v>
      </c>
      <c r="P912">
        <v>21.57</v>
      </c>
      <c r="Q912">
        <v>26.96</v>
      </c>
      <c r="R912">
        <v>0</v>
      </c>
      <c r="S912">
        <v>26.96</v>
      </c>
      <c r="T912" t="s">
        <v>790</v>
      </c>
      <c r="U912">
        <v>21.57</v>
      </c>
      <c r="V912">
        <v>5.39</v>
      </c>
    </row>
    <row r="913" spans="1:22" x14ac:dyDescent="0.35">
      <c r="A913" t="s">
        <v>2370</v>
      </c>
      <c r="B913" t="s">
        <v>1306</v>
      </c>
      <c r="C913" t="s">
        <v>527</v>
      </c>
      <c r="D913" t="s">
        <v>282</v>
      </c>
      <c r="E913" t="s">
        <v>696</v>
      </c>
      <c r="F913" t="s">
        <v>235</v>
      </c>
      <c r="G913" t="s">
        <v>20</v>
      </c>
      <c r="H913" t="s">
        <v>20</v>
      </c>
      <c r="I913" t="s">
        <v>137</v>
      </c>
      <c r="J913" t="s">
        <v>798</v>
      </c>
      <c r="K913" t="s">
        <v>799</v>
      </c>
      <c r="L913" t="s">
        <v>800</v>
      </c>
      <c r="M913" s="5">
        <v>45502</v>
      </c>
      <c r="N913" s="5">
        <v>45499</v>
      </c>
      <c r="O913">
        <v>5</v>
      </c>
      <c r="P913">
        <v>23.58</v>
      </c>
      <c r="Q913">
        <v>31.83</v>
      </c>
      <c r="R913">
        <v>0</v>
      </c>
      <c r="S913">
        <v>159.15</v>
      </c>
      <c r="T913" t="s">
        <v>876</v>
      </c>
      <c r="U913">
        <v>117.9</v>
      </c>
      <c r="V913">
        <v>41.25</v>
      </c>
    </row>
    <row r="914" spans="1:22" x14ac:dyDescent="0.35">
      <c r="A914" t="s">
        <v>2371</v>
      </c>
      <c r="B914" t="s">
        <v>2188</v>
      </c>
      <c r="C914" t="s">
        <v>248</v>
      </c>
      <c r="D914" t="s">
        <v>249</v>
      </c>
      <c r="E914" t="s">
        <v>254</v>
      </c>
      <c r="G914" t="s">
        <v>20</v>
      </c>
      <c r="H914" t="s">
        <v>38</v>
      </c>
      <c r="I914" t="s">
        <v>80</v>
      </c>
      <c r="J914" t="s">
        <v>786</v>
      </c>
      <c r="K914" t="s">
        <v>799</v>
      </c>
      <c r="L914" t="s">
        <v>818</v>
      </c>
      <c r="M914" s="5">
        <v>45872</v>
      </c>
      <c r="N914" s="5">
        <v>45861</v>
      </c>
      <c r="O914">
        <v>5</v>
      </c>
      <c r="P914">
        <v>38.57</v>
      </c>
      <c r="Q914">
        <v>48.21</v>
      </c>
      <c r="R914">
        <v>0.05</v>
      </c>
      <c r="S914">
        <v>229</v>
      </c>
      <c r="T914" t="s">
        <v>829</v>
      </c>
      <c r="U914">
        <v>192.85</v>
      </c>
      <c r="V914">
        <v>36.15</v>
      </c>
    </row>
    <row r="915" spans="1:22" x14ac:dyDescent="0.35">
      <c r="A915" t="s">
        <v>2372</v>
      </c>
      <c r="B915" t="s">
        <v>1000</v>
      </c>
      <c r="C915" t="s">
        <v>260</v>
      </c>
      <c r="D915" t="s">
        <v>261</v>
      </c>
      <c r="E915" t="s">
        <v>674</v>
      </c>
      <c r="F915" t="s">
        <v>264</v>
      </c>
      <c r="G915" t="s">
        <v>14</v>
      </c>
      <c r="H915" t="s">
        <v>14</v>
      </c>
      <c r="I915" t="s">
        <v>25</v>
      </c>
      <c r="J915" t="s">
        <v>798</v>
      </c>
      <c r="K915" t="s">
        <v>787</v>
      </c>
      <c r="L915" t="s">
        <v>842</v>
      </c>
      <c r="M915" s="5">
        <v>45588</v>
      </c>
      <c r="O915">
        <v>5</v>
      </c>
      <c r="P915">
        <v>18.95</v>
      </c>
      <c r="Q915">
        <v>25.58</v>
      </c>
      <c r="R915">
        <v>0.05</v>
      </c>
      <c r="S915">
        <v>121.5</v>
      </c>
      <c r="T915" t="s">
        <v>869</v>
      </c>
      <c r="U915">
        <v>94.75</v>
      </c>
      <c r="V915">
        <v>26.75</v>
      </c>
    </row>
    <row r="916" spans="1:22" x14ac:dyDescent="0.35">
      <c r="A916" t="s">
        <v>2373</v>
      </c>
      <c r="B916" t="s">
        <v>1126</v>
      </c>
      <c r="C916" t="s">
        <v>603</v>
      </c>
      <c r="D916" t="s">
        <v>508</v>
      </c>
      <c r="E916" t="s">
        <v>633</v>
      </c>
      <c r="F916" t="s">
        <v>264</v>
      </c>
      <c r="G916" t="s">
        <v>20</v>
      </c>
      <c r="H916" t="s">
        <v>29</v>
      </c>
      <c r="I916" t="s">
        <v>32</v>
      </c>
      <c r="J916" t="s">
        <v>813</v>
      </c>
      <c r="K916" t="s">
        <v>799</v>
      </c>
      <c r="L916" t="s">
        <v>818</v>
      </c>
      <c r="M916" s="5">
        <v>45705</v>
      </c>
      <c r="N916" s="5">
        <v>45711</v>
      </c>
      <c r="O916">
        <v>3</v>
      </c>
      <c r="P916">
        <v>18.989999999999998</v>
      </c>
      <c r="Q916">
        <v>25.64</v>
      </c>
      <c r="R916">
        <v>0</v>
      </c>
      <c r="S916">
        <v>76.92</v>
      </c>
      <c r="T916" t="s">
        <v>839</v>
      </c>
      <c r="U916">
        <v>56.97</v>
      </c>
      <c r="V916">
        <v>19.95</v>
      </c>
    </row>
    <row r="917" spans="1:22" x14ac:dyDescent="0.35">
      <c r="A917" t="s">
        <v>2374</v>
      </c>
      <c r="B917" t="s">
        <v>832</v>
      </c>
      <c r="C917" t="s">
        <v>320</v>
      </c>
      <c r="D917" t="s">
        <v>321</v>
      </c>
      <c r="E917" t="s">
        <v>681</v>
      </c>
      <c r="F917" t="s">
        <v>235</v>
      </c>
      <c r="G917" t="s">
        <v>14</v>
      </c>
      <c r="H917" t="s">
        <v>79</v>
      </c>
      <c r="I917" t="s">
        <v>184</v>
      </c>
      <c r="J917" t="s">
        <v>798</v>
      </c>
      <c r="K917" t="s">
        <v>799</v>
      </c>
      <c r="L917" t="s">
        <v>800</v>
      </c>
      <c r="M917" s="5">
        <v>45918</v>
      </c>
      <c r="N917" s="5">
        <v>45920</v>
      </c>
      <c r="O917">
        <v>5</v>
      </c>
      <c r="P917">
        <v>28.87</v>
      </c>
      <c r="Q917">
        <v>40.42</v>
      </c>
      <c r="R917">
        <v>0</v>
      </c>
      <c r="S917">
        <v>202.1</v>
      </c>
      <c r="T917" t="s">
        <v>876</v>
      </c>
      <c r="U917">
        <v>144.35</v>
      </c>
      <c r="V917">
        <v>57.75</v>
      </c>
    </row>
    <row r="918" spans="1:22" x14ac:dyDescent="0.35">
      <c r="A918" t="s">
        <v>2375</v>
      </c>
      <c r="B918" t="s">
        <v>909</v>
      </c>
      <c r="C918" t="s">
        <v>425</v>
      </c>
      <c r="D918" t="s">
        <v>404</v>
      </c>
      <c r="E918" t="s">
        <v>633</v>
      </c>
      <c r="F918" t="s">
        <v>264</v>
      </c>
      <c r="G918" t="s">
        <v>14</v>
      </c>
      <c r="H918" t="s">
        <v>14</v>
      </c>
      <c r="I918" t="s">
        <v>16</v>
      </c>
      <c r="J918" t="s">
        <v>813</v>
      </c>
      <c r="K918" t="s">
        <v>817</v>
      </c>
      <c r="L918" t="s">
        <v>818</v>
      </c>
      <c r="M918" s="5">
        <v>46056</v>
      </c>
      <c r="O918">
        <v>3</v>
      </c>
      <c r="P918">
        <v>56.69</v>
      </c>
      <c r="Q918">
        <v>79.37</v>
      </c>
      <c r="R918">
        <v>0.05</v>
      </c>
      <c r="S918">
        <v>226.2</v>
      </c>
      <c r="T918" t="s">
        <v>859</v>
      </c>
      <c r="U918">
        <v>170.07</v>
      </c>
      <c r="V918">
        <v>56.13</v>
      </c>
    </row>
    <row r="919" spans="1:22" x14ac:dyDescent="0.35">
      <c r="A919" t="s">
        <v>2376</v>
      </c>
      <c r="B919" t="s">
        <v>1014</v>
      </c>
      <c r="C919" t="s">
        <v>386</v>
      </c>
      <c r="D919" t="s">
        <v>387</v>
      </c>
      <c r="E919" t="s">
        <v>696</v>
      </c>
      <c r="F919" t="s">
        <v>243</v>
      </c>
      <c r="G919" t="s">
        <v>14</v>
      </c>
      <c r="H919" t="s">
        <v>43</v>
      </c>
      <c r="I919" t="s">
        <v>58</v>
      </c>
      <c r="J919" t="s">
        <v>798</v>
      </c>
      <c r="K919" t="s">
        <v>822</v>
      </c>
      <c r="L919" t="s">
        <v>788</v>
      </c>
      <c r="M919" s="5">
        <v>45738</v>
      </c>
      <c r="N919" s="5">
        <v>45739</v>
      </c>
      <c r="O919">
        <v>2</v>
      </c>
      <c r="P919">
        <v>11.21</v>
      </c>
      <c r="Q919">
        <v>15.13</v>
      </c>
      <c r="R919">
        <v>0.05</v>
      </c>
      <c r="S919">
        <v>28.75</v>
      </c>
      <c r="T919" t="s">
        <v>839</v>
      </c>
      <c r="U919">
        <v>22.42</v>
      </c>
      <c r="V919">
        <v>6.33</v>
      </c>
    </row>
    <row r="920" spans="1:22" x14ac:dyDescent="0.35">
      <c r="A920" t="s">
        <v>2377</v>
      </c>
      <c r="B920" t="s">
        <v>1575</v>
      </c>
      <c r="C920" t="s">
        <v>455</v>
      </c>
      <c r="D920" t="s">
        <v>456</v>
      </c>
      <c r="E920" t="s">
        <v>637</v>
      </c>
      <c r="F920" t="s">
        <v>264</v>
      </c>
      <c r="G920" t="s">
        <v>14</v>
      </c>
      <c r="H920" t="s">
        <v>14</v>
      </c>
      <c r="I920" t="s">
        <v>24</v>
      </c>
      <c r="J920" t="s">
        <v>813</v>
      </c>
      <c r="K920" t="s">
        <v>793</v>
      </c>
      <c r="L920" t="s">
        <v>842</v>
      </c>
      <c r="M920" s="5">
        <v>46040</v>
      </c>
      <c r="O920">
        <v>3</v>
      </c>
      <c r="P920">
        <v>37.42</v>
      </c>
      <c r="Q920">
        <v>50.52</v>
      </c>
      <c r="R920">
        <v>0.05</v>
      </c>
      <c r="S920">
        <v>143.97999999999999</v>
      </c>
      <c r="T920" t="s">
        <v>794</v>
      </c>
      <c r="U920">
        <v>112.26</v>
      </c>
      <c r="V920">
        <v>31.72</v>
      </c>
    </row>
    <row r="921" spans="1:22" x14ac:dyDescent="0.35">
      <c r="A921" t="s">
        <v>2378</v>
      </c>
      <c r="B921" t="s">
        <v>1203</v>
      </c>
      <c r="C921" t="s">
        <v>501</v>
      </c>
      <c r="D921" t="s">
        <v>363</v>
      </c>
      <c r="E921" t="s">
        <v>627</v>
      </c>
      <c r="F921" t="s">
        <v>264</v>
      </c>
      <c r="G921" t="s">
        <v>797</v>
      </c>
      <c r="H921" t="s">
        <v>29</v>
      </c>
      <c r="I921" t="s">
        <v>154</v>
      </c>
      <c r="J921" t="s">
        <v>798</v>
      </c>
      <c r="K921" t="s">
        <v>787</v>
      </c>
      <c r="L921" t="s">
        <v>842</v>
      </c>
      <c r="M921" s="5">
        <v>45756</v>
      </c>
      <c r="O921">
        <v>2</v>
      </c>
      <c r="P921">
        <v>25.74</v>
      </c>
      <c r="Q921">
        <v>33.46</v>
      </c>
      <c r="R921">
        <v>0</v>
      </c>
      <c r="S921">
        <v>66.92</v>
      </c>
      <c r="T921" t="s">
        <v>790</v>
      </c>
      <c r="U921">
        <v>51.48</v>
      </c>
      <c r="V921">
        <v>15.44</v>
      </c>
    </row>
    <row r="922" spans="1:22" x14ac:dyDescent="0.35">
      <c r="A922" t="s">
        <v>2379</v>
      </c>
      <c r="B922" t="s">
        <v>987</v>
      </c>
      <c r="C922" t="s">
        <v>506</v>
      </c>
      <c r="D922" t="s">
        <v>287</v>
      </c>
      <c r="E922" t="s">
        <v>627</v>
      </c>
      <c r="F922" t="s">
        <v>243</v>
      </c>
      <c r="G922" t="s">
        <v>797</v>
      </c>
      <c r="H922" t="s">
        <v>43</v>
      </c>
      <c r="I922" t="s">
        <v>53</v>
      </c>
      <c r="J922" t="s">
        <v>813</v>
      </c>
      <c r="K922" t="s">
        <v>799</v>
      </c>
      <c r="L922" t="s">
        <v>818</v>
      </c>
      <c r="M922" s="5">
        <v>45468</v>
      </c>
      <c r="N922" s="5">
        <v>45469</v>
      </c>
      <c r="O922">
        <v>12</v>
      </c>
      <c r="P922">
        <v>54.93</v>
      </c>
      <c r="Q922">
        <v>79.650000000000006</v>
      </c>
      <c r="R922">
        <v>0.1</v>
      </c>
      <c r="S922">
        <v>860.22</v>
      </c>
      <c r="T922" t="s">
        <v>803</v>
      </c>
      <c r="U922">
        <v>659.16</v>
      </c>
      <c r="V922">
        <v>201.06</v>
      </c>
    </row>
    <row r="923" spans="1:22" x14ac:dyDescent="0.35">
      <c r="A923" t="s">
        <v>2380</v>
      </c>
      <c r="B923" t="s">
        <v>812</v>
      </c>
      <c r="C923" t="s">
        <v>401</v>
      </c>
      <c r="D923" t="s">
        <v>402</v>
      </c>
      <c r="E923" t="s">
        <v>696</v>
      </c>
      <c r="F923" t="s">
        <v>243</v>
      </c>
      <c r="G923" t="s">
        <v>797</v>
      </c>
      <c r="H923" t="s">
        <v>14</v>
      </c>
      <c r="I923" t="s">
        <v>167</v>
      </c>
      <c r="J923" t="s">
        <v>798</v>
      </c>
      <c r="K923" t="s">
        <v>787</v>
      </c>
      <c r="L923" t="s">
        <v>800</v>
      </c>
      <c r="M923" s="5">
        <v>45359</v>
      </c>
      <c r="O923">
        <v>3</v>
      </c>
      <c r="P923">
        <v>18.62</v>
      </c>
      <c r="Q923">
        <v>26.07</v>
      </c>
      <c r="R923">
        <v>0.15</v>
      </c>
      <c r="S923">
        <v>66.48</v>
      </c>
      <c r="T923" t="s">
        <v>803</v>
      </c>
      <c r="U923">
        <v>55.86</v>
      </c>
      <c r="V923">
        <v>10.62</v>
      </c>
    </row>
    <row r="924" spans="1:22" x14ac:dyDescent="0.35">
      <c r="A924" t="s">
        <v>2381</v>
      </c>
      <c r="B924" t="s">
        <v>801</v>
      </c>
      <c r="C924" t="s">
        <v>238</v>
      </c>
      <c r="D924" t="s">
        <v>239</v>
      </c>
      <c r="E924" t="s">
        <v>633</v>
      </c>
      <c r="F924" t="s">
        <v>243</v>
      </c>
      <c r="G924" t="s">
        <v>14</v>
      </c>
      <c r="H924" t="s">
        <v>38</v>
      </c>
      <c r="I924" t="s">
        <v>82</v>
      </c>
      <c r="J924" t="s">
        <v>786</v>
      </c>
      <c r="K924" t="s">
        <v>799</v>
      </c>
      <c r="L924" t="s">
        <v>818</v>
      </c>
      <c r="M924" s="5">
        <v>45919</v>
      </c>
      <c r="N924" s="5">
        <v>45909</v>
      </c>
      <c r="O924">
        <v>20</v>
      </c>
      <c r="P924">
        <v>12.54</v>
      </c>
      <c r="Q924">
        <v>16.93</v>
      </c>
      <c r="R924">
        <v>0</v>
      </c>
      <c r="S924">
        <v>338.6</v>
      </c>
      <c r="T924" t="s">
        <v>869</v>
      </c>
      <c r="U924">
        <v>250.8</v>
      </c>
      <c r="V924">
        <v>87.8</v>
      </c>
    </row>
    <row r="925" spans="1:22" x14ac:dyDescent="0.35">
      <c r="A925" t="s">
        <v>2383</v>
      </c>
      <c r="B925" t="s">
        <v>2384</v>
      </c>
      <c r="C925" t="s">
        <v>590</v>
      </c>
      <c r="D925" t="s">
        <v>591</v>
      </c>
      <c r="E925" t="s">
        <v>696</v>
      </c>
      <c r="F925" t="s">
        <v>235</v>
      </c>
      <c r="G925" t="s">
        <v>14</v>
      </c>
      <c r="H925" t="s">
        <v>8</v>
      </c>
      <c r="I925" t="s">
        <v>6</v>
      </c>
      <c r="J925" t="s">
        <v>786</v>
      </c>
      <c r="K925" t="s">
        <v>817</v>
      </c>
      <c r="L925" t="s">
        <v>842</v>
      </c>
      <c r="M925" s="5">
        <v>45635</v>
      </c>
      <c r="O925">
        <v>10</v>
      </c>
      <c r="P925">
        <v>32.24</v>
      </c>
      <c r="Q925">
        <v>41.91</v>
      </c>
      <c r="R925">
        <v>0</v>
      </c>
      <c r="S925">
        <v>419.1</v>
      </c>
      <c r="T925" t="s">
        <v>876</v>
      </c>
      <c r="U925">
        <v>322.39999999999998</v>
      </c>
      <c r="V925">
        <v>96.7</v>
      </c>
    </row>
    <row r="926" spans="1:22" x14ac:dyDescent="0.35">
      <c r="A926" t="s">
        <v>2385</v>
      </c>
      <c r="B926" t="s">
        <v>1063</v>
      </c>
      <c r="C926" t="s">
        <v>457</v>
      </c>
      <c r="D926" t="s">
        <v>458</v>
      </c>
      <c r="E926" t="s">
        <v>674</v>
      </c>
      <c r="F926" t="s">
        <v>243</v>
      </c>
      <c r="G926" t="s">
        <v>20</v>
      </c>
      <c r="H926" t="s">
        <v>20</v>
      </c>
      <c r="I926" t="s">
        <v>188</v>
      </c>
      <c r="J926" t="s">
        <v>813</v>
      </c>
      <c r="K926" t="s">
        <v>799</v>
      </c>
      <c r="L926" t="s">
        <v>788</v>
      </c>
      <c r="M926" s="5">
        <v>46011</v>
      </c>
      <c r="N926" s="5">
        <v>46010</v>
      </c>
      <c r="O926">
        <v>3</v>
      </c>
      <c r="P926">
        <v>24.6</v>
      </c>
      <c r="Q926">
        <v>35.67</v>
      </c>
      <c r="R926">
        <v>0</v>
      </c>
      <c r="S926">
        <v>107.01</v>
      </c>
      <c r="T926" t="s">
        <v>845</v>
      </c>
      <c r="U926">
        <v>73.8</v>
      </c>
      <c r="V926">
        <v>33.21</v>
      </c>
    </row>
    <row r="927" spans="1:22" x14ac:dyDescent="0.35">
      <c r="A927" t="s">
        <v>2386</v>
      </c>
      <c r="B927" t="s">
        <v>1484</v>
      </c>
      <c r="C927" t="s">
        <v>507</v>
      </c>
      <c r="D927" t="s">
        <v>508</v>
      </c>
      <c r="E927" t="s">
        <v>674</v>
      </c>
      <c r="F927" t="s">
        <v>243</v>
      </c>
      <c r="G927" t="s">
        <v>14</v>
      </c>
      <c r="H927" t="s">
        <v>38</v>
      </c>
      <c r="I927" t="s">
        <v>165</v>
      </c>
      <c r="J927" t="s">
        <v>798</v>
      </c>
      <c r="K927" t="s">
        <v>787</v>
      </c>
      <c r="L927" t="s">
        <v>818</v>
      </c>
      <c r="M927" s="5">
        <v>45338</v>
      </c>
      <c r="O927">
        <v>5</v>
      </c>
      <c r="P927">
        <v>18.45</v>
      </c>
      <c r="Q927">
        <v>25.83</v>
      </c>
      <c r="R927">
        <v>0.05</v>
      </c>
      <c r="S927">
        <v>122.69</v>
      </c>
      <c r="T927" t="s">
        <v>839</v>
      </c>
      <c r="U927">
        <v>92.25</v>
      </c>
      <c r="V927">
        <v>30.44</v>
      </c>
    </row>
    <row r="928" spans="1:22" x14ac:dyDescent="0.35">
      <c r="A928" t="s">
        <v>2387</v>
      </c>
      <c r="B928" t="s">
        <v>982</v>
      </c>
      <c r="C928" t="s">
        <v>483</v>
      </c>
      <c r="D928" t="s">
        <v>484</v>
      </c>
      <c r="E928" t="s">
        <v>633</v>
      </c>
      <c r="F928" t="s">
        <v>264</v>
      </c>
      <c r="G928" t="s">
        <v>20</v>
      </c>
      <c r="H928" t="s">
        <v>14</v>
      </c>
      <c r="I928" t="s">
        <v>67</v>
      </c>
      <c r="J928" t="s">
        <v>786</v>
      </c>
      <c r="K928" t="s">
        <v>793</v>
      </c>
      <c r="L928" t="s">
        <v>800</v>
      </c>
      <c r="M928" s="5">
        <v>45609</v>
      </c>
      <c r="O928">
        <v>1</v>
      </c>
      <c r="P928">
        <v>17.63</v>
      </c>
      <c r="Q928">
        <v>22.92</v>
      </c>
      <c r="R928">
        <v>0.1</v>
      </c>
      <c r="S928">
        <v>20.63</v>
      </c>
      <c r="T928" t="s">
        <v>814</v>
      </c>
      <c r="U928">
        <v>17.63</v>
      </c>
      <c r="V928">
        <v>3</v>
      </c>
    </row>
    <row r="929" spans="1:22" x14ac:dyDescent="0.35">
      <c r="A929" t="s">
        <v>2388</v>
      </c>
      <c r="B929" t="s">
        <v>1038</v>
      </c>
      <c r="C929" t="s">
        <v>359</v>
      </c>
      <c r="D929" t="s">
        <v>360</v>
      </c>
      <c r="E929" t="s">
        <v>674</v>
      </c>
      <c r="F929" t="s">
        <v>235</v>
      </c>
      <c r="G929" t="s">
        <v>797</v>
      </c>
      <c r="H929" t="s">
        <v>20</v>
      </c>
      <c r="I929" t="s">
        <v>196</v>
      </c>
      <c r="J929" t="s">
        <v>798</v>
      </c>
      <c r="K929" t="s">
        <v>799</v>
      </c>
      <c r="L929" t="s">
        <v>800</v>
      </c>
      <c r="M929" s="5">
        <v>45876</v>
      </c>
      <c r="N929" s="5">
        <v>45874</v>
      </c>
      <c r="O929">
        <v>2</v>
      </c>
      <c r="P929">
        <v>15.78</v>
      </c>
      <c r="Q929">
        <v>19.72</v>
      </c>
      <c r="R929">
        <v>0.1</v>
      </c>
      <c r="S929">
        <v>35.5</v>
      </c>
      <c r="T929" t="s">
        <v>946</v>
      </c>
      <c r="U929">
        <v>31.56</v>
      </c>
      <c r="V929">
        <v>3.94</v>
      </c>
    </row>
    <row r="930" spans="1:22" x14ac:dyDescent="0.35">
      <c r="A930" t="s">
        <v>2389</v>
      </c>
      <c r="B930" t="s">
        <v>895</v>
      </c>
      <c r="C930" t="s">
        <v>379</v>
      </c>
      <c r="D930" t="s">
        <v>380</v>
      </c>
      <c r="E930" t="s">
        <v>633</v>
      </c>
      <c r="F930" t="s">
        <v>264</v>
      </c>
      <c r="G930" t="s">
        <v>48</v>
      </c>
      <c r="H930" t="s">
        <v>14</v>
      </c>
      <c r="I930" t="s">
        <v>63</v>
      </c>
      <c r="J930" t="s">
        <v>798</v>
      </c>
      <c r="K930" t="s">
        <v>799</v>
      </c>
      <c r="L930" t="s">
        <v>788</v>
      </c>
      <c r="M930" s="5">
        <v>45782</v>
      </c>
      <c r="N930" s="5">
        <v>45783</v>
      </c>
      <c r="O930">
        <v>1</v>
      </c>
      <c r="P930">
        <v>13.03</v>
      </c>
      <c r="Q930">
        <v>16.29</v>
      </c>
      <c r="R930">
        <v>0</v>
      </c>
      <c r="S930">
        <v>16.29</v>
      </c>
      <c r="T930" t="s">
        <v>892</v>
      </c>
      <c r="U930">
        <v>13.03</v>
      </c>
      <c r="V930">
        <v>3.26</v>
      </c>
    </row>
    <row r="931" spans="1:22" x14ac:dyDescent="0.35">
      <c r="A931" t="s">
        <v>2390</v>
      </c>
      <c r="B931" t="s">
        <v>1662</v>
      </c>
      <c r="C931" t="s">
        <v>474</v>
      </c>
      <c r="D931" t="s">
        <v>330</v>
      </c>
      <c r="E931" t="s">
        <v>674</v>
      </c>
      <c r="F931" t="s">
        <v>235</v>
      </c>
      <c r="G931" t="s">
        <v>797</v>
      </c>
      <c r="H931" t="s">
        <v>48</v>
      </c>
      <c r="I931" t="s">
        <v>54</v>
      </c>
      <c r="J931" t="s">
        <v>813</v>
      </c>
      <c r="K931" t="s">
        <v>817</v>
      </c>
      <c r="L931" t="s">
        <v>800</v>
      </c>
      <c r="M931" s="5">
        <v>45305</v>
      </c>
      <c r="O931">
        <v>1</v>
      </c>
      <c r="P931">
        <v>21.67</v>
      </c>
      <c r="Q931">
        <v>28.17</v>
      </c>
      <c r="R931">
        <v>0.15</v>
      </c>
      <c r="S931">
        <v>23.94</v>
      </c>
      <c r="T931" t="s">
        <v>963</v>
      </c>
      <c r="U931">
        <v>21.67</v>
      </c>
      <c r="V931">
        <v>2.27</v>
      </c>
    </row>
    <row r="932" spans="1:22" x14ac:dyDescent="0.35">
      <c r="A932" t="s">
        <v>2391</v>
      </c>
      <c r="B932" t="s">
        <v>1144</v>
      </c>
      <c r="C932" t="s">
        <v>527</v>
      </c>
      <c r="D932" t="s">
        <v>282</v>
      </c>
      <c r="E932" t="s">
        <v>696</v>
      </c>
      <c r="F932" t="s">
        <v>235</v>
      </c>
      <c r="G932" t="s">
        <v>797</v>
      </c>
      <c r="H932" t="s">
        <v>14</v>
      </c>
      <c r="I932" t="s">
        <v>169</v>
      </c>
      <c r="J932" t="s">
        <v>813</v>
      </c>
      <c r="K932" t="s">
        <v>799</v>
      </c>
      <c r="L932" t="s">
        <v>788</v>
      </c>
      <c r="M932" s="5">
        <v>45499</v>
      </c>
      <c r="N932" s="5">
        <v>45505</v>
      </c>
      <c r="O932">
        <v>1</v>
      </c>
      <c r="P932">
        <v>40.590000000000003</v>
      </c>
      <c r="Q932">
        <v>58.86</v>
      </c>
      <c r="R932">
        <v>0</v>
      </c>
      <c r="S932">
        <v>58.86</v>
      </c>
      <c r="T932" t="s">
        <v>814</v>
      </c>
      <c r="U932">
        <v>40.590000000000003</v>
      </c>
      <c r="V932">
        <v>18.27</v>
      </c>
    </row>
    <row r="933" spans="1:22" x14ac:dyDescent="0.35">
      <c r="A933" t="s">
        <v>2392</v>
      </c>
      <c r="B933" t="s">
        <v>978</v>
      </c>
      <c r="C933" t="s">
        <v>561</v>
      </c>
      <c r="D933" t="s">
        <v>562</v>
      </c>
      <c r="E933" t="s">
        <v>254</v>
      </c>
      <c r="F933" t="s">
        <v>243</v>
      </c>
      <c r="G933" t="s">
        <v>48</v>
      </c>
      <c r="H933" t="s">
        <v>8</v>
      </c>
      <c r="I933" t="s">
        <v>10</v>
      </c>
      <c r="J933" t="s">
        <v>798</v>
      </c>
      <c r="K933" t="s">
        <v>799</v>
      </c>
      <c r="L933" t="s">
        <v>818</v>
      </c>
      <c r="M933" s="5">
        <v>45530</v>
      </c>
      <c r="N933" s="5">
        <v>45529</v>
      </c>
      <c r="O933">
        <v>20</v>
      </c>
      <c r="P933">
        <v>22.74</v>
      </c>
      <c r="Q933">
        <v>28.42</v>
      </c>
      <c r="R933">
        <v>0.1</v>
      </c>
      <c r="S933">
        <v>511.56</v>
      </c>
      <c r="T933" t="s">
        <v>859</v>
      </c>
      <c r="U933">
        <v>454.8</v>
      </c>
      <c r="V933">
        <v>56.76</v>
      </c>
    </row>
    <row r="934" spans="1:22" x14ac:dyDescent="0.35">
      <c r="A934" t="s">
        <v>2393</v>
      </c>
      <c r="B934" t="s">
        <v>1785</v>
      </c>
      <c r="C934" t="s">
        <v>403</v>
      </c>
      <c r="D934" t="s">
        <v>404</v>
      </c>
      <c r="E934" t="s">
        <v>627</v>
      </c>
      <c r="F934" t="s">
        <v>264</v>
      </c>
      <c r="G934" t="s">
        <v>14</v>
      </c>
      <c r="H934" t="s">
        <v>8</v>
      </c>
      <c r="I934" t="s">
        <v>162</v>
      </c>
      <c r="J934" t="s">
        <v>798</v>
      </c>
      <c r="K934" t="s">
        <v>787</v>
      </c>
      <c r="L934" t="s">
        <v>788</v>
      </c>
      <c r="M934" s="5">
        <v>45938</v>
      </c>
      <c r="O934">
        <v>5</v>
      </c>
      <c r="P934">
        <v>29.86</v>
      </c>
      <c r="Q934">
        <v>38.82</v>
      </c>
      <c r="R934">
        <v>0</v>
      </c>
      <c r="S934">
        <v>194.1</v>
      </c>
      <c r="T934" t="s">
        <v>963</v>
      </c>
      <c r="U934">
        <v>149.30000000000001</v>
      </c>
      <c r="V934">
        <v>44.8</v>
      </c>
    </row>
    <row r="935" spans="1:22" x14ac:dyDescent="0.35">
      <c r="A935" t="s">
        <v>2394</v>
      </c>
      <c r="B935" t="s">
        <v>1236</v>
      </c>
      <c r="C935" t="s">
        <v>406</v>
      </c>
      <c r="D935" t="s">
        <v>287</v>
      </c>
      <c r="E935" t="s">
        <v>627</v>
      </c>
      <c r="F935" t="s">
        <v>243</v>
      </c>
      <c r="G935" t="s">
        <v>797</v>
      </c>
      <c r="H935" t="s">
        <v>38</v>
      </c>
      <c r="I935" t="s">
        <v>206</v>
      </c>
      <c r="J935" t="s">
        <v>786</v>
      </c>
      <c r="K935" t="s">
        <v>799</v>
      </c>
      <c r="L935" t="s">
        <v>818</v>
      </c>
      <c r="M935" s="5">
        <v>45592</v>
      </c>
      <c r="N935" s="5">
        <v>45588</v>
      </c>
      <c r="O935">
        <v>1</v>
      </c>
      <c r="P935">
        <v>23.55</v>
      </c>
      <c r="Q935">
        <v>31.79</v>
      </c>
      <c r="R935">
        <v>0</v>
      </c>
      <c r="S935">
        <v>31.79</v>
      </c>
      <c r="T935" t="s">
        <v>803</v>
      </c>
      <c r="U935">
        <v>23.55</v>
      </c>
      <c r="V935">
        <v>8.24</v>
      </c>
    </row>
    <row r="936" spans="1:22" x14ac:dyDescent="0.35">
      <c r="A936" t="s">
        <v>2395</v>
      </c>
      <c r="B936" t="s">
        <v>832</v>
      </c>
      <c r="C936" t="s">
        <v>601</v>
      </c>
      <c r="D936" t="s">
        <v>602</v>
      </c>
      <c r="E936" t="s">
        <v>637</v>
      </c>
      <c r="F936" t="s">
        <v>235</v>
      </c>
      <c r="G936" t="s">
        <v>14</v>
      </c>
      <c r="H936" t="s">
        <v>8</v>
      </c>
      <c r="I936" t="s">
        <v>198</v>
      </c>
      <c r="J936" t="s">
        <v>786</v>
      </c>
      <c r="K936" t="s">
        <v>793</v>
      </c>
      <c r="L936" t="s">
        <v>842</v>
      </c>
      <c r="M936" s="5">
        <v>45925</v>
      </c>
      <c r="O936">
        <v>20</v>
      </c>
      <c r="P936">
        <v>30.64</v>
      </c>
      <c r="Q936">
        <v>42.9</v>
      </c>
      <c r="R936">
        <v>0</v>
      </c>
      <c r="S936">
        <v>858</v>
      </c>
      <c r="T936" t="s">
        <v>963</v>
      </c>
      <c r="U936">
        <v>612.79999999999995</v>
      </c>
      <c r="V936">
        <v>245.2</v>
      </c>
    </row>
    <row r="937" spans="1:22" x14ac:dyDescent="0.35">
      <c r="A937" t="s">
        <v>2396</v>
      </c>
      <c r="B937" t="s">
        <v>1206</v>
      </c>
      <c r="C937" t="s">
        <v>351</v>
      </c>
      <c r="D937" t="s">
        <v>352</v>
      </c>
      <c r="E937" t="s">
        <v>674</v>
      </c>
      <c r="F937" t="s">
        <v>264</v>
      </c>
      <c r="G937" t="s">
        <v>797</v>
      </c>
      <c r="H937" t="s">
        <v>20</v>
      </c>
      <c r="I937" t="s">
        <v>196</v>
      </c>
      <c r="J937" t="s">
        <v>786</v>
      </c>
      <c r="K937" t="s">
        <v>793</v>
      </c>
      <c r="L937" t="s">
        <v>842</v>
      </c>
      <c r="M937" s="5">
        <v>45399</v>
      </c>
      <c r="O937">
        <v>1</v>
      </c>
      <c r="P937">
        <v>15.78</v>
      </c>
      <c r="Q937">
        <v>19.72</v>
      </c>
      <c r="R937">
        <v>0</v>
      </c>
      <c r="S937">
        <v>19.72</v>
      </c>
      <c r="T937" t="s">
        <v>892</v>
      </c>
      <c r="U937">
        <v>15.78</v>
      </c>
      <c r="V937">
        <v>3.94</v>
      </c>
    </row>
    <row r="938" spans="1:22" x14ac:dyDescent="0.35">
      <c r="A938" t="s">
        <v>2397</v>
      </c>
      <c r="B938" t="s">
        <v>2261</v>
      </c>
      <c r="C938" t="s">
        <v>575</v>
      </c>
      <c r="D938" t="s">
        <v>439</v>
      </c>
      <c r="E938" t="s">
        <v>696</v>
      </c>
      <c r="F938" t="s">
        <v>264</v>
      </c>
      <c r="G938" t="s">
        <v>797</v>
      </c>
      <c r="H938" t="s">
        <v>48</v>
      </c>
      <c r="I938" t="s">
        <v>84</v>
      </c>
      <c r="J938" t="s">
        <v>798</v>
      </c>
      <c r="K938" t="s">
        <v>787</v>
      </c>
      <c r="L938" t="s">
        <v>818</v>
      </c>
      <c r="M938" s="5">
        <v>45749</v>
      </c>
      <c r="O938">
        <v>12</v>
      </c>
      <c r="P938">
        <v>27.52</v>
      </c>
      <c r="Q938">
        <v>34.4</v>
      </c>
      <c r="R938">
        <v>0.05</v>
      </c>
      <c r="S938">
        <v>392.16</v>
      </c>
      <c r="T938" t="s">
        <v>935</v>
      </c>
      <c r="U938">
        <v>330.24</v>
      </c>
      <c r="V938">
        <v>61.92</v>
      </c>
    </row>
    <row r="939" spans="1:22" x14ac:dyDescent="0.35">
      <c r="A939" t="s">
        <v>2398</v>
      </c>
      <c r="B939" t="s">
        <v>1060</v>
      </c>
      <c r="C939" t="s">
        <v>448</v>
      </c>
      <c r="D939" t="s">
        <v>427</v>
      </c>
      <c r="E939" t="s">
        <v>633</v>
      </c>
      <c r="F939" t="s">
        <v>243</v>
      </c>
      <c r="G939" t="s">
        <v>20</v>
      </c>
      <c r="H939" t="s">
        <v>20</v>
      </c>
      <c r="I939" t="s">
        <v>102</v>
      </c>
      <c r="J939" t="s">
        <v>798</v>
      </c>
      <c r="K939" t="s">
        <v>787</v>
      </c>
      <c r="L939" t="s">
        <v>788</v>
      </c>
      <c r="M939" s="5">
        <v>46022</v>
      </c>
      <c r="O939">
        <v>10</v>
      </c>
      <c r="P939">
        <v>19.04</v>
      </c>
      <c r="Q939">
        <v>25.7</v>
      </c>
      <c r="R939">
        <v>0</v>
      </c>
      <c r="S939">
        <v>257</v>
      </c>
      <c r="T939" t="s">
        <v>869</v>
      </c>
      <c r="U939">
        <v>190.4</v>
      </c>
      <c r="V939">
        <v>66.599999999999994</v>
      </c>
    </row>
    <row r="940" spans="1:22" x14ac:dyDescent="0.35">
      <c r="A940" t="s">
        <v>2399</v>
      </c>
      <c r="B940" t="s">
        <v>1321</v>
      </c>
      <c r="C940" t="s">
        <v>483</v>
      </c>
      <c r="D940" t="s">
        <v>484</v>
      </c>
      <c r="E940" t="s">
        <v>627</v>
      </c>
      <c r="F940" t="s">
        <v>264</v>
      </c>
      <c r="G940" t="s">
        <v>797</v>
      </c>
      <c r="H940" t="s">
        <v>20</v>
      </c>
      <c r="I940" t="s">
        <v>39</v>
      </c>
      <c r="J940" t="s">
        <v>798</v>
      </c>
      <c r="K940" t="s">
        <v>793</v>
      </c>
      <c r="L940" t="s">
        <v>842</v>
      </c>
      <c r="M940" s="5">
        <v>45583</v>
      </c>
      <c r="O940">
        <v>1</v>
      </c>
      <c r="P940">
        <v>9.5</v>
      </c>
      <c r="Q940">
        <v>12.83</v>
      </c>
      <c r="R940">
        <v>0.1</v>
      </c>
      <c r="S940">
        <v>11.55</v>
      </c>
      <c r="T940" t="s">
        <v>876</v>
      </c>
      <c r="U940">
        <v>9.5</v>
      </c>
      <c r="V940">
        <v>2.0499999999999998</v>
      </c>
    </row>
    <row r="941" spans="1:22" x14ac:dyDescent="0.35">
      <c r="A941" t="s">
        <v>2400</v>
      </c>
      <c r="B941" t="s">
        <v>953</v>
      </c>
      <c r="C941" t="s">
        <v>366</v>
      </c>
      <c r="D941" t="s">
        <v>245</v>
      </c>
      <c r="E941" t="s">
        <v>254</v>
      </c>
      <c r="F941" t="s">
        <v>243</v>
      </c>
      <c r="G941" t="s">
        <v>20</v>
      </c>
      <c r="H941" t="s">
        <v>20</v>
      </c>
      <c r="I941" t="s">
        <v>51</v>
      </c>
      <c r="J941" t="s">
        <v>786</v>
      </c>
      <c r="K941" t="s">
        <v>799</v>
      </c>
      <c r="L941" t="s">
        <v>800</v>
      </c>
      <c r="M941" s="5">
        <v>45973</v>
      </c>
      <c r="N941" s="5">
        <v>45963</v>
      </c>
      <c r="O941">
        <v>2</v>
      </c>
      <c r="P941">
        <v>11.28</v>
      </c>
      <c r="Q941">
        <v>15.23</v>
      </c>
      <c r="R941">
        <v>0.15</v>
      </c>
      <c r="S941">
        <v>25.89</v>
      </c>
      <c r="T941" t="s">
        <v>876</v>
      </c>
      <c r="U941">
        <v>22.56</v>
      </c>
      <c r="V941">
        <v>3.33</v>
      </c>
    </row>
    <row r="942" spans="1:22" x14ac:dyDescent="0.35">
      <c r="A942" t="s">
        <v>2401</v>
      </c>
      <c r="B942" t="s">
        <v>1136</v>
      </c>
      <c r="C942" t="s">
        <v>370</v>
      </c>
      <c r="D942" t="s">
        <v>371</v>
      </c>
      <c r="E942" t="s">
        <v>696</v>
      </c>
      <c r="F942" t="s">
        <v>264</v>
      </c>
      <c r="G942" t="s">
        <v>797</v>
      </c>
      <c r="H942" t="s">
        <v>38</v>
      </c>
      <c r="I942" t="s">
        <v>172</v>
      </c>
      <c r="J942" t="s">
        <v>786</v>
      </c>
      <c r="K942" t="s">
        <v>817</v>
      </c>
      <c r="L942" t="s">
        <v>788</v>
      </c>
      <c r="M942" s="5">
        <v>45937</v>
      </c>
      <c r="O942">
        <v>12</v>
      </c>
      <c r="P942">
        <v>18.329999999999998</v>
      </c>
      <c r="Q942">
        <v>22.91</v>
      </c>
      <c r="R942">
        <v>0.05</v>
      </c>
      <c r="S942">
        <v>261.17</v>
      </c>
      <c r="T942" t="s">
        <v>814</v>
      </c>
      <c r="U942">
        <v>219.96</v>
      </c>
      <c r="V942">
        <v>41.21</v>
      </c>
    </row>
    <row r="943" spans="1:22" x14ac:dyDescent="0.35">
      <c r="A943" t="s">
        <v>2402</v>
      </c>
      <c r="B943" t="s">
        <v>1420</v>
      </c>
      <c r="C943" t="s">
        <v>238</v>
      </c>
      <c r="D943" t="s">
        <v>239</v>
      </c>
      <c r="E943" t="s">
        <v>627</v>
      </c>
      <c r="F943" t="s">
        <v>243</v>
      </c>
      <c r="G943" t="s">
        <v>797</v>
      </c>
      <c r="H943" t="s">
        <v>79</v>
      </c>
      <c r="I943" t="s">
        <v>166</v>
      </c>
      <c r="J943" t="s">
        <v>813</v>
      </c>
      <c r="K943" t="s">
        <v>793</v>
      </c>
      <c r="L943" t="s">
        <v>800</v>
      </c>
      <c r="M943" s="5">
        <v>45833</v>
      </c>
      <c r="O943">
        <v>2</v>
      </c>
      <c r="P943">
        <v>15.73</v>
      </c>
      <c r="Q943">
        <v>19.66</v>
      </c>
      <c r="R943">
        <v>0.1</v>
      </c>
      <c r="S943">
        <v>35.39</v>
      </c>
      <c r="T943" t="s">
        <v>839</v>
      </c>
      <c r="U943">
        <v>31.46</v>
      </c>
      <c r="V943">
        <v>3.93</v>
      </c>
    </row>
    <row r="944" spans="1:22" x14ac:dyDescent="0.35">
      <c r="A944" t="s">
        <v>2403</v>
      </c>
      <c r="B944" t="s">
        <v>934</v>
      </c>
      <c r="C944" t="s">
        <v>270</v>
      </c>
      <c r="D944" t="s">
        <v>231</v>
      </c>
      <c r="E944" t="s">
        <v>681</v>
      </c>
      <c r="F944" t="s">
        <v>235</v>
      </c>
      <c r="G944" t="s">
        <v>797</v>
      </c>
      <c r="H944" t="s">
        <v>20</v>
      </c>
      <c r="I944" t="s">
        <v>197</v>
      </c>
      <c r="J944" t="s">
        <v>798</v>
      </c>
      <c r="K944" t="s">
        <v>787</v>
      </c>
      <c r="L944" t="s">
        <v>800</v>
      </c>
      <c r="M944" s="5">
        <v>45920</v>
      </c>
      <c r="O944">
        <v>10</v>
      </c>
      <c r="P944">
        <v>22.45</v>
      </c>
      <c r="Q944">
        <v>29.18</v>
      </c>
      <c r="R944">
        <v>0</v>
      </c>
      <c r="S944">
        <v>291.8</v>
      </c>
      <c r="T944" t="s">
        <v>869</v>
      </c>
      <c r="U944">
        <v>224.5</v>
      </c>
      <c r="V944">
        <v>67.3</v>
      </c>
    </row>
    <row r="945" spans="1:22" x14ac:dyDescent="0.35">
      <c r="A945" t="s">
        <v>2404</v>
      </c>
      <c r="B945" t="s">
        <v>1435</v>
      </c>
      <c r="C945" t="s">
        <v>266</v>
      </c>
      <c r="D945" t="s">
        <v>267</v>
      </c>
      <c r="E945" t="s">
        <v>637</v>
      </c>
      <c r="F945" t="s">
        <v>243</v>
      </c>
      <c r="G945" t="s">
        <v>20</v>
      </c>
      <c r="H945" t="s">
        <v>29</v>
      </c>
      <c r="I945" t="s">
        <v>183</v>
      </c>
      <c r="J945" t="s">
        <v>798</v>
      </c>
      <c r="K945" t="s">
        <v>799</v>
      </c>
      <c r="L945" t="s">
        <v>818</v>
      </c>
      <c r="M945" s="5">
        <v>45357</v>
      </c>
      <c r="N945" s="5">
        <v>45358</v>
      </c>
      <c r="O945">
        <v>5</v>
      </c>
      <c r="P945">
        <v>10.97</v>
      </c>
      <c r="Q945">
        <v>15.91</v>
      </c>
      <c r="R945">
        <v>0.05</v>
      </c>
      <c r="S945">
        <v>75.569999999999993</v>
      </c>
      <c r="T945" t="s">
        <v>810</v>
      </c>
      <c r="U945">
        <v>54.85</v>
      </c>
      <c r="V945">
        <v>20.72</v>
      </c>
    </row>
    <row r="946" spans="1:22" x14ac:dyDescent="0.35">
      <c r="A946" t="s">
        <v>2405</v>
      </c>
      <c r="B946" t="s">
        <v>1812</v>
      </c>
      <c r="C946" t="s">
        <v>324</v>
      </c>
      <c r="D946" t="s">
        <v>296</v>
      </c>
      <c r="E946" t="s">
        <v>254</v>
      </c>
      <c r="F946" t="s">
        <v>264</v>
      </c>
      <c r="G946" t="s">
        <v>797</v>
      </c>
      <c r="H946" t="s">
        <v>79</v>
      </c>
      <c r="I946" t="s">
        <v>220</v>
      </c>
      <c r="J946" t="s">
        <v>798</v>
      </c>
      <c r="K946" t="s">
        <v>799</v>
      </c>
      <c r="L946" t="s">
        <v>788</v>
      </c>
      <c r="M946" s="5">
        <v>45962</v>
      </c>
      <c r="N946" s="5">
        <v>45962</v>
      </c>
      <c r="O946">
        <v>2</v>
      </c>
      <c r="P946">
        <v>46</v>
      </c>
      <c r="Q946">
        <v>62.1</v>
      </c>
      <c r="R946">
        <v>0</v>
      </c>
      <c r="S946">
        <v>124.2</v>
      </c>
      <c r="T946" t="s">
        <v>834</v>
      </c>
      <c r="U946">
        <v>92</v>
      </c>
      <c r="V946">
        <v>32.200000000000003</v>
      </c>
    </row>
    <row r="947" spans="1:22" x14ac:dyDescent="0.35">
      <c r="A947" t="s">
        <v>2406</v>
      </c>
      <c r="B947" t="s">
        <v>965</v>
      </c>
      <c r="C947" t="s">
        <v>487</v>
      </c>
      <c r="D947" t="s">
        <v>488</v>
      </c>
      <c r="E947" t="s">
        <v>681</v>
      </c>
      <c r="F947" t="s">
        <v>243</v>
      </c>
      <c r="G947" t="s">
        <v>20</v>
      </c>
      <c r="H947" t="s">
        <v>38</v>
      </c>
      <c r="I947" t="s">
        <v>172</v>
      </c>
      <c r="J947" t="s">
        <v>798</v>
      </c>
      <c r="K947" t="s">
        <v>799</v>
      </c>
      <c r="L947" t="s">
        <v>800</v>
      </c>
      <c r="M947" s="5">
        <v>45421</v>
      </c>
      <c r="N947" s="5">
        <v>45424</v>
      </c>
      <c r="O947">
        <v>12</v>
      </c>
      <c r="P947">
        <v>18.329999999999998</v>
      </c>
      <c r="Q947">
        <v>22.91</v>
      </c>
      <c r="R947">
        <v>0</v>
      </c>
      <c r="S947">
        <v>274.92</v>
      </c>
      <c r="T947" t="s">
        <v>869</v>
      </c>
      <c r="U947">
        <v>219.96</v>
      </c>
      <c r="V947">
        <v>54.96</v>
      </c>
    </row>
    <row r="948" spans="1:22" x14ac:dyDescent="0.35">
      <c r="A948" t="s">
        <v>2408</v>
      </c>
      <c r="B948" t="s">
        <v>976</v>
      </c>
      <c r="C948" t="s">
        <v>438</v>
      </c>
      <c r="D948" t="s">
        <v>439</v>
      </c>
      <c r="E948" t="s">
        <v>637</v>
      </c>
      <c r="F948" t="s">
        <v>264</v>
      </c>
      <c r="G948" t="s">
        <v>14</v>
      </c>
      <c r="H948" t="s">
        <v>38</v>
      </c>
      <c r="I948" t="s">
        <v>36</v>
      </c>
      <c r="J948" t="s">
        <v>786</v>
      </c>
      <c r="K948" t="s">
        <v>822</v>
      </c>
      <c r="L948" t="s">
        <v>788</v>
      </c>
      <c r="M948" s="5">
        <v>46061</v>
      </c>
      <c r="N948" s="5">
        <v>46056</v>
      </c>
      <c r="O948">
        <v>3</v>
      </c>
      <c r="P948">
        <v>8.57</v>
      </c>
      <c r="Q948">
        <v>11.14</v>
      </c>
      <c r="R948">
        <v>0.1</v>
      </c>
      <c r="S948">
        <v>30.08</v>
      </c>
      <c r="T948" t="s">
        <v>814</v>
      </c>
      <c r="U948">
        <v>25.71</v>
      </c>
      <c r="V948">
        <v>4.37</v>
      </c>
    </row>
    <row r="949" spans="1:22" x14ac:dyDescent="0.35">
      <c r="A949" t="s">
        <v>2409</v>
      </c>
      <c r="B949" t="s">
        <v>2090</v>
      </c>
      <c r="C949" t="s">
        <v>474</v>
      </c>
      <c r="D949" t="s">
        <v>330</v>
      </c>
      <c r="E949" t="s">
        <v>637</v>
      </c>
      <c r="F949" t="s">
        <v>235</v>
      </c>
      <c r="G949" t="s">
        <v>14</v>
      </c>
      <c r="H949" t="s">
        <v>43</v>
      </c>
      <c r="I949" t="s">
        <v>200</v>
      </c>
      <c r="J949" t="s">
        <v>813</v>
      </c>
      <c r="K949" t="s">
        <v>793</v>
      </c>
      <c r="L949" t="s">
        <v>788</v>
      </c>
      <c r="M949" s="5">
        <v>45309</v>
      </c>
      <c r="O949">
        <v>12</v>
      </c>
      <c r="P949">
        <v>69.23</v>
      </c>
      <c r="Q949">
        <v>86.54</v>
      </c>
      <c r="R949">
        <v>0.15</v>
      </c>
      <c r="S949">
        <v>882.71</v>
      </c>
      <c r="T949" t="s">
        <v>1017</v>
      </c>
      <c r="U949">
        <v>830.76</v>
      </c>
      <c r="V949">
        <v>51.95</v>
      </c>
    </row>
    <row r="950" spans="1:22" x14ac:dyDescent="0.35">
      <c r="A950" t="s">
        <v>2410</v>
      </c>
      <c r="B950" t="s">
        <v>1647</v>
      </c>
      <c r="C950" t="s">
        <v>487</v>
      </c>
      <c r="D950" t="s">
        <v>488</v>
      </c>
      <c r="E950" t="s">
        <v>254</v>
      </c>
      <c r="F950" t="s">
        <v>243</v>
      </c>
      <c r="G950" t="s">
        <v>797</v>
      </c>
      <c r="H950" t="s">
        <v>38</v>
      </c>
      <c r="I950" t="s">
        <v>172</v>
      </c>
      <c r="J950" t="s">
        <v>813</v>
      </c>
      <c r="K950" t="s">
        <v>799</v>
      </c>
      <c r="L950" t="s">
        <v>788</v>
      </c>
      <c r="M950" s="5">
        <v>45380</v>
      </c>
      <c r="N950" s="5">
        <v>45382</v>
      </c>
      <c r="O950">
        <v>5</v>
      </c>
      <c r="P950">
        <v>18.329999999999998</v>
      </c>
      <c r="Q950">
        <v>22.91</v>
      </c>
      <c r="R950">
        <v>0.15</v>
      </c>
      <c r="S950">
        <v>97.37</v>
      </c>
      <c r="T950" t="s">
        <v>839</v>
      </c>
      <c r="U950">
        <v>91.65</v>
      </c>
      <c r="V950">
        <v>5.72</v>
      </c>
    </row>
    <row r="951" spans="1:22" x14ac:dyDescent="0.35">
      <c r="A951" t="s">
        <v>2411</v>
      </c>
      <c r="B951" t="s">
        <v>1897</v>
      </c>
      <c r="C951" t="s">
        <v>446</v>
      </c>
      <c r="D951" t="s">
        <v>447</v>
      </c>
      <c r="E951" t="s">
        <v>254</v>
      </c>
      <c r="F951" t="s">
        <v>243</v>
      </c>
      <c r="G951" t="s">
        <v>797</v>
      </c>
      <c r="H951" t="s">
        <v>8</v>
      </c>
      <c r="I951" t="s">
        <v>23</v>
      </c>
      <c r="J951" t="s">
        <v>798</v>
      </c>
      <c r="K951" t="s">
        <v>799</v>
      </c>
      <c r="L951" t="s">
        <v>818</v>
      </c>
      <c r="M951" s="5">
        <v>45579</v>
      </c>
      <c r="N951" s="5">
        <v>45574</v>
      </c>
      <c r="O951">
        <v>12</v>
      </c>
      <c r="P951">
        <v>58.47</v>
      </c>
      <c r="Q951">
        <v>84.78</v>
      </c>
      <c r="R951">
        <v>0</v>
      </c>
      <c r="S951">
        <v>1017.36</v>
      </c>
      <c r="T951" t="s">
        <v>919</v>
      </c>
      <c r="U951">
        <v>701.64</v>
      </c>
      <c r="V951">
        <v>315.72000000000003</v>
      </c>
    </row>
    <row r="952" spans="1:22" x14ac:dyDescent="0.35">
      <c r="A952" t="s">
        <v>2412</v>
      </c>
      <c r="B952" t="s">
        <v>2130</v>
      </c>
      <c r="C952" t="s">
        <v>369</v>
      </c>
      <c r="D952" t="s">
        <v>282</v>
      </c>
      <c r="E952" t="s">
        <v>633</v>
      </c>
      <c r="F952" t="s">
        <v>243</v>
      </c>
      <c r="G952" t="s">
        <v>14</v>
      </c>
      <c r="H952" t="s">
        <v>14</v>
      </c>
      <c r="I952" t="s">
        <v>214</v>
      </c>
      <c r="J952" t="s">
        <v>786</v>
      </c>
      <c r="K952" t="s">
        <v>799</v>
      </c>
      <c r="L952" t="s">
        <v>842</v>
      </c>
      <c r="M952" s="5">
        <v>45492</v>
      </c>
      <c r="N952" s="5">
        <v>45484</v>
      </c>
      <c r="O952">
        <v>20</v>
      </c>
      <c r="P952">
        <v>22.07</v>
      </c>
      <c r="Q952">
        <v>27.59</v>
      </c>
      <c r="R952">
        <v>0</v>
      </c>
      <c r="S952">
        <v>551.79999999999995</v>
      </c>
      <c r="T952" t="s">
        <v>869</v>
      </c>
      <c r="U952">
        <v>441.4</v>
      </c>
      <c r="V952">
        <v>110.4</v>
      </c>
    </row>
    <row r="953" spans="1:22" x14ac:dyDescent="0.35">
      <c r="A953" t="s">
        <v>2413</v>
      </c>
      <c r="B953" t="s">
        <v>1204</v>
      </c>
      <c r="C953" t="s">
        <v>596</v>
      </c>
      <c r="D953" t="s">
        <v>443</v>
      </c>
      <c r="E953" t="s">
        <v>674</v>
      </c>
      <c r="F953" t="s">
        <v>264</v>
      </c>
      <c r="G953" t="s">
        <v>797</v>
      </c>
      <c r="H953" t="s">
        <v>29</v>
      </c>
      <c r="I953" t="s">
        <v>154</v>
      </c>
      <c r="J953" t="s">
        <v>798</v>
      </c>
      <c r="K953" t="s">
        <v>822</v>
      </c>
      <c r="L953" t="s">
        <v>788</v>
      </c>
      <c r="M953" s="5">
        <v>45770</v>
      </c>
      <c r="N953" s="5">
        <v>45768</v>
      </c>
      <c r="O953">
        <v>1</v>
      </c>
      <c r="P953">
        <v>25.74</v>
      </c>
      <c r="Q953">
        <v>33.46</v>
      </c>
      <c r="R953">
        <v>0.15</v>
      </c>
      <c r="S953">
        <v>28.44</v>
      </c>
      <c r="T953" t="s">
        <v>888</v>
      </c>
      <c r="U953">
        <v>25.74</v>
      </c>
      <c r="V953">
        <v>2.7</v>
      </c>
    </row>
    <row r="954" spans="1:22" x14ac:dyDescent="0.35">
      <c r="A954" t="s">
        <v>2414</v>
      </c>
      <c r="B954" t="s">
        <v>2415</v>
      </c>
      <c r="C954" t="s">
        <v>589</v>
      </c>
      <c r="D954" t="s">
        <v>484</v>
      </c>
      <c r="E954" t="s">
        <v>633</v>
      </c>
      <c r="F954" t="s">
        <v>264</v>
      </c>
      <c r="G954" t="s">
        <v>797</v>
      </c>
      <c r="H954" t="s">
        <v>29</v>
      </c>
      <c r="I954" t="s">
        <v>86</v>
      </c>
      <c r="J954" t="s">
        <v>813</v>
      </c>
      <c r="K954" t="s">
        <v>793</v>
      </c>
      <c r="L954" t="s">
        <v>788</v>
      </c>
      <c r="M954" s="5">
        <v>45349</v>
      </c>
      <c r="O954">
        <v>10</v>
      </c>
      <c r="P954">
        <v>8.35</v>
      </c>
      <c r="Q954">
        <v>12.11</v>
      </c>
      <c r="R954">
        <v>0</v>
      </c>
      <c r="S954">
        <v>121.1</v>
      </c>
      <c r="T954" t="s">
        <v>1017</v>
      </c>
      <c r="U954">
        <v>83.5</v>
      </c>
      <c r="V954">
        <v>37.6</v>
      </c>
    </row>
    <row r="955" spans="1:22" x14ac:dyDescent="0.35">
      <c r="A955" t="s">
        <v>2416</v>
      </c>
      <c r="B955" t="s">
        <v>1144</v>
      </c>
      <c r="C955" t="s">
        <v>421</v>
      </c>
      <c r="D955" t="s">
        <v>422</v>
      </c>
      <c r="E955" t="s">
        <v>633</v>
      </c>
      <c r="F955" t="s">
        <v>235</v>
      </c>
      <c r="G955" t="s">
        <v>14</v>
      </c>
      <c r="H955" t="s">
        <v>8</v>
      </c>
      <c r="I955" t="s">
        <v>212</v>
      </c>
      <c r="J955" t="s">
        <v>798</v>
      </c>
      <c r="K955" t="s">
        <v>799</v>
      </c>
      <c r="L955" t="s">
        <v>800</v>
      </c>
      <c r="M955" s="5">
        <v>45503</v>
      </c>
      <c r="N955" s="5">
        <v>45505</v>
      </c>
      <c r="O955">
        <v>12</v>
      </c>
      <c r="P955">
        <v>95.09</v>
      </c>
      <c r="Q955">
        <v>133.13</v>
      </c>
      <c r="R955">
        <v>0</v>
      </c>
      <c r="S955">
        <v>1597.56</v>
      </c>
      <c r="T955" t="s">
        <v>869</v>
      </c>
      <c r="U955">
        <v>1141.08</v>
      </c>
      <c r="V955">
        <v>456.48</v>
      </c>
    </row>
    <row r="956" spans="1:22" x14ac:dyDescent="0.35">
      <c r="A956" t="s">
        <v>2417</v>
      </c>
      <c r="B956" t="s">
        <v>1530</v>
      </c>
      <c r="C956" t="s">
        <v>582</v>
      </c>
      <c r="D956" t="s">
        <v>583</v>
      </c>
      <c r="E956" t="s">
        <v>637</v>
      </c>
      <c r="F956" t="s">
        <v>264</v>
      </c>
      <c r="G956" t="s">
        <v>797</v>
      </c>
      <c r="H956" t="s">
        <v>43</v>
      </c>
      <c r="I956" t="s">
        <v>141</v>
      </c>
      <c r="J956" t="s">
        <v>786</v>
      </c>
      <c r="K956" t="s">
        <v>799</v>
      </c>
      <c r="L956" t="s">
        <v>788</v>
      </c>
      <c r="M956" s="5">
        <v>45766</v>
      </c>
      <c r="N956" s="5">
        <v>45756</v>
      </c>
      <c r="O956">
        <v>12</v>
      </c>
      <c r="P956">
        <v>17.2</v>
      </c>
      <c r="Q956">
        <v>22.36</v>
      </c>
      <c r="R956">
        <v>0.1</v>
      </c>
      <c r="S956">
        <v>241.49</v>
      </c>
      <c r="T956" t="s">
        <v>803</v>
      </c>
      <c r="U956">
        <v>206.4</v>
      </c>
      <c r="V956">
        <v>35.090000000000003</v>
      </c>
    </row>
    <row r="957" spans="1:22" x14ac:dyDescent="0.35">
      <c r="A957" t="s">
        <v>2418</v>
      </c>
      <c r="B957" t="s">
        <v>1061</v>
      </c>
      <c r="C957" t="s">
        <v>444</v>
      </c>
      <c r="D957" t="s">
        <v>445</v>
      </c>
      <c r="E957" t="s">
        <v>681</v>
      </c>
      <c r="F957" t="s">
        <v>264</v>
      </c>
      <c r="G957" t="s">
        <v>20</v>
      </c>
      <c r="H957" t="s">
        <v>43</v>
      </c>
      <c r="I957" t="s">
        <v>58</v>
      </c>
      <c r="J957" t="s">
        <v>786</v>
      </c>
      <c r="K957" t="s">
        <v>793</v>
      </c>
      <c r="L957" t="s">
        <v>800</v>
      </c>
      <c r="M957" s="5">
        <v>46025</v>
      </c>
      <c r="O957">
        <v>12</v>
      </c>
      <c r="P957">
        <v>11.21</v>
      </c>
      <c r="Q957">
        <v>15.13</v>
      </c>
      <c r="R957">
        <v>0</v>
      </c>
      <c r="S957">
        <v>181.56</v>
      </c>
      <c r="T957" t="s">
        <v>892</v>
      </c>
      <c r="U957">
        <v>134.52000000000001</v>
      </c>
      <c r="V957">
        <v>47.04</v>
      </c>
    </row>
    <row r="958" spans="1:22" x14ac:dyDescent="0.35">
      <c r="A958" t="s">
        <v>2419</v>
      </c>
      <c r="B958" t="s">
        <v>1107</v>
      </c>
      <c r="C958" t="s">
        <v>384</v>
      </c>
      <c r="D958" t="s">
        <v>385</v>
      </c>
      <c r="E958" t="s">
        <v>696</v>
      </c>
      <c r="F958" t="s">
        <v>264</v>
      </c>
      <c r="G958" t="s">
        <v>797</v>
      </c>
      <c r="H958" t="s">
        <v>48</v>
      </c>
      <c r="I958" t="s">
        <v>217</v>
      </c>
      <c r="J958" t="s">
        <v>786</v>
      </c>
      <c r="K958" t="s">
        <v>799</v>
      </c>
      <c r="L958" t="s">
        <v>788</v>
      </c>
      <c r="M958" s="5">
        <v>45521</v>
      </c>
      <c r="N958" s="5">
        <v>45515</v>
      </c>
      <c r="O958">
        <v>1</v>
      </c>
      <c r="P958">
        <v>24.07</v>
      </c>
      <c r="Q958">
        <v>34.9</v>
      </c>
      <c r="R958">
        <v>0.05</v>
      </c>
      <c r="S958">
        <v>33.15</v>
      </c>
      <c r="T958" t="s">
        <v>888</v>
      </c>
      <c r="U958">
        <v>24.07</v>
      </c>
      <c r="V958">
        <v>9.08</v>
      </c>
    </row>
    <row r="959" spans="1:22" x14ac:dyDescent="0.35">
      <c r="A959" t="s">
        <v>2420</v>
      </c>
      <c r="B959" t="s">
        <v>1223</v>
      </c>
      <c r="C959" t="s">
        <v>455</v>
      </c>
      <c r="D959" t="s">
        <v>456</v>
      </c>
      <c r="E959" t="s">
        <v>627</v>
      </c>
      <c r="F959" t="s">
        <v>264</v>
      </c>
      <c r="G959" t="s">
        <v>797</v>
      </c>
      <c r="H959" t="s">
        <v>43</v>
      </c>
      <c r="I959" t="s">
        <v>53</v>
      </c>
      <c r="J959" t="s">
        <v>798</v>
      </c>
      <c r="K959" t="s">
        <v>787</v>
      </c>
      <c r="L959" t="s">
        <v>842</v>
      </c>
      <c r="M959" s="5">
        <v>45899</v>
      </c>
      <c r="O959">
        <v>10</v>
      </c>
      <c r="P959">
        <v>54.93</v>
      </c>
      <c r="Q959">
        <v>79.650000000000006</v>
      </c>
      <c r="R959">
        <v>0.15</v>
      </c>
      <c r="S959">
        <v>677.02</v>
      </c>
      <c r="T959" t="s">
        <v>814</v>
      </c>
      <c r="U959">
        <v>549.29999999999995</v>
      </c>
      <c r="V959">
        <v>127.72</v>
      </c>
    </row>
    <row r="960" spans="1:22" x14ac:dyDescent="0.35">
      <c r="A960" t="s">
        <v>2421</v>
      </c>
      <c r="B960" t="s">
        <v>1871</v>
      </c>
      <c r="C960" t="s">
        <v>475</v>
      </c>
      <c r="D960" t="s">
        <v>476</v>
      </c>
      <c r="E960" t="s">
        <v>696</v>
      </c>
      <c r="F960" t="s">
        <v>243</v>
      </c>
      <c r="G960" t="s">
        <v>797</v>
      </c>
      <c r="H960" t="s">
        <v>29</v>
      </c>
      <c r="I960" t="s">
        <v>32</v>
      </c>
      <c r="J960" t="s">
        <v>798</v>
      </c>
      <c r="K960" t="s">
        <v>787</v>
      </c>
      <c r="L960" t="s">
        <v>800</v>
      </c>
      <c r="M960" s="5">
        <v>45307</v>
      </c>
      <c r="O960">
        <v>1</v>
      </c>
      <c r="P960">
        <v>18.989999999999998</v>
      </c>
      <c r="Q960">
        <v>25.64</v>
      </c>
      <c r="R960">
        <v>0</v>
      </c>
      <c r="S960">
        <v>25.64</v>
      </c>
      <c r="T960" t="s">
        <v>810</v>
      </c>
      <c r="U960">
        <v>18.989999999999998</v>
      </c>
      <c r="V960">
        <v>6.65</v>
      </c>
    </row>
    <row r="961" spans="1:22" x14ac:dyDescent="0.35">
      <c r="A961" t="s">
        <v>2422</v>
      </c>
      <c r="B961" t="s">
        <v>1416</v>
      </c>
      <c r="C961" t="s">
        <v>369</v>
      </c>
      <c r="D961" t="s">
        <v>282</v>
      </c>
      <c r="E961" t="s">
        <v>637</v>
      </c>
      <c r="F961" t="s">
        <v>243</v>
      </c>
      <c r="G961" t="s">
        <v>797</v>
      </c>
      <c r="H961" t="s">
        <v>48</v>
      </c>
      <c r="I961" t="s">
        <v>202</v>
      </c>
      <c r="J961" t="s">
        <v>786</v>
      </c>
      <c r="K961" t="s">
        <v>799</v>
      </c>
      <c r="L961" t="s">
        <v>818</v>
      </c>
      <c r="M961" s="5">
        <v>45784</v>
      </c>
      <c r="N961" s="5">
        <v>45778</v>
      </c>
      <c r="O961">
        <v>5</v>
      </c>
      <c r="P961">
        <v>27</v>
      </c>
      <c r="Q961">
        <v>39.15</v>
      </c>
      <c r="R961">
        <v>0.15</v>
      </c>
      <c r="S961">
        <v>166.39</v>
      </c>
      <c r="T961" t="s">
        <v>935</v>
      </c>
      <c r="U961">
        <v>135</v>
      </c>
      <c r="V961">
        <v>31.39</v>
      </c>
    </row>
    <row r="962" spans="1:22" x14ac:dyDescent="0.35">
      <c r="A962" t="s">
        <v>2423</v>
      </c>
      <c r="B962" t="s">
        <v>1783</v>
      </c>
      <c r="C962" t="s">
        <v>596</v>
      </c>
      <c r="D962" t="s">
        <v>443</v>
      </c>
      <c r="E962" t="s">
        <v>633</v>
      </c>
      <c r="F962" t="s">
        <v>264</v>
      </c>
      <c r="G962" t="s">
        <v>14</v>
      </c>
      <c r="H962" t="s">
        <v>38</v>
      </c>
      <c r="I962" t="s">
        <v>36</v>
      </c>
      <c r="J962" t="s">
        <v>798</v>
      </c>
      <c r="K962" t="s">
        <v>793</v>
      </c>
      <c r="L962" t="s">
        <v>842</v>
      </c>
      <c r="M962" s="5">
        <v>45548</v>
      </c>
      <c r="O962">
        <v>3</v>
      </c>
      <c r="P962">
        <v>8.57</v>
      </c>
      <c r="Q962">
        <v>11.14</v>
      </c>
      <c r="R962">
        <v>0</v>
      </c>
      <c r="S962">
        <v>33.42</v>
      </c>
      <c r="T962" t="s">
        <v>892</v>
      </c>
      <c r="U962">
        <v>25.71</v>
      </c>
      <c r="V962">
        <v>7.71</v>
      </c>
    </row>
    <row r="963" spans="1:22" x14ac:dyDescent="0.35">
      <c r="A963" t="s">
        <v>2424</v>
      </c>
      <c r="B963" t="s">
        <v>1340</v>
      </c>
      <c r="C963" t="s">
        <v>479</v>
      </c>
      <c r="D963" t="s">
        <v>480</v>
      </c>
      <c r="E963" t="s">
        <v>637</v>
      </c>
      <c r="F963" t="s">
        <v>243</v>
      </c>
      <c r="G963" t="s">
        <v>797</v>
      </c>
      <c r="H963" t="s">
        <v>29</v>
      </c>
      <c r="I963" t="s">
        <v>106</v>
      </c>
      <c r="J963" t="s">
        <v>798</v>
      </c>
      <c r="K963" t="s">
        <v>799</v>
      </c>
      <c r="L963" t="s">
        <v>788</v>
      </c>
      <c r="M963" s="5">
        <v>45409</v>
      </c>
      <c r="N963" s="5">
        <v>45407</v>
      </c>
      <c r="O963">
        <v>12</v>
      </c>
      <c r="P963">
        <v>29.64</v>
      </c>
      <c r="Q963">
        <v>41.5</v>
      </c>
      <c r="R963">
        <v>0.1</v>
      </c>
      <c r="S963">
        <v>448.2</v>
      </c>
      <c r="T963" t="s">
        <v>810</v>
      </c>
      <c r="U963">
        <v>355.68</v>
      </c>
      <c r="V963">
        <v>92.52</v>
      </c>
    </row>
    <row r="964" spans="1:22" x14ac:dyDescent="0.35">
      <c r="A964" t="s">
        <v>2425</v>
      </c>
      <c r="B964" t="s">
        <v>990</v>
      </c>
      <c r="C964" t="s">
        <v>374</v>
      </c>
      <c r="D964" t="s">
        <v>375</v>
      </c>
      <c r="E964" t="s">
        <v>627</v>
      </c>
      <c r="F964" t="s">
        <v>264</v>
      </c>
      <c r="G964" t="s">
        <v>20</v>
      </c>
      <c r="H964" t="s">
        <v>20</v>
      </c>
      <c r="I964" t="s">
        <v>97</v>
      </c>
      <c r="J964" t="s">
        <v>813</v>
      </c>
      <c r="K964" t="s">
        <v>793</v>
      </c>
      <c r="L964" t="s">
        <v>842</v>
      </c>
      <c r="M964" s="5">
        <v>45906</v>
      </c>
      <c r="O964">
        <v>1</v>
      </c>
      <c r="P964">
        <v>20.79</v>
      </c>
      <c r="Q964">
        <v>28.07</v>
      </c>
      <c r="R964">
        <v>0</v>
      </c>
      <c r="S964">
        <v>28.07</v>
      </c>
      <c r="T964" t="s">
        <v>859</v>
      </c>
      <c r="U964">
        <v>20.79</v>
      </c>
      <c r="V964">
        <v>7.28</v>
      </c>
    </row>
    <row r="965" spans="1:22" x14ac:dyDescent="0.35">
      <c r="A965" t="s">
        <v>2426</v>
      </c>
      <c r="B965" t="s">
        <v>1510</v>
      </c>
      <c r="C965" t="s">
        <v>494</v>
      </c>
      <c r="D965" t="s">
        <v>396</v>
      </c>
      <c r="E965" t="s">
        <v>696</v>
      </c>
      <c r="F965" t="s">
        <v>243</v>
      </c>
      <c r="G965" t="s">
        <v>797</v>
      </c>
      <c r="H965" t="s">
        <v>79</v>
      </c>
      <c r="I965" t="s">
        <v>124</v>
      </c>
      <c r="J965" t="s">
        <v>813</v>
      </c>
      <c r="K965" t="s">
        <v>787</v>
      </c>
      <c r="L965" t="s">
        <v>788</v>
      </c>
      <c r="M965" s="5">
        <v>45439</v>
      </c>
      <c r="O965">
        <v>1</v>
      </c>
      <c r="P965">
        <v>29.44</v>
      </c>
      <c r="Q965">
        <v>41.22</v>
      </c>
      <c r="R965">
        <v>0</v>
      </c>
      <c r="S965">
        <v>41.22</v>
      </c>
      <c r="T965" t="s">
        <v>859</v>
      </c>
      <c r="U965">
        <v>29.44</v>
      </c>
      <c r="V965">
        <v>11.78</v>
      </c>
    </row>
    <row r="966" spans="1:22" x14ac:dyDescent="0.35">
      <c r="A966" t="s">
        <v>2427</v>
      </c>
      <c r="B966" t="s">
        <v>1580</v>
      </c>
      <c r="C966" t="s">
        <v>395</v>
      </c>
      <c r="D966" t="s">
        <v>396</v>
      </c>
      <c r="E966" t="s">
        <v>637</v>
      </c>
      <c r="F966" t="s">
        <v>264</v>
      </c>
      <c r="G966" t="s">
        <v>797</v>
      </c>
      <c r="H966" t="s">
        <v>14</v>
      </c>
      <c r="I966" t="s">
        <v>60</v>
      </c>
      <c r="J966" t="s">
        <v>813</v>
      </c>
      <c r="K966" t="s">
        <v>793</v>
      </c>
      <c r="L966" t="s">
        <v>800</v>
      </c>
      <c r="M966" s="5">
        <v>45377</v>
      </c>
      <c r="O966">
        <v>10</v>
      </c>
      <c r="P966">
        <v>18.18</v>
      </c>
      <c r="Q966">
        <v>24.54</v>
      </c>
      <c r="R966">
        <v>0</v>
      </c>
      <c r="S966">
        <v>245.4</v>
      </c>
      <c r="T966" t="s">
        <v>819</v>
      </c>
      <c r="U966">
        <v>181.8</v>
      </c>
      <c r="V966">
        <v>63.6</v>
      </c>
    </row>
    <row r="967" spans="1:22" x14ac:dyDescent="0.35">
      <c r="A967" t="s">
        <v>2428</v>
      </c>
      <c r="B967" t="s">
        <v>1154</v>
      </c>
      <c r="C967" t="s">
        <v>322</v>
      </c>
      <c r="D967" t="s">
        <v>245</v>
      </c>
      <c r="E967" t="s">
        <v>696</v>
      </c>
      <c r="F967" t="s">
        <v>243</v>
      </c>
      <c r="G967" t="s">
        <v>14</v>
      </c>
      <c r="H967" t="s">
        <v>38</v>
      </c>
      <c r="I967" t="s">
        <v>132</v>
      </c>
      <c r="J967" t="s">
        <v>798</v>
      </c>
      <c r="K967" t="s">
        <v>793</v>
      </c>
      <c r="L967" t="s">
        <v>818</v>
      </c>
      <c r="M967" s="5">
        <v>45462</v>
      </c>
      <c r="O967">
        <v>5</v>
      </c>
      <c r="P967">
        <v>12.71</v>
      </c>
      <c r="Q967">
        <v>17.79</v>
      </c>
      <c r="R967">
        <v>0.15</v>
      </c>
      <c r="S967">
        <v>75.61</v>
      </c>
      <c r="T967" t="s">
        <v>935</v>
      </c>
      <c r="U967">
        <v>63.55</v>
      </c>
      <c r="V967">
        <v>12.06</v>
      </c>
    </row>
    <row r="968" spans="1:22" x14ac:dyDescent="0.35">
      <c r="A968" t="s">
        <v>2429</v>
      </c>
      <c r="B968" t="s">
        <v>961</v>
      </c>
      <c r="C968" t="s">
        <v>611</v>
      </c>
      <c r="D968" t="s">
        <v>287</v>
      </c>
      <c r="E968" t="s">
        <v>254</v>
      </c>
      <c r="F968" t="s">
        <v>235</v>
      </c>
      <c r="G968" t="s">
        <v>797</v>
      </c>
      <c r="H968" t="s">
        <v>8</v>
      </c>
      <c r="I968" t="s">
        <v>101</v>
      </c>
      <c r="J968" t="s">
        <v>798</v>
      </c>
      <c r="K968" t="s">
        <v>822</v>
      </c>
      <c r="L968" t="s">
        <v>818</v>
      </c>
      <c r="M968" s="5">
        <v>45773</v>
      </c>
      <c r="N968" s="5">
        <v>45773</v>
      </c>
      <c r="O968">
        <v>5</v>
      </c>
      <c r="P968">
        <v>16.510000000000002</v>
      </c>
      <c r="Q968">
        <v>23.94</v>
      </c>
      <c r="R968">
        <v>0</v>
      </c>
      <c r="S968">
        <v>119.7</v>
      </c>
      <c r="T968" t="s">
        <v>859</v>
      </c>
      <c r="U968">
        <v>82.55</v>
      </c>
      <c r="V968">
        <v>37.15</v>
      </c>
    </row>
    <row r="969" spans="1:22" x14ac:dyDescent="0.35">
      <c r="A969" t="s">
        <v>2430</v>
      </c>
      <c r="B969" t="s">
        <v>990</v>
      </c>
      <c r="C969" t="s">
        <v>525</v>
      </c>
      <c r="D969" t="s">
        <v>526</v>
      </c>
      <c r="E969" t="s">
        <v>254</v>
      </c>
      <c r="F969" t="s">
        <v>243</v>
      </c>
      <c r="G969" t="s">
        <v>797</v>
      </c>
      <c r="H969" t="s">
        <v>38</v>
      </c>
      <c r="I969" t="s">
        <v>117</v>
      </c>
      <c r="J969" t="s">
        <v>798</v>
      </c>
      <c r="K969" t="s">
        <v>817</v>
      </c>
      <c r="L969" t="s">
        <v>842</v>
      </c>
      <c r="M969" s="5">
        <v>45910</v>
      </c>
      <c r="O969">
        <v>5</v>
      </c>
      <c r="P969">
        <v>43.25</v>
      </c>
      <c r="Q969">
        <v>60.55</v>
      </c>
      <c r="R969">
        <v>0</v>
      </c>
      <c r="S969">
        <v>302.75</v>
      </c>
      <c r="T969" t="s">
        <v>946</v>
      </c>
      <c r="U969">
        <v>216.25</v>
      </c>
      <c r="V969">
        <v>86.5</v>
      </c>
    </row>
    <row r="970" spans="1:22" x14ac:dyDescent="0.35">
      <c r="A970" t="s">
        <v>2431</v>
      </c>
      <c r="B970" t="s">
        <v>828</v>
      </c>
      <c r="C970" t="s">
        <v>453</v>
      </c>
      <c r="D970" t="s">
        <v>454</v>
      </c>
      <c r="E970" t="s">
        <v>633</v>
      </c>
      <c r="F970" t="s">
        <v>235</v>
      </c>
      <c r="G970" t="s">
        <v>797</v>
      </c>
      <c r="H970" t="s">
        <v>14</v>
      </c>
      <c r="I970" t="s">
        <v>12</v>
      </c>
      <c r="J970" t="s">
        <v>786</v>
      </c>
      <c r="K970" t="s">
        <v>799</v>
      </c>
      <c r="L970" t="s">
        <v>818</v>
      </c>
      <c r="M970" s="5">
        <v>45488</v>
      </c>
      <c r="N970" s="5">
        <v>45478</v>
      </c>
      <c r="O970">
        <v>1</v>
      </c>
      <c r="P970">
        <v>35.03</v>
      </c>
      <c r="Q970">
        <v>50.79</v>
      </c>
      <c r="R970">
        <v>0</v>
      </c>
      <c r="S970">
        <v>50.79</v>
      </c>
      <c r="T970" t="s">
        <v>869</v>
      </c>
      <c r="U970">
        <v>35.03</v>
      </c>
      <c r="V970">
        <v>15.76</v>
      </c>
    </row>
    <row r="971" spans="1:22" x14ac:dyDescent="0.35">
      <c r="A971" t="s">
        <v>2432</v>
      </c>
      <c r="B971" t="s">
        <v>2213</v>
      </c>
      <c r="C971" t="s">
        <v>370</v>
      </c>
      <c r="D971" t="s">
        <v>371</v>
      </c>
      <c r="E971" t="s">
        <v>254</v>
      </c>
      <c r="F971" t="s">
        <v>264</v>
      </c>
      <c r="G971" t="s">
        <v>797</v>
      </c>
      <c r="H971" t="s">
        <v>48</v>
      </c>
      <c r="I971" t="s">
        <v>61</v>
      </c>
      <c r="J971" t="s">
        <v>798</v>
      </c>
      <c r="K971" t="s">
        <v>793</v>
      </c>
      <c r="L971" t="s">
        <v>788</v>
      </c>
      <c r="M971" s="5">
        <v>45440</v>
      </c>
      <c r="O971">
        <v>2</v>
      </c>
      <c r="P971">
        <v>26.08</v>
      </c>
      <c r="Q971">
        <v>35.21</v>
      </c>
      <c r="R971">
        <v>0.05</v>
      </c>
      <c r="S971">
        <v>66.900000000000006</v>
      </c>
      <c r="T971" t="s">
        <v>888</v>
      </c>
      <c r="U971">
        <v>52.16</v>
      </c>
      <c r="V971">
        <v>14.74</v>
      </c>
    </row>
    <row r="972" spans="1:22" x14ac:dyDescent="0.35">
      <c r="A972" t="s">
        <v>2433</v>
      </c>
      <c r="B972" t="s">
        <v>1447</v>
      </c>
      <c r="C972" t="s">
        <v>463</v>
      </c>
      <c r="D972" t="s">
        <v>464</v>
      </c>
      <c r="E972" t="s">
        <v>681</v>
      </c>
      <c r="F972" t="s">
        <v>264</v>
      </c>
      <c r="G972" t="s">
        <v>20</v>
      </c>
      <c r="H972" t="s">
        <v>20</v>
      </c>
      <c r="I972" t="s">
        <v>97</v>
      </c>
      <c r="J972" t="s">
        <v>813</v>
      </c>
      <c r="K972" t="s">
        <v>822</v>
      </c>
      <c r="L972" t="s">
        <v>818</v>
      </c>
      <c r="M972" s="5">
        <v>45586</v>
      </c>
      <c r="N972" s="5">
        <v>45590</v>
      </c>
      <c r="O972">
        <v>3</v>
      </c>
      <c r="P972">
        <v>20.79</v>
      </c>
      <c r="Q972">
        <v>28.07</v>
      </c>
      <c r="R972">
        <v>0</v>
      </c>
      <c r="S972">
        <v>84.21</v>
      </c>
      <c r="T972" t="s">
        <v>810</v>
      </c>
      <c r="U972">
        <v>62.37</v>
      </c>
      <c r="V972">
        <v>21.84</v>
      </c>
    </row>
    <row r="973" spans="1:22" x14ac:dyDescent="0.35">
      <c r="A973" t="s">
        <v>2434</v>
      </c>
      <c r="B973" t="s">
        <v>1848</v>
      </c>
      <c r="C973" t="s">
        <v>327</v>
      </c>
      <c r="D973" t="s">
        <v>328</v>
      </c>
      <c r="E973" t="s">
        <v>696</v>
      </c>
      <c r="F973" t="s">
        <v>264</v>
      </c>
      <c r="G973" t="s">
        <v>20</v>
      </c>
      <c r="H973" t="s">
        <v>20</v>
      </c>
      <c r="I973" t="s">
        <v>163</v>
      </c>
      <c r="J973" t="s">
        <v>798</v>
      </c>
      <c r="K973" t="s">
        <v>799</v>
      </c>
      <c r="L973" t="s">
        <v>818</v>
      </c>
      <c r="M973" s="5">
        <v>45997</v>
      </c>
      <c r="N973" s="5">
        <v>45996</v>
      </c>
      <c r="O973">
        <v>2</v>
      </c>
      <c r="P973">
        <v>55.3</v>
      </c>
      <c r="Q973">
        <v>74.66</v>
      </c>
      <c r="R973">
        <v>0</v>
      </c>
      <c r="S973">
        <v>149.32</v>
      </c>
      <c r="T973" t="s">
        <v>810</v>
      </c>
      <c r="U973">
        <v>110.6</v>
      </c>
      <c r="V973">
        <v>38.72</v>
      </c>
    </row>
    <row r="974" spans="1:22" x14ac:dyDescent="0.35">
      <c r="A974" t="s">
        <v>2435</v>
      </c>
      <c r="B974" t="s">
        <v>955</v>
      </c>
      <c r="C974" t="s">
        <v>513</v>
      </c>
      <c r="D974" t="s">
        <v>514</v>
      </c>
      <c r="E974" t="s">
        <v>696</v>
      </c>
      <c r="F974" t="s">
        <v>264</v>
      </c>
      <c r="G974" t="s">
        <v>14</v>
      </c>
      <c r="H974" t="s">
        <v>20</v>
      </c>
      <c r="I974" t="s">
        <v>196</v>
      </c>
      <c r="J974" t="s">
        <v>813</v>
      </c>
      <c r="K974" t="s">
        <v>799</v>
      </c>
      <c r="L974" t="s">
        <v>818</v>
      </c>
      <c r="M974" s="5">
        <v>45426</v>
      </c>
      <c r="N974" s="5">
        <v>45428</v>
      </c>
      <c r="O974">
        <v>12</v>
      </c>
      <c r="P974">
        <v>15.78</v>
      </c>
      <c r="Q974">
        <v>19.72</v>
      </c>
      <c r="R974">
        <v>0.05</v>
      </c>
      <c r="S974">
        <v>224.81</v>
      </c>
      <c r="T974" t="s">
        <v>829</v>
      </c>
      <c r="U974">
        <v>189.36</v>
      </c>
      <c r="V974">
        <v>35.450000000000003</v>
      </c>
    </row>
    <row r="975" spans="1:22" x14ac:dyDescent="0.35">
      <c r="A975" t="s">
        <v>2436</v>
      </c>
      <c r="B975" t="s">
        <v>1073</v>
      </c>
      <c r="C975" t="s">
        <v>603</v>
      </c>
      <c r="D975" t="s">
        <v>508</v>
      </c>
      <c r="E975" t="s">
        <v>681</v>
      </c>
      <c r="F975" t="s">
        <v>264</v>
      </c>
      <c r="G975" t="s">
        <v>797</v>
      </c>
      <c r="H975" t="s">
        <v>38</v>
      </c>
      <c r="I975" t="s">
        <v>206</v>
      </c>
      <c r="J975" t="s">
        <v>786</v>
      </c>
      <c r="K975" t="s">
        <v>822</v>
      </c>
      <c r="L975" t="s">
        <v>800</v>
      </c>
      <c r="M975" s="5">
        <v>45741</v>
      </c>
      <c r="N975" s="5">
        <v>45733</v>
      </c>
      <c r="O975">
        <v>5</v>
      </c>
      <c r="P975">
        <v>23.55</v>
      </c>
      <c r="Q975">
        <v>31.79</v>
      </c>
      <c r="R975">
        <v>0.05</v>
      </c>
      <c r="S975">
        <v>151</v>
      </c>
      <c r="T975" t="s">
        <v>1001</v>
      </c>
      <c r="U975">
        <v>117.75</v>
      </c>
      <c r="V975">
        <v>33.25</v>
      </c>
    </row>
    <row r="976" spans="1:22" x14ac:dyDescent="0.35">
      <c r="A976" t="s">
        <v>2437</v>
      </c>
      <c r="B976" t="s">
        <v>1852</v>
      </c>
      <c r="C976" t="s">
        <v>329</v>
      </c>
      <c r="D976" t="s">
        <v>330</v>
      </c>
      <c r="E976" t="s">
        <v>637</v>
      </c>
      <c r="F976" t="s">
        <v>235</v>
      </c>
      <c r="G976" t="s">
        <v>797</v>
      </c>
      <c r="H976" t="s">
        <v>43</v>
      </c>
      <c r="I976" t="s">
        <v>75</v>
      </c>
      <c r="J976" t="s">
        <v>798</v>
      </c>
      <c r="K976" t="s">
        <v>799</v>
      </c>
      <c r="L976" t="s">
        <v>842</v>
      </c>
      <c r="M976" s="5">
        <v>45846</v>
      </c>
      <c r="N976" s="5">
        <v>45845</v>
      </c>
      <c r="O976">
        <v>1</v>
      </c>
      <c r="P976">
        <v>24.35</v>
      </c>
      <c r="Q976">
        <v>34.090000000000003</v>
      </c>
      <c r="R976">
        <v>0</v>
      </c>
      <c r="S976">
        <v>34.090000000000003</v>
      </c>
      <c r="T976" t="s">
        <v>839</v>
      </c>
      <c r="U976">
        <v>24.35</v>
      </c>
      <c r="V976">
        <v>9.74</v>
      </c>
    </row>
    <row r="977" spans="1:22" x14ac:dyDescent="0.35">
      <c r="A977" t="s">
        <v>2438</v>
      </c>
      <c r="B977" t="s">
        <v>1293</v>
      </c>
      <c r="C977" t="s">
        <v>405</v>
      </c>
      <c r="D977" t="s">
        <v>404</v>
      </c>
      <c r="E977" t="s">
        <v>674</v>
      </c>
      <c r="F977" t="s">
        <v>264</v>
      </c>
      <c r="G977" t="s">
        <v>14</v>
      </c>
      <c r="H977" t="s">
        <v>29</v>
      </c>
      <c r="I977" t="s">
        <v>158</v>
      </c>
      <c r="J977" t="s">
        <v>798</v>
      </c>
      <c r="K977" t="s">
        <v>799</v>
      </c>
      <c r="L977" t="s">
        <v>818</v>
      </c>
      <c r="M977" s="5">
        <v>46023</v>
      </c>
      <c r="N977" s="5">
        <v>46021</v>
      </c>
      <c r="O977">
        <v>3</v>
      </c>
      <c r="P977">
        <v>25.8</v>
      </c>
      <c r="Q977">
        <v>36.119999999999997</v>
      </c>
      <c r="R977">
        <v>0</v>
      </c>
      <c r="S977">
        <v>108.36</v>
      </c>
      <c r="T977" t="s">
        <v>845</v>
      </c>
      <c r="U977">
        <v>77.400000000000006</v>
      </c>
      <c r="V977">
        <v>30.96</v>
      </c>
    </row>
    <row r="978" spans="1:22" x14ac:dyDescent="0.35">
      <c r="A978" t="s">
        <v>2439</v>
      </c>
      <c r="B978" t="s">
        <v>918</v>
      </c>
      <c r="C978" t="s">
        <v>506</v>
      </c>
      <c r="D978" t="s">
        <v>287</v>
      </c>
      <c r="E978" t="s">
        <v>696</v>
      </c>
      <c r="F978" t="s">
        <v>243</v>
      </c>
      <c r="G978" t="s">
        <v>797</v>
      </c>
      <c r="H978" t="s">
        <v>38</v>
      </c>
      <c r="I978" t="s">
        <v>126</v>
      </c>
      <c r="J978" t="s">
        <v>786</v>
      </c>
      <c r="K978" t="s">
        <v>799</v>
      </c>
      <c r="L978" t="s">
        <v>800</v>
      </c>
      <c r="M978" s="5">
        <v>45346</v>
      </c>
      <c r="N978" s="5">
        <v>45337</v>
      </c>
      <c r="O978">
        <v>1</v>
      </c>
      <c r="P978">
        <v>41.95</v>
      </c>
      <c r="Q978">
        <v>58.73</v>
      </c>
      <c r="R978">
        <v>0.05</v>
      </c>
      <c r="S978">
        <v>55.79</v>
      </c>
      <c r="T978" t="s">
        <v>1134</v>
      </c>
      <c r="U978">
        <v>41.95</v>
      </c>
      <c r="V978">
        <v>13.84</v>
      </c>
    </row>
    <row r="979" spans="1:22" x14ac:dyDescent="0.35">
      <c r="A979" t="s">
        <v>2440</v>
      </c>
      <c r="B979" t="s">
        <v>1632</v>
      </c>
      <c r="C979" t="s">
        <v>407</v>
      </c>
      <c r="D979" t="s">
        <v>408</v>
      </c>
      <c r="E979" t="s">
        <v>674</v>
      </c>
      <c r="F979" t="s">
        <v>235</v>
      </c>
      <c r="G979" t="s">
        <v>797</v>
      </c>
      <c r="H979" t="s">
        <v>20</v>
      </c>
      <c r="I979" t="s">
        <v>18</v>
      </c>
      <c r="J979" t="s">
        <v>798</v>
      </c>
      <c r="K979" t="s">
        <v>799</v>
      </c>
      <c r="L979" t="s">
        <v>800</v>
      </c>
      <c r="M979" s="5">
        <v>45323</v>
      </c>
      <c r="N979" s="5">
        <v>45326</v>
      </c>
      <c r="O979">
        <v>12</v>
      </c>
      <c r="P979">
        <v>21.57</v>
      </c>
      <c r="Q979">
        <v>26.96</v>
      </c>
      <c r="R979">
        <v>0.15</v>
      </c>
      <c r="S979">
        <v>274.99</v>
      </c>
      <c r="T979" t="s">
        <v>829</v>
      </c>
      <c r="U979">
        <v>258.83999999999997</v>
      </c>
      <c r="V979">
        <v>16.149999999999999</v>
      </c>
    </row>
    <row r="980" spans="1:22" x14ac:dyDescent="0.35">
      <c r="A980" t="s">
        <v>2441</v>
      </c>
      <c r="B980" t="s">
        <v>2442</v>
      </c>
      <c r="C980" t="s">
        <v>599</v>
      </c>
      <c r="D980" t="s">
        <v>600</v>
      </c>
      <c r="E980" t="s">
        <v>254</v>
      </c>
      <c r="F980" t="s">
        <v>243</v>
      </c>
      <c r="G980" t="s">
        <v>14</v>
      </c>
      <c r="H980" t="s">
        <v>29</v>
      </c>
      <c r="I980" t="s">
        <v>115</v>
      </c>
      <c r="J980" t="s">
        <v>798</v>
      </c>
      <c r="K980" t="s">
        <v>787</v>
      </c>
      <c r="L980" t="s">
        <v>842</v>
      </c>
      <c r="M980" s="5">
        <v>45413</v>
      </c>
      <c r="O980">
        <v>12</v>
      </c>
      <c r="P980">
        <v>34.340000000000003</v>
      </c>
      <c r="Q980">
        <v>44.64</v>
      </c>
      <c r="R980">
        <v>0</v>
      </c>
      <c r="S980">
        <v>535.67999999999995</v>
      </c>
      <c r="T980" t="s">
        <v>888</v>
      </c>
      <c r="U980">
        <v>412.08</v>
      </c>
      <c r="V980">
        <v>123.6</v>
      </c>
    </row>
    <row r="981" spans="1:22" x14ac:dyDescent="0.35">
      <c r="A981" t="s">
        <v>2443</v>
      </c>
      <c r="B981" t="s">
        <v>1051</v>
      </c>
      <c r="C981" t="s">
        <v>481</v>
      </c>
      <c r="D981" t="s">
        <v>482</v>
      </c>
      <c r="E981" t="s">
        <v>633</v>
      </c>
      <c r="F981" t="s">
        <v>264</v>
      </c>
      <c r="G981" t="s">
        <v>797</v>
      </c>
      <c r="H981" t="s">
        <v>43</v>
      </c>
      <c r="I981" t="s">
        <v>113</v>
      </c>
      <c r="J981" t="s">
        <v>798</v>
      </c>
      <c r="K981" t="s">
        <v>799</v>
      </c>
      <c r="L981" t="s">
        <v>818</v>
      </c>
      <c r="M981" s="5">
        <v>45947</v>
      </c>
      <c r="N981" s="5">
        <v>45946</v>
      </c>
      <c r="O981">
        <v>12</v>
      </c>
      <c r="P981">
        <v>16.91</v>
      </c>
      <c r="Q981">
        <v>21.14</v>
      </c>
      <c r="R981">
        <v>0</v>
      </c>
      <c r="S981">
        <v>253.68</v>
      </c>
      <c r="T981" t="s">
        <v>834</v>
      </c>
      <c r="U981">
        <v>202.92</v>
      </c>
      <c r="V981">
        <v>50.76</v>
      </c>
    </row>
    <row r="982" spans="1:22" x14ac:dyDescent="0.35">
      <c r="A982" t="s">
        <v>2444</v>
      </c>
      <c r="B982" t="s">
        <v>906</v>
      </c>
      <c r="C982" t="s">
        <v>351</v>
      </c>
      <c r="D982" t="s">
        <v>352</v>
      </c>
      <c r="E982" t="s">
        <v>627</v>
      </c>
      <c r="F982" t="s">
        <v>264</v>
      </c>
      <c r="G982" t="s">
        <v>48</v>
      </c>
      <c r="H982" t="s">
        <v>43</v>
      </c>
      <c r="I982" t="s">
        <v>58</v>
      </c>
      <c r="J982" t="s">
        <v>798</v>
      </c>
      <c r="K982" t="s">
        <v>822</v>
      </c>
      <c r="L982" t="s">
        <v>818</v>
      </c>
      <c r="M982" s="5">
        <v>45680</v>
      </c>
      <c r="N982" s="5">
        <v>45679</v>
      </c>
      <c r="O982">
        <v>1</v>
      </c>
      <c r="P982">
        <v>11.21</v>
      </c>
      <c r="Q982">
        <v>15.13</v>
      </c>
      <c r="R982">
        <v>0.1</v>
      </c>
      <c r="S982">
        <v>13.62</v>
      </c>
      <c r="T982" t="s">
        <v>834</v>
      </c>
      <c r="U982">
        <v>11.21</v>
      </c>
      <c r="V982">
        <v>2.41</v>
      </c>
    </row>
    <row r="983" spans="1:22" x14ac:dyDescent="0.35">
      <c r="A983" t="s">
        <v>2445</v>
      </c>
      <c r="B983" t="s">
        <v>1761</v>
      </c>
      <c r="C983" t="s">
        <v>477</v>
      </c>
      <c r="D983" t="s">
        <v>478</v>
      </c>
      <c r="E983" t="s">
        <v>696</v>
      </c>
      <c r="F983" t="s">
        <v>243</v>
      </c>
      <c r="G983" t="s">
        <v>797</v>
      </c>
      <c r="H983" t="s">
        <v>20</v>
      </c>
      <c r="I983" t="s">
        <v>159</v>
      </c>
      <c r="J983" t="s">
        <v>786</v>
      </c>
      <c r="K983" t="s">
        <v>793</v>
      </c>
      <c r="L983" t="s">
        <v>842</v>
      </c>
      <c r="M983" s="5">
        <v>45958</v>
      </c>
      <c r="O983">
        <v>1</v>
      </c>
      <c r="P983">
        <v>8.2200000000000006</v>
      </c>
      <c r="Q983">
        <v>11.1</v>
      </c>
      <c r="R983">
        <v>0.05</v>
      </c>
      <c r="S983">
        <v>10.54</v>
      </c>
      <c r="T983" t="s">
        <v>919</v>
      </c>
      <c r="U983">
        <v>8.2200000000000006</v>
      </c>
      <c r="V983">
        <v>2.3199999999999998</v>
      </c>
    </row>
    <row r="984" spans="1:22" x14ac:dyDescent="0.35">
      <c r="A984" t="s">
        <v>2446</v>
      </c>
      <c r="B984" t="s">
        <v>1408</v>
      </c>
      <c r="C984" t="s">
        <v>405</v>
      </c>
      <c r="D984" t="s">
        <v>404</v>
      </c>
      <c r="E984" t="s">
        <v>633</v>
      </c>
      <c r="F984" t="s">
        <v>264</v>
      </c>
      <c r="G984" t="s">
        <v>14</v>
      </c>
      <c r="H984" t="s">
        <v>20</v>
      </c>
      <c r="I984" t="s">
        <v>188</v>
      </c>
      <c r="J984" t="s">
        <v>798</v>
      </c>
      <c r="K984" t="s">
        <v>799</v>
      </c>
      <c r="L984" t="s">
        <v>842</v>
      </c>
      <c r="M984" s="5">
        <v>45495</v>
      </c>
      <c r="N984" s="5">
        <v>45496</v>
      </c>
      <c r="O984">
        <v>5</v>
      </c>
      <c r="P984">
        <v>24.6</v>
      </c>
      <c r="Q984">
        <v>35.67</v>
      </c>
      <c r="R984">
        <v>0</v>
      </c>
      <c r="S984">
        <v>178.35</v>
      </c>
      <c r="T984" t="s">
        <v>803</v>
      </c>
      <c r="U984">
        <v>123</v>
      </c>
      <c r="V984">
        <v>55.35</v>
      </c>
    </row>
    <row r="985" spans="1:22" x14ac:dyDescent="0.35">
      <c r="A985" t="s">
        <v>2447</v>
      </c>
      <c r="B985" t="s">
        <v>2237</v>
      </c>
      <c r="C985" t="s">
        <v>411</v>
      </c>
      <c r="D985" t="s">
        <v>412</v>
      </c>
      <c r="E985" t="s">
        <v>681</v>
      </c>
      <c r="F985" t="s">
        <v>235</v>
      </c>
      <c r="G985" t="s">
        <v>14</v>
      </c>
      <c r="H985" t="s">
        <v>29</v>
      </c>
      <c r="I985" t="s">
        <v>115</v>
      </c>
      <c r="J985" t="s">
        <v>813</v>
      </c>
      <c r="K985" t="s">
        <v>799</v>
      </c>
      <c r="L985" t="s">
        <v>842</v>
      </c>
      <c r="M985" s="5">
        <v>45515</v>
      </c>
      <c r="N985" s="5">
        <v>45515</v>
      </c>
      <c r="O985">
        <v>12</v>
      </c>
      <c r="P985">
        <v>34.340000000000003</v>
      </c>
      <c r="Q985">
        <v>44.64</v>
      </c>
      <c r="R985">
        <v>0.1</v>
      </c>
      <c r="S985">
        <v>482.11</v>
      </c>
      <c r="T985" t="s">
        <v>935</v>
      </c>
      <c r="U985">
        <v>412.08</v>
      </c>
      <c r="V985">
        <v>70.03</v>
      </c>
    </row>
    <row r="986" spans="1:22" x14ac:dyDescent="0.35">
      <c r="A986" t="s">
        <v>2448</v>
      </c>
      <c r="B986" t="s">
        <v>1645</v>
      </c>
      <c r="C986" t="s">
        <v>409</v>
      </c>
      <c r="D986" t="s">
        <v>410</v>
      </c>
      <c r="E986" t="s">
        <v>254</v>
      </c>
      <c r="F986" t="s">
        <v>235</v>
      </c>
      <c r="G986" t="s">
        <v>797</v>
      </c>
      <c r="H986" t="s">
        <v>8</v>
      </c>
      <c r="I986" t="s">
        <v>23</v>
      </c>
      <c r="J986" t="s">
        <v>813</v>
      </c>
      <c r="K986" t="s">
        <v>793</v>
      </c>
      <c r="L986" t="s">
        <v>788</v>
      </c>
      <c r="M986" s="5">
        <v>45989</v>
      </c>
      <c r="O986">
        <v>10</v>
      </c>
      <c r="P986">
        <v>58.47</v>
      </c>
      <c r="Q986">
        <v>84.78</v>
      </c>
      <c r="R986">
        <v>0</v>
      </c>
      <c r="S986">
        <v>847.8</v>
      </c>
      <c r="T986" t="s">
        <v>1017</v>
      </c>
      <c r="U986">
        <v>584.70000000000005</v>
      </c>
      <c r="V986">
        <v>263.10000000000002</v>
      </c>
    </row>
    <row r="987" spans="1:22" x14ac:dyDescent="0.35">
      <c r="A987" t="s">
        <v>2449</v>
      </c>
      <c r="B987" t="s">
        <v>1621</v>
      </c>
      <c r="C987" t="s">
        <v>564</v>
      </c>
      <c r="D987" t="s">
        <v>526</v>
      </c>
      <c r="E987" t="s">
        <v>633</v>
      </c>
      <c r="F987" t="s">
        <v>243</v>
      </c>
      <c r="G987" t="s">
        <v>797</v>
      </c>
      <c r="H987" t="s">
        <v>8</v>
      </c>
      <c r="I987" t="s">
        <v>204</v>
      </c>
      <c r="J987" t="s">
        <v>798</v>
      </c>
      <c r="K987" t="s">
        <v>799</v>
      </c>
      <c r="L987" t="s">
        <v>788</v>
      </c>
      <c r="M987" s="5">
        <v>45772</v>
      </c>
      <c r="N987" s="5">
        <v>45770</v>
      </c>
      <c r="O987">
        <v>5</v>
      </c>
      <c r="P987">
        <v>28.27</v>
      </c>
      <c r="Q987">
        <v>40.99</v>
      </c>
      <c r="R987">
        <v>0</v>
      </c>
      <c r="S987">
        <v>204.95</v>
      </c>
      <c r="T987" t="s">
        <v>946</v>
      </c>
      <c r="U987">
        <v>141.35</v>
      </c>
      <c r="V987">
        <v>63.6</v>
      </c>
    </row>
    <row r="988" spans="1:22" x14ac:dyDescent="0.35">
      <c r="A988" t="s">
        <v>2451</v>
      </c>
      <c r="B988" t="s">
        <v>1575</v>
      </c>
      <c r="C988" t="s">
        <v>494</v>
      </c>
      <c r="D988" t="s">
        <v>396</v>
      </c>
      <c r="E988" t="s">
        <v>627</v>
      </c>
      <c r="F988" t="s">
        <v>243</v>
      </c>
      <c r="G988" t="s">
        <v>797</v>
      </c>
      <c r="H988" t="s">
        <v>38</v>
      </c>
      <c r="I988" t="s">
        <v>126</v>
      </c>
      <c r="J988" t="s">
        <v>798</v>
      </c>
      <c r="K988" t="s">
        <v>799</v>
      </c>
      <c r="L988" t="s">
        <v>818</v>
      </c>
      <c r="M988" s="5">
        <v>46044</v>
      </c>
      <c r="N988" s="5">
        <v>46043</v>
      </c>
      <c r="O988">
        <v>1</v>
      </c>
      <c r="P988">
        <v>41.95</v>
      </c>
      <c r="Q988">
        <v>58.73</v>
      </c>
      <c r="R988">
        <v>0.1</v>
      </c>
      <c r="S988">
        <v>52.86</v>
      </c>
      <c r="T988" t="s">
        <v>839</v>
      </c>
      <c r="U988">
        <v>41.95</v>
      </c>
      <c r="V988">
        <v>10.91</v>
      </c>
    </row>
    <row r="989" spans="1:22" x14ac:dyDescent="0.35">
      <c r="A989" t="s">
        <v>2452</v>
      </c>
      <c r="B989" t="s">
        <v>1498</v>
      </c>
      <c r="C989" t="s">
        <v>444</v>
      </c>
      <c r="D989" t="s">
        <v>445</v>
      </c>
      <c r="E989" t="s">
        <v>637</v>
      </c>
      <c r="F989" t="s">
        <v>264</v>
      </c>
      <c r="G989" t="s">
        <v>797</v>
      </c>
      <c r="H989" t="s">
        <v>8</v>
      </c>
      <c r="I989" t="s">
        <v>174</v>
      </c>
      <c r="J989" t="s">
        <v>798</v>
      </c>
      <c r="K989" t="s">
        <v>799</v>
      </c>
      <c r="L989" t="s">
        <v>788</v>
      </c>
      <c r="M989" s="5">
        <v>45647</v>
      </c>
      <c r="N989" s="5">
        <v>45643</v>
      </c>
      <c r="O989">
        <v>10</v>
      </c>
      <c r="P989">
        <v>32.53</v>
      </c>
      <c r="Q989">
        <v>43.92</v>
      </c>
      <c r="R989">
        <v>0.1</v>
      </c>
      <c r="S989">
        <v>395.28</v>
      </c>
      <c r="T989" t="s">
        <v>1001</v>
      </c>
      <c r="U989">
        <v>325.3</v>
      </c>
      <c r="V989">
        <v>69.98</v>
      </c>
    </row>
    <row r="990" spans="1:22" x14ac:dyDescent="0.35">
      <c r="A990" t="s">
        <v>2453</v>
      </c>
      <c r="B990" t="s">
        <v>1115</v>
      </c>
      <c r="C990" t="s">
        <v>403</v>
      </c>
      <c r="D990" t="s">
        <v>404</v>
      </c>
      <c r="E990" t="s">
        <v>696</v>
      </c>
      <c r="F990" t="s">
        <v>264</v>
      </c>
      <c r="G990" t="s">
        <v>797</v>
      </c>
      <c r="H990" t="s">
        <v>48</v>
      </c>
      <c r="I990" t="s">
        <v>46</v>
      </c>
      <c r="J990" t="s">
        <v>786</v>
      </c>
      <c r="K990" t="s">
        <v>817</v>
      </c>
      <c r="L990" t="s">
        <v>818</v>
      </c>
      <c r="M990" s="5">
        <v>45995</v>
      </c>
      <c r="O990">
        <v>5</v>
      </c>
      <c r="P990">
        <v>29.16</v>
      </c>
      <c r="Q990">
        <v>36.450000000000003</v>
      </c>
      <c r="R990">
        <v>0.1</v>
      </c>
      <c r="S990">
        <v>164.03</v>
      </c>
      <c r="T990" t="s">
        <v>814</v>
      </c>
      <c r="U990">
        <v>145.80000000000001</v>
      </c>
      <c r="V990">
        <v>18.23</v>
      </c>
    </row>
    <row r="991" spans="1:22" x14ac:dyDescent="0.35">
      <c r="A991" t="s">
        <v>2454</v>
      </c>
      <c r="B991" t="s">
        <v>1647</v>
      </c>
      <c r="C991" t="s">
        <v>605</v>
      </c>
      <c r="D991" t="s">
        <v>389</v>
      </c>
      <c r="E991" t="s">
        <v>627</v>
      </c>
      <c r="F991" t="s">
        <v>264</v>
      </c>
      <c r="G991" t="s">
        <v>797</v>
      </c>
      <c r="H991" t="s">
        <v>8</v>
      </c>
      <c r="I991" t="s">
        <v>198</v>
      </c>
      <c r="J991" t="s">
        <v>798</v>
      </c>
      <c r="K991" t="s">
        <v>793</v>
      </c>
      <c r="L991" t="s">
        <v>818</v>
      </c>
      <c r="M991" s="5">
        <v>45384</v>
      </c>
      <c r="O991">
        <v>20</v>
      </c>
      <c r="P991">
        <v>30.64</v>
      </c>
      <c r="Q991">
        <v>42.9</v>
      </c>
      <c r="R991">
        <v>0</v>
      </c>
      <c r="S991">
        <v>858</v>
      </c>
      <c r="T991" t="s">
        <v>888</v>
      </c>
      <c r="U991">
        <v>612.79999999999995</v>
      </c>
      <c r="V991">
        <v>245.2</v>
      </c>
    </row>
    <row r="992" spans="1:22" x14ac:dyDescent="0.35">
      <c r="A992" t="s">
        <v>2455</v>
      </c>
      <c r="B992" t="s">
        <v>1785</v>
      </c>
      <c r="C992" t="s">
        <v>359</v>
      </c>
      <c r="D992" t="s">
        <v>360</v>
      </c>
      <c r="E992" t="s">
        <v>627</v>
      </c>
      <c r="F992" t="s">
        <v>235</v>
      </c>
      <c r="G992" t="s">
        <v>797</v>
      </c>
      <c r="H992" t="s">
        <v>48</v>
      </c>
      <c r="I992" t="s">
        <v>202</v>
      </c>
      <c r="J992" t="s">
        <v>798</v>
      </c>
      <c r="K992" t="s">
        <v>817</v>
      </c>
      <c r="L992" t="s">
        <v>842</v>
      </c>
      <c r="M992" s="5">
        <v>45938</v>
      </c>
      <c r="O992">
        <v>20</v>
      </c>
      <c r="P992">
        <v>27</v>
      </c>
      <c r="Q992">
        <v>39.15</v>
      </c>
      <c r="R992">
        <v>0</v>
      </c>
      <c r="S992">
        <v>783</v>
      </c>
      <c r="T992" t="s">
        <v>790</v>
      </c>
      <c r="U992">
        <v>540</v>
      </c>
      <c r="V992">
        <v>243</v>
      </c>
    </row>
    <row r="993" spans="1:22" x14ac:dyDescent="0.35">
      <c r="A993" t="s">
        <v>2456</v>
      </c>
      <c r="B993" t="s">
        <v>909</v>
      </c>
      <c r="C993" t="s">
        <v>395</v>
      </c>
      <c r="D993" t="s">
        <v>396</v>
      </c>
      <c r="E993" t="s">
        <v>696</v>
      </c>
      <c r="F993" t="s">
        <v>264</v>
      </c>
      <c r="G993" t="s">
        <v>48</v>
      </c>
      <c r="H993" t="s">
        <v>29</v>
      </c>
      <c r="I993" t="s">
        <v>121</v>
      </c>
      <c r="J993" t="s">
        <v>813</v>
      </c>
      <c r="K993" t="s">
        <v>799</v>
      </c>
      <c r="L993" t="s">
        <v>842</v>
      </c>
      <c r="M993" s="5">
        <v>46056</v>
      </c>
      <c r="N993" s="5">
        <v>46057</v>
      </c>
      <c r="O993">
        <v>2</v>
      </c>
      <c r="P993">
        <v>15.46</v>
      </c>
      <c r="Q993">
        <v>22.42</v>
      </c>
      <c r="R993">
        <v>0</v>
      </c>
      <c r="S993">
        <v>44.84</v>
      </c>
      <c r="T993" t="s">
        <v>935</v>
      </c>
      <c r="U993">
        <v>30.92</v>
      </c>
      <c r="V993">
        <v>13.92</v>
      </c>
    </row>
    <row r="994" spans="1:22" x14ac:dyDescent="0.35">
      <c r="A994" t="s">
        <v>2457</v>
      </c>
      <c r="B994" t="s">
        <v>1330</v>
      </c>
      <c r="C994" t="s">
        <v>541</v>
      </c>
      <c r="D994" t="s">
        <v>542</v>
      </c>
      <c r="E994" t="s">
        <v>633</v>
      </c>
      <c r="F994" t="s">
        <v>235</v>
      </c>
      <c r="G994" t="s">
        <v>797</v>
      </c>
      <c r="H994" t="s">
        <v>29</v>
      </c>
      <c r="I994" t="s">
        <v>183</v>
      </c>
      <c r="J994" t="s">
        <v>813</v>
      </c>
      <c r="K994" t="s">
        <v>799</v>
      </c>
      <c r="L994" t="s">
        <v>818</v>
      </c>
      <c r="M994" s="5">
        <v>45511</v>
      </c>
      <c r="N994" s="5">
        <v>45514</v>
      </c>
      <c r="O994">
        <v>2</v>
      </c>
      <c r="P994">
        <v>10.97</v>
      </c>
      <c r="Q994">
        <v>15.91</v>
      </c>
      <c r="R994">
        <v>0.1</v>
      </c>
      <c r="S994">
        <v>28.64</v>
      </c>
      <c r="T994" t="s">
        <v>876</v>
      </c>
      <c r="U994">
        <v>21.94</v>
      </c>
      <c r="V994">
        <v>6.7</v>
      </c>
    </row>
    <row r="995" spans="1:22" x14ac:dyDescent="0.35">
      <c r="A995" t="s">
        <v>2458</v>
      </c>
      <c r="B995" t="s">
        <v>1108</v>
      </c>
      <c r="C995" t="s">
        <v>552</v>
      </c>
      <c r="D995" t="s">
        <v>553</v>
      </c>
      <c r="E995" t="s">
        <v>633</v>
      </c>
      <c r="F995" t="s">
        <v>235</v>
      </c>
      <c r="G995" t="s">
        <v>797</v>
      </c>
      <c r="H995" t="s">
        <v>8</v>
      </c>
      <c r="I995" t="s">
        <v>10</v>
      </c>
      <c r="J995" t="s">
        <v>798</v>
      </c>
      <c r="K995" t="s">
        <v>787</v>
      </c>
      <c r="L995" t="s">
        <v>800</v>
      </c>
      <c r="M995" s="5">
        <v>45521</v>
      </c>
      <c r="O995">
        <v>12</v>
      </c>
      <c r="P995">
        <v>22.74</v>
      </c>
      <c r="Q995">
        <v>28.42</v>
      </c>
      <c r="R995">
        <v>0.1</v>
      </c>
      <c r="S995">
        <v>306.94</v>
      </c>
      <c r="T995" t="s">
        <v>790</v>
      </c>
      <c r="U995">
        <v>272.88</v>
      </c>
      <c r="V995">
        <v>34.06</v>
      </c>
    </row>
    <row r="996" spans="1:22" x14ac:dyDescent="0.35">
      <c r="A996" t="s">
        <v>2459</v>
      </c>
      <c r="B996" t="s">
        <v>1772</v>
      </c>
      <c r="C996" t="s">
        <v>388</v>
      </c>
      <c r="D996" t="s">
        <v>389</v>
      </c>
      <c r="E996" t="s">
        <v>637</v>
      </c>
      <c r="F996" t="s">
        <v>243</v>
      </c>
      <c r="G996" t="s">
        <v>797</v>
      </c>
      <c r="H996" t="s">
        <v>38</v>
      </c>
      <c r="I996" t="s">
        <v>80</v>
      </c>
      <c r="J996" t="s">
        <v>786</v>
      </c>
      <c r="K996" t="s">
        <v>793</v>
      </c>
      <c r="L996" t="s">
        <v>818</v>
      </c>
      <c r="M996" s="5">
        <v>45851</v>
      </c>
      <c r="O996">
        <v>1</v>
      </c>
      <c r="P996">
        <v>38.57</v>
      </c>
      <c r="Q996">
        <v>48.21</v>
      </c>
      <c r="R996">
        <v>0</v>
      </c>
      <c r="S996">
        <v>48.21</v>
      </c>
      <c r="T996" t="s">
        <v>810</v>
      </c>
      <c r="U996">
        <v>38.57</v>
      </c>
      <c r="V996">
        <v>9.64</v>
      </c>
    </row>
    <row r="997" spans="1:22" x14ac:dyDescent="0.35">
      <c r="A997" t="s">
        <v>2460</v>
      </c>
      <c r="B997" t="s">
        <v>1394</v>
      </c>
      <c r="C997" t="s">
        <v>230</v>
      </c>
      <c r="D997" t="s">
        <v>231</v>
      </c>
      <c r="E997" t="s">
        <v>627</v>
      </c>
      <c r="F997" t="s">
        <v>235</v>
      </c>
      <c r="G997" t="s">
        <v>20</v>
      </c>
      <c r="H997" t="s">
        <v>38</v>
      </c>
      <c r="I997" t="s">
        <v>132</v>
      </c>
      <c r="J997" t="s">
        <v>786</v>
      </c>
      <c r="K997" t="s">
        <v>799</v>
      </c>
      <c r="L997" t="s">
        <v>842</v>
      </c>
      <c r="M997" s="5">
        <v>45715</v>
      </c>
      <c r="N997" s="5">
        <v>45708</v>
      </c>
      <c r="O997">
        <v>5</v>
      </c>
      <c r="P997">
        <v>12.71</v>
      </c>
      <c r="Q997">
        <v>17.79</v>
      </c>
      <c r="R997">
        <v>0.05</v>
      </c>
      <c r="S997">
        <v>84.5</v>
      </c>
      <c r="T997" t="s">
        <v>803</v>
      </c>
      <c r="U997">
        <v>63.55</v>
      </c>
      <c r="V997">
        <v>20.95</v>
      </c>
    </row>
    <row r="998" spans="1:22" x14ac:dyDescent="0.35">
      <c r="A998" t="s">
        <v>2461</v>
      </c>
      <c r="B998" t="s">
        <v>1342</v>
      </c>
      <c r="C998" t="s">
        <v>370</v>
      </c>
      <c r="D998" t="s">
        <v>371</v>
      </c>
      <c r="E998" t="s">
        <v>681</v>
      </c>
      <c r="F998" t="s">
        <v>264</v>
      </c>
      <c r="G998" t="s">
        <v>797</v>
      </c>
      <c r="H998" t="s">
        <v>48</v>
      </c>
      <c r="I998" t="s">
        <v>61</v>
      </c>
      <c r="J998" t="s">
        <v>798</v>
      </c>
      <c r="K998" t="s">
        <v>799</v>
      </c>
      <c r="L998" t="s">
        <v>842</v>
      </c>
      <c r="M998" s="5">
        <v>45727</v>
      </c>
      <c r="N998" s="5">
        <v>45727</v>
      </c>
      <c r="O998">
        <v>2</v>
      </c>
      <c r="P998">
        <v>26.08</v>
      </c>
      <c r="Q998">
        <v>35.21</v>
      </c>
      <c r="R998">
        <v>0.1</v>
      </c>
      <c r="S998">
        <v>63.38</v>
      </c>
      <c r="T998" t="s">
        <v>803</v>
      </c>
      <c r="U998">
        <v>52.16</v>
      </c>
      <c r="V998">
        <v>11.22</v>
      </c>
    </row>
    <row r="999" spans="1:22" x14ac:dyDescent="0.35">
      <c r="A999" t="s">
        <v>2462</v>
      </c>
      <c r="B999" t="s">
        <v>1667</v>
      </c>
      <c r="C999" t="s">
        <v>556</v>
      </c>
      <c r="D999" t="s">
        <v>472</v>
      </c>
      <c r="E999" t="s">
        <v>674</v>
      </c>
      <c r="F999" t="s">
        <v>235</v>
      </c>
      <c r="G999" t="s">
        <v>797</v>
      </c>
      <c r="H999" t="s">
        <v>29</v>
      </c>
      <c r="I999" t="s">
        <v>106</v>
      </c>
      <c r="J999" t="s">
        <v>798</v>
      </c>
      <c r="K999" t="s">
        <v>799</v>
      </c>
      <c r="L999" t="s">
        <v>800</v>
      </c>
      <c r="M999" s="5">
        <v>45322</v>
      </c>
      <c r="N999" s="5">
        <v>45322</v>
      </c>
      <c r="O999">
        <v>5</v>
      </c>
      <c r="P999">
        <v>29.64</v>
      </c>
      <c r="Q999">
        <v>41.5</v>
      </c>
      <c r="R999">
        <v>0</v>
      </c>
      <c r="S999">
        <v>207.5</v>
      </c>
      <c r="T999" t="s">
        <v>946</v>
      </c>
      <c r="U999">
        <v>148.19999999999999</v>
      </c>
      <c r="V999">
        <v>59.3</v>
      </c>
    </row>
    <row r="1000" spans="1:22" x14ac:dyDescent="0.35">
      <c r="A1000" t="s">
        <v>2463</v>
      </c>
      <c r="B1000" t="s">
        <v>2067</v>
      </c>
      <c r="C1000" t="s">
        <v>372</v>
      </c>
      <c r="D1000" t="s">
        <v>373</v>
      </c>
      <c r="E1000" t="s">
        <v>637</v>
      </c>
      <c r="F1000" t="s">
        <v>235</v>
      </c>
      <c r="G1000" t="s">
        <v>48</v>
      </c>
      <c r="H1000" t="s">
        <v>79</v>
      </c>
      <c r="I1000" t="s">
        <v>220</v>
      </c>
      <c r="J1000" t="s">
        <v>798</v>
      </c>
      <c r="K1000" t="s">
        <v>799</v>
      </c>
      <c r="L1000" t="s">
        <v>788</v>
      </c>
      <c r="M1000" s="5">
        <v>45864</v>
      </c>
      <c r="N1000" s="5">
        <v>45861</v>
      </c>
      <c r="O1000">
        <v>3</v>
      </c>
      <c r="P1000">
        <v>46</v>
      </c>
      <c r="Q1000">
        <v>62.1</v>
      </c>
      <c r="R1000">
        <v>0</v>
      </c>
      <c r="S1000">
        <v>186.3</v>
      </c>
      <c r="T1000" t="s">
        <v>819</v>
      </c>
      <c r="U1000">
        <v>138</v>
      </c>
      <c r="V1000">
        <v>48.3</v>
      </c>
    </row>
    <row r="1001" spans="1:22" x14ac:dyDescent="0.35">
      <c r="A1001" t="s">
        <v>2464</v>
      </c>
      <c r="B1001" t="s">
        <v>1092</v>
      </c>
      <c r="C1001" t="s">
        <v>421</v>
      </c>
      <c r="D1001" t="s">
        <v>422</v>
      </c>
      <c r="E1001" t="s">
        <v>254</v>
      </c>
      <c r="F1001" t="s">
        <v>235</v>
      </c>
      <c r="G1001" t="s">
        <v>20</v>
      </c>
      <c r="H1001" t="s">
        <v>43</v>
      </c>
      <c r="I1001" t="s">
        <v>58</v>
      </c>
      <c r="J1001" t="s">
        <v>798</v>
      </c>
      <c r="K1001" t="s">
        <v>799</v>
      </c>
      <c r="L1001" t="s">
        <v>788</v>
      </c>
      <c r="M1001" s="5">
        <v>45629</v>
      </c>
      <c r="N1001" s="5">
        <v>45630</v>
      </c>
      <c r="O1001">
        <v>2</v>
      </c>
      <c r="P1001">
        <v>11.21</v>
      </c>
      <c r="Q1001">
        <v>15.13</v>
      </c>
      <c r="R1001">
        <v>0.15</v>
      </c>
      <c r="S1001">
        <v>25.72</v>
      </c>
      <c r="T1001" t="s">
        <v>946</v>
      </c>
      <c r="U1001">
        <v>22.42</v>
      </c>
      <c r="V1001">
        <v>3.3</v>
      </c>
    </row>
    <row r="1002" spans="1:22" x14ac:dyDescent="0.35">
      <c r="A1002" t="s">
        <v>2465</v>
      </c>
      <c r="B1002" t="s">
        <v>921</v>
      </c>
      <c r="C1002" t="s">
        <v>495</v>
      </c>
      <c r="D1002" t="s">
        <v>496</v>
      </c>
      <c r="E1002" t="s">
        <v>627</v>
      </c>
      <c r="F1002" t="s">
        <v>264</v>
      </c>
      <c r="G1002" t="s">
        <v>14</v>
      </c>
      <c r="H1002" t="s">
        <v>14</v>
      </c>
      <c r="I1002" t="s">
        <v>60</v>
      </c>
      <c r="J1002" t="s">
        <v>786</v>
      </c>
      <c r="K1002" t="s">
        <v>799</v>
      </c>
      <c r="L1002" t="s">
        <v>788</v>
      </c>
      <c r="M1002" s="5">
        <v>45553</v>
      </c>
      <c r="N1002" s="5">
        <v>45541</v>
      </c>
      <c r="O1002">
        <v>10</v>
      </c>
      <c r="P1002">
        <v>18.18</v>
      </c>
      <c r="Q1002">
        <v>24.54</v>
      </c>
      <c r="R1002">
        <v>0</v>
      </c>
      <c r="S1002">
        <v>245.4</v>
      </c>
      <c r="T1002" t="s">
        <v>845</v>
      </c>
      <c r="U1002">
        <v>181.8</v>
      </c>
      <c r="V1002">
        <v>63.6</v>
      </c>
    </row>
    <row r="1003" spans="1:22" x14ac:dyDescent="0.35">
      <c r="A1003" t="s">
        <v>2466</v>
      </c>
      <c r="B1003" t="s">
        <v>1462</v>
      </c>
      <c r="C1003" t="s">
        <v>580</v>
      </c>
      <c r="D1003" t="s">
        <v>581</v>
      </c>
      <c r="E1003" t="s">
        <v>681</v>
      </c>
      <c r="F1003" t="s">
        <v>235</v>
      </c>
      <c r="G1003" t="s">
        <v>797</v>
      </c>
      <c r="H1003" t="s">
        <v>48</v>
      </c>
      <c r="I1003" t="s">
        <v>217</v>
      </c>
      <c r="J1003" t="s">
        <v>798</v>
      </c>
      <c r="K1003" t="s">
        <v>799</v>
      </c>
      <c r="L1003" t="s">
        <v>818</v>
      </c>
      <c r="M1003" s="5">
        <v>45306</v>
      </c>
      <c r="N1003" s="5">
        <v>45304</v>
      </c>
      <c r="O1003">
        <v>1</v>
      </c>
      <c r="P1003">
        <v>24.07</v>
      </c>
      <c r="Q1003">
        <v>34.9</v>
      </c>
      <c r="R1003">
        <v>0</v>
      </c>
      <c r="S1003">
        <v>34.9</v>
      </c>
      <c r="T1003" t="s">
        <v>876</v>
      </c>
      <c r="U1003">
        <v>24.07</v>
      </c>
      <c r="V1003">
        <v>10.83</v>
      </c>
    </row>
    <row r="1004" spans="1:22" x14ac:dyDescent="0.35">
      <c r="A1004" t="s">
        <v>2467</v>
      </c>
      <c r="B1004" t="s">
        <v>1976</v>
      </c>
      <c r="C1004" t="s">
        <v>334</v>
      </c>
      <c r="D1004" t="s">
        <v>335</v>
      </c>
      <c r="E1004" t="s">
        <v>681</v>
      </c>
      <c r="F1004" t="s">
        <v>243</v>
      </c>
      <c r="G1004" t="s">
        <v>20</v>
      </c>
      <c r="H1004" t="s">
        <v>14</v>
      </c>
      <c r="I1004" t="s">
        <v>25</v>
      </c>
      <c r="J1004" t="s">
        <v>798</v>
      </c>
      <c r="K1004" t="s">
        <v>799</v>
      </c>
      <c r="L1004" t="s">
        <v>842</v>
      </c>
      <c r="M1004" s="5">
        <v>46032</v>
      </c>
      <c r="N1004" s="5">
        <v>46026</v>
      </c>
      <c r="O1004">
        <v>1</v>
      </c>
      <c r="P1004">
        <v>18.95</v>
      </c>
      <c r="Q1004">
        <v>25.58</v>
      </c>
      <c r="R1004">
        <v>0.05</v>
      </c>
      <c r="S1004">
        <v>24.3</v>
      </c>
      <c r="T1004" t="s">
        <v>819</v>
      </c>
      <c r="U1004">
        <v>18.95</v>
      </c>
      <c r="V1004">
        <v>5.35</v>
      </c>
    </row>
    <row r="1005" spans="1:22" x14ac:dyDescent="0.35">
      <c r="A1005" t="s">
        <v>2468</v>
      </c>
      <c r="B1005" t="s">
        <v>1289</v>
      </c>
      <c r="C1005" t="s">
        <v>596</v>
      </c>
      <c r="D1005" t="s">
        <v>443</v>
      </c>
      <c r="E1005" t="s">
        <v>637</v>
      </c>
      <c r="F1005" t="s">
        <v>264</v>
      </c>
      <c r="G1005" t="s">
        <v>797</v>
      </c>
      <c r="H1005" t="s">
        <v>79</v>
      </c>
      <c r="I1005" t="s">
        <v>166</v>
      </c>
      <c r="J1005" t="s">
        <v>798</v>
      </c>
      <c r="K1005" t="s">
        <v>822</v>
      </c>
      <c r="L1005" t="s">
        <v>818</v>
      </c>
      <c r="M1005" s="5">
        <v>45598</v>
      </c>
      <c r="N1005" s="5">
        <v>45593</v>
      </c>
      <c r="O1005">
        <v>3</v>
      </c>
      <c r="P1005">
        <v>15.73</v>
      </c>
      <c r="Q1005">
        <v>19.66</v>
      </c>
      <c r="R1005">
        <v>0.05</v>
      </c>
      <c r="S1005">
        <v>56.03</v>
      </c>
      <c r="T1005" t="s">
        <v>919</v>
      </c>
      <c r="U1005">
        <v>47.19</v>
      </c>
      <c r="V1005">
        <v>8.84</v>
      </c>
    </row>
    <row r="1006" spans="1:22" x14ac:dyDescent="0.35">
      <c r="A1006" t="s">
        <v>2469</v>
      </c>
      <c r="B1006" t="s">
        <v>2136</v>
      </c>
      <c r="C1006" t="s">
        <v>609</v>
      </c>
      <c r="D1006" t="s">
        <v>610</v>
      </c>
      <c r="E1006" t="s">
        <v>637</v>
      </c>
      <c r="G1006" t="s">
        <v>14</v>
      </c>
      <c r="H1006" t="s">
        <v>79</v>
      </c>
      <c r="I1006" t="s">
        <v>184</v>
      </c>
      <c r="J1006" t="s">
        <v>786</v>
      </c>
      <c r="K1006" t="s">
        <v>799</v>
      </c>
      <c r="L1006" t="s">
        <v>800</v>
      </c>
      <c r="M1006" s="5">
        <v>45455</v>
      </c>
      <c r="N1006" s="5">
        <v>45447</v>
      </c>
      <c r="O1006">
        <v>10</v>
      </c>
      <c r="P1006">
        <v>28.87</v>
      </c>
      <c r="Q1006">
        <v>40.42</v>
      </c>
      <c r="R1006">
        <v>0.05</v>
      </c>
      <c r="S1006">
        <v>383.99</v>
      </c>
      <c r="T1006" t="s">
        <v>825</v>
      </c>
      <c r="U1006">
        <v>288.7</v>
      </c>
      <c r="V1006">
        <v>95.29</v>
      </c>
    </row>
    <row r="1007" spans="1:22" x14ac:dyDescent="0.35">
      <c r="A1007" t="s">
        <v>2470</v>
      </c>
      <c r="B1007" t="s">
        <v>956</v>
      </c>
      <c r="C1007" t="s">
        <v>502</v>
      </c>
      <c r="D1007" t="s">
        <v>503</v>
      </c>
      <c r="E1007" t="s">
        <v>674</v>
      </c>
      <c r="F1007" t="s">
        <v>235</v>
      </c>
      <c r="G1007" t="s">
        <v>797</v>
      </c>
      <c r="H1007" t="s">
        <v>14</v>
      </c>
      <c r="I1007" t="s">
        <v>152</v>
      </c>
      <c r="J1007" t="s">
        <v>798</v>
      </c>
      <c r="K1007" t="s">
        <v>799</v>
      </c>
      <c r="L1007" t="s">
        <v>818</v>
      </c>
      <c r="M1007" s="5">
        <v>45444</v>
      </c>
      <c r="N1007" s="5">
        <v>45441</v>
      </c>
      <c r="O1007">
        <v>10</v>
      </c>
      <c r="P1007">
        <v>38.549999999999997</v>
      </c>
      <c r="Q1007">
        <v>53.97</v>
      </c>
      <c r="R1007">
        <v>0.15</v>
      </c>
      <c r="S1007">
        <v>458.75</v>
      </c>
      <c r="T1007" t="s">
        <v>819</v>
      </c>
      <c r="U1007">
        <v>385.5</v>
      </c>
      <c r="V1007">
        <v>73.25</v>
      </c>
    </row>
    <row r="1008" spans="1:22" x14ac:dyDescent="0.35">
      <c r="A1008" t="s">
        <v>2471</v>
      </c>
      <c r="B1008" t="s">
        <v>1201</v>
      </c>
      <c r="C1008" t="s">
        <v>421</v>
      </c>
      <c r="D1008" t="s">
        <v>422</v>
      </c>
      <c r="E1008" t="s">
        <v>681</v>
      </c>
      <c r="F1008" t="s">
        <v>235</v>
      </c>
      <c r="G1008" t="s">
        <v>797</v>
      </c>
      <c r="H1008" t="s">
        <v>14</v>
      </c>
      <c r="I1008" t="s">
        <v>67</v>
      </c>
      <c r="J1008" t="s">
        <v>786</v>
      </c>
      <c r="K1008" t="s">
        <v>799</v>
      </c>
      <c r="L1008" t="s">
        <v>800</v>
      </c>
      <c r="M1008" s="5">
        <v>45572</v>
      </c>
      <c r="N1008" s="5">
        <v>45561</v>
      </c>
      <c r="O1008">
        <v>12</v>
      </c>
      <c r="P1008">
        <v>17.63</v>
      </c>
      <c r="Q1008">
        <v>22.92</v>
      </c>
      <c r="R1008">
        <v>0.1</v>
      </c>
      <c r="S1008">
        <v>247.54</v>
      </c>
      <c r="T1008" t="s">
        <v>829</v>
      </c>
      <c r="U1008">
        <v>211.56</v>
      </c>
      <c r="V1008">
        <v>35.979999999999997</v>
      </c>
    </row>
    <row r="1009" spans="1:22" x14ac:dyDescent="0.35">
      <c r="A1009" t="s">
        <v>2472</v>
      </c>
      <c r="B1009" t="s">
        <v>1264</v>
      </c>
      <c r="C1009" t="s">
        <v>418</v>
      </c>
      <c r="D1009" t="s">
        <v>253</v>
      </c>
      <c r="E1009" t="s">
        <v>254</v>
      </c>
      <c r="F1009" t="s">
        <v>264</v>
      </c>
      <c r="G1009" t="s">
        <v>797</v>
      </c>
      <c r="H1009" t="s">
        <v>48</v>
      </c>
      <c r="I1009" t="s">
        <v>54</v>
      </c>
      <c r="J1009" t="s">
        <v>798</v>
      </c>
      <c r="K1009" t="s">
        <v>793</v>
      </c>
      <c r="L1009" t="s">
        <v>800</v>
      </c>
      <c r="M1009" s="5">
        <v>45450</v>
      </c>
      <c r="O1009">
        <v>10</v>
      </c>
      <c r="P1009">
        <v>21.67</v>
      </c>
      <c r="Q1009">
        <v>28.17</v>
      </c>
      <c r="R1009">
        <v>0</v>
      </c>
      <c r="S1009">
        <v>281.7</v>
      </c>
      <c r="T1009" t="s">
        <v>1001</v>
      </c>
      <c r="U1009">
        <v>216.7</v>
      </c>
      <c r="V1009">
        <v>65</v>
      </c>
    </row>
    <row r="1010" spans="1:22" x14ac:dyDescent="0.35">
      <c r="A1010" t="s">
        <v>2473</v>
      </c>
      <c r="B1010" t="s">
        <v>2474</v>
      </c>
      <c r="C1010" t="s">
        <v>564</v>
      </c>
      <c r="D1010" t="s">
        <v>526</v>
      </c>
      <c r="E1010" t="s">
        <v>633</v>
      </c>
      <c r="F1010" t="s">
        <v>243</v>
      </c>
      <c r="G1010" t="s">
        <v>14</v>
      </c>
      <c r="H1010" t="s">
        <v>14</v>
      </c>
      <c r="I1010" t="s">
        <v>12</v>
      </c>
      <c r="J1010" t="s">
        <v>798</v>
      </c>
      <c r="K1010" t="s">
        <v>793</v>
      </c>
      <c r="L1010" t="s">
        <v>788</v>
      </c>
      <c r="M1010" s="5">
        <v>45461</v>
      </c>
      <c r="O1010">
        <v>5</v>
      </c>
      <c r="P1010">
        <v>35.03</v>
      </c>
      <c r="Q1010">
        <v>50.79</v>
      </c>
      <c r="R1010">
        <v>0</v>
      </c>
      <c r="S1010">
        <v>253.95</v>
      </c>
      <c r="T1010" t="s">
        <v>946</v>
      </c>
      <c r="U1010">
        <v>175.15</v>
      </c>
      <c r="V1010">
        <v>78.8</v>
      </c>
    </row>
    <row r="1011" spans="1:22" x14ac:dyDescent="0.35">
      <c r="A1011" t="s">
        <v>2475</v>
      </c>
      <c r="B1011" t="s">
        <v>1289</v>
      </c>
      <c r="C1011" t="s">
        <v>403</v>
      </c>
      <c r="D1011" t="s">
        <v>404</v>
      </c>
      <c r="E1011" t="s">
        <v>681</v>
      </c>
      <c r="F1011" t="s">
        <v>264</v>
      </c>
      <c r="G1011" t="s">
        <v>797</v>
      </c>
      <c r="H1011" t="s">
        <v>20</v>
      </c>
      <c r="I1011" t="s">
        <v>197</v>
      </c>
      <c r="J1011" t="s">
        <v>786</v>
      </c>
      <c r="K1011" t="s">
        <v>799</v>
      </c>
      <c r="L1011" t="s">
        <v>788</v>
      </c>
      <c r="M1011" s="5">
        <v>45605</v>
      </c>
      <c r="N1011" s="5">
        <v>45596</v>
      </c>
      <c r="O1011">
        <v>10</v>
      </c>
      <c r="P1011">
        <v>22.45</v>
      </c>
      <c r="Q1011">
        <v>29.18</v>
      </c>
      <c r="R1011">
        <v>0.1</v>
      </c>
      <c r="S1011">
        <v>262.62</v>
      </c>
      <c r="T1011" t="s">
        <v>839</v>
      </c>
      <c r="U1011">
        <v>224.5</v>
      </c>
      <c r="V1011">
        <v>38.119999999999997</v>
      </c>
    </row>
    <row r="1012" spans="1:22" x14ac:dyDescent="0.35">
      <c r="A1012" t="s">
        <v>2476</v>
      </c>
      <c r="B1012" t="s">
        <v>1822</v>
      </c>
      <c r="C1012" t="s">
        <v>604</v>
      </c>
      <c r="D1012" t="s">
        <v>431</v>
      </c>
      <c r="E1012" t="s">
        <v>637</v>
      </c>
      <c r="F1012" t="s">
        <v>243</v>
      </c>
      <c r="G1012" t="s">
        <v>48</v>
      </c>
      <c r="H1012" t="s">
        <v>8</v>
      </c>
      <c r="I1012" t="s">
        <v>21</v>
      </c>
      <c r="J1012" t="s">
        <v>798</v>
      </c>
      <c r="K1012" t="s">
        <v>799</v>
      </c>
      <c r="L1012" t="s">
        <v>788</v>
      </c>
      <c r="M1012" s="5">
        <v>45671</v>
      </c>
      <c r="N1012" s="5">
        <v>45667</v>
      </c>
      <c r="O1012">
        <v>3</v>
      </c>
      <c r="P1012">
        <v>21.57</v>
      </c>
      <c r="Q1012">
        <v>26.96</v>
      </c>
      <c r="R1012">
        <v>0</v>
      </c>
      <c r="S1012">
        <v>80.88</v>
      </c>
      <c r="T1012" t="s">
        <v>869</v>
      </c>
      <c r="U1012">
        <v>64.709999999999994</v>
      </c>
      <c r="V1012">
        <v>16.170000000000002</v>
      </c>
    </row>
    <row r="1013" spans="1:22" x14ac:dyDescent="0.35">
      <c r="A1013" t="s">
        <v>2477</v>
      </c>
      <c r="B1013" t="s">
        <v>1268</v>
      </c>
      <c r="C1013" t="s">
        <v>430</v>
      </c>
      <c r="D1013" t="s">
        <v>431</v>
      </c>
      <c r="E1013" t="s">
        <v>627</v>
      </c>
      <c r="F1013" t="s">
        <v>264</v>
      </c>
      <c r="G1013" t="s">
        <v>797</v>
      </c>
      <c r="H1013" t="s">
        <v>8</v>
      </c>
      <c r="I1013" t="s">
        <v>21</v>
      </c>
      <c r="J1013" t="s">
        <v>786</v>
      </c>
      <c r="K1013" t="s">
        <v>799</v>
      </c>
      <c r="L1013" t="s">
        <v>788</v>
      </c>
      <c r="M1013" s="5">
        <v>45907</v>
      </c>
      <c r="N1013" s="5">
        <v>45896</v>
      </c>
      <c r="O1013">
        <v>10</v>
      </c>
      <c r="P1013">
        <v>21.57</v>
      </c>
      <c r="Q1013">
        <v>26.96</v>
      </c>
      <c r="R1013">
        <v>0.1</v>
      </c>
      <c r="S1013">
        <v>242.64</v>
      </c>
      <c r="T1013" t="s">
        <v>819</v>
      </c>
      <c r="U1013">
        <v>215.7</v>
      </c>
      <c r="V1013">
        <v>26.94</v>
      </c>
    </row>
    <row r="1014" spans="1:22" x14ac:dyDescent="0.35">
      <c r="A1014" t="s">
        <v>2478</v>
      </c>
      <c r="B1014" t="s">
        <v>1191</v>
      </c>
      <c r="C1014" t="s">
        <v>248</v>
      </c>
      <c r="D1014" t="s">
        <v>249</v>
      </c>
      <c r="E1014" t="s">
        <v>681</v>
      </c>
      <c r="G1014" t="s">
        <v>48</v>
      </c>
      <c r="H1014" t="s">
        <v>14</v>
      </c>
      <c r="I1014" t="s">
        <v>30</v>
      </c>
      <c r="J1014" t="s">
        <v>798</v>
      </c>
      <c r="K1014" t="s">
        <v>793</v>
      </c>
      <c r="L1014" t="s">
        <v>788</v>
      </c>
      <c r="M1014" s="5">
        <v>45794</v>
      </c>
      <c r="O1014">
        <v>3</v>
      </c>
      <c r="P1014">
        <v>19.010000000000002</v>
      </c>
      <c r="Q1014">
        <v>27.56</v>
      </c>
      <c r="R1014">
        <v>0</v>
      </c>
      <c r="S1014">
        <v>82.68</v>
      </c>
      <c r="T1014" t="s">
        <v>1017</v>
      </c>
      <c r="U1014">
        <v>57.03</v>
      </c>
      <c r="V1014">
        <v>25.65</v>
      </c>
    </row>
    <row r="1015" spans="1:22" x14ac:dyDescent="0.35">
      <c r="A1015" t="s">
        <v>2479</v>
      </c>
      <c r="B1015" t="s">
        <v>1899</v>
      </c>
      <c r="C1015" t="s">
        <v>570</v>
      </c>
      <c r="D1015" t="s">
        <v>435</v>
      </c>
      <c r="E1015" t="s">
        <v>674</v>
      </c>
      <c r="F1015" t="s">
        <v>264</v>
      </c>
      <c r="G1015" t="s">
        <v>797</v>
      </c>
      <c r="H1015" t="s">
        <v>14</v>
      </c>
      <c r="I1015" t="s">
        <v>152</v>
      </c>
      <c r="J1015" t="s">
        <v>798</v>
      </c>
      <c r="K1015" t="s">
        <v>822</v>
      </c>
      <c r="L1015" t="s">
        <v>842</v>
      </c>
      <c r="M1015" s="5">
        <v>45922</v>
      </c>
      <c r="N1015" s="5">
        <v>45919</v>
      </c>
      <c r="O1015">
        <v>5</v>
      </c>
      <c r="P1015">
        <v>38.549999999999997</v>
      </c>
      <c r="Q1015">
        <v>53.97</v>
      </c>
      <c r="R1015">
        <v>0.15</v>
      </c>
      <c r="S1015">
        <v>229.37</v>
      </c>
      <c r="T1015" t="s">
        <v>892</v>
      </c>
      <c r="U1015">
        <v>192.75</v>
      </c>
      <c r="V1015">
        <v>36.619999999999997</v>
      </c>
    </row>
    <row r="1016" spans="1:22" x14ac:dyDescent="0.35">
      <c r="A1016" t="s">
        <v>2480</v>
      </c>
      <c r="B1016" t="s">
        <v>1576</v>
      </c>
      <c r="C1016" t="s">
        <v>452</v>
      </c>
      <c r="D1016" t="s">
        <v>420</v>
      </c>
      <c r="E1016" t="s">
        <v>681</v>
      </c>
      <c r="F1016" t="s">
        <v>264</v>
      </c>
      <c r="G1016" t="s">
        <v>797</v>
      </c>
      <c r="H1016" t="s">
        <v>43</v>
      </c>
      <c r="I1016" t="s">
        <v>53</v>
      </c>
      <c r="J1016" t="s">
        <v>798</v>
      </c>
      <c r="K1016" t="s">
        <v>822</v>
      </c>
      <c r="L1016" t="s">
        <v>842</v>
      </c>
      <c r="M1016" s="5">
        <v>46058</v>
      </c>
      <c r="N1016" s="5">
        <v>46060</v>
      </c>
      <c r="O1016">
        <v>5</v>
      </c>
      <c r="P1016">
        <v>54.93</v>
      </c>
      <c r="Q1016">
        <v>79.650000000000006</v>
      </c>
      <c r="R1016">
        <v>0</v>
      </c>
      <c r="S1016">
        <v>398.25</v>
      </c>
      <c r="T1016" t="s">
        <v>790</v>
      </c>
      <c r="U1016">
        <v>274.64999999999998</v>
      </c>
      <c r="V1016">
        <v>123.6</v>
      </c>
    </row>
    <row r="1017" spans="1:22" x14ac:dyDescent="0.35">
      <c r="A1017" t="s">
        <v>2481</v>
      </c>
      <c r="B1017" t="s">
        <v>1576</v>
      </c>
      <c r="C1017" t="s">
        <v>310</v>
      </c>
      <c r="D1017" t="s">
        <v>311</v>
      </c>
      <c r="E1017" t="s">
        <v>637</v>
      </c>
      <c r="F1017" t="s">
        <v>264</v>
      </c>
      <c r="G1017" t="s">
        <v>797</v>
      </c>
      <c r="H1017" t="s">
        <v>20</v>
      </c>
      <c r="I1017" t="s">
        <v>51</v>
      </c>
      <c r="J1017" t="s">
        <v>798</v>
      </c>
      <c r="K1017" t="s">
        <v>793</v>
      </c>
      <c r="L1017" t="s">
        <v>800</v>
      </c>
      <c r="M1017" s="5">
        <v>46058</v>
      </c>
      <c r="O1017">
        <v>20</v>
      </c>
      <c r="P1017">
        <v>11.28</v>
      </c>
      <c r="Q1017">
        <v>15.23</v>
      </c>
      <c r="R1017">
        <v>0.15</v>
      </c>
      <c r="S1017">
        <v>258.91000000000003</v>
      </c>
      <c r="T1017" t="s">
        <v>810</v>
      </c>
      <c r="U1017">
        <v>225.6</v>
      </c>
      <c r="V1017">
        <v>33.31</v>
      </c>
    </row>
    <row r="1018" spans="1:22" x14ac:dyDescent="0.35">
      <c r="A1018" t="s">
        <v>2482</v>
      </c>
      <c r="B1018" t="s">
        <v>1488</v>
      </c>
      <c r="C1018" t="s">
        <v>398</v>
      </c>
      <c r="D1018" t="s">
        <v>399</v>
      </c>
      <c r="E1018" t="s">
        <v>674</v>
      </c>
      <c r="F1018" t="s">
        <v>264</v>
      </c>
      <c r="G1018" t="s">
        <v>14</v>
      </c>
      <c r="H1018" t="s">
        <v>14</v>
      </c>
      <c r="I1018" t="s">
        <v>67</v>
      </c>
      <c r="J1018" t="s">
        <v>798</v>
      </c>
      <c r="K1018" t="s">
        <v>787</v>
      </c>
      <c r="L1018" t="s">
        <v>800</v>
      </c>
      <c r="M1018" s="5">
        <v>46005</v>
      </c>
      <c r="O1018">
        <v>1</v>
      </c>
      <c r="P1018">
        <v>17.63</v>
      </c>
      <c r="Q1018">
        <v>22.92</v>
      </c>
      <c r="R1018">
        <v>0.1</v>
      </c>
      <c r="S1018">
        <v>20.63</v>
      </c>
      <c r="T1018" t="s">
        <v>1017</v>
      </c>
      <c r="U1018">
        <v>17.63</v>
      </c>
      <c r="V1018">
        <v>3</v>
      </c>
    </row>
    <row r="1019" spans="1:22" x14ac:dyDescent="0.35">
      <c r="A1019" t="s">
        <v>2483</v>
      </c>
      <c r="B1019" t="s">
        <v>1206</v>
      </c>
      <c r="C1019" t="s">
        <v>599</v>
      </c>
      <c r="D1019" t="s">
        <v>600</v>
      </c>
      <c r="E1019" t="s">
        <v>637</v>
      </c>
      <c r="F1019" t="s">
        <v>243</v>
      </c>
      <c r="G1019" t="s">
        <v>48</v>
      </c>
      <c r="H1019" t="s">
        <v>14</v>
      </c>
      <c r="I1019" t="s">
        <v>30</v>
      </c>
      <c r="J1019" t="s">
        <v>786</v>
      </c>
      <c r="K1019" t="s">
        <v>787</v>
      </c>
      <c r="L1019" t="s">
        <v>800</v>
      </c>
      <c r="M1019" s="5">
        <v>45399</v>
      </c>
      <c r="O1019">
        <v>10</v>
      </c>
      <c r="P1019">
        <v>19.010000000000002</v>
      </c>
      <c r="Q1019">
        <v>27.56</v>
      </c>
      <c r="R1019">
        <v>0</v>
      </c>
      <c r="S1019">
        <v>275.60000000000002</v>
      </c>
      <c r="T1019" t="s">
        <v>963</v>
      </c>
      <c r="U1019">
        <v>190.1</v>
      </c>
      <c r="V1019">
        <v>85.5</v>
      </c>
    </row>
    <row r="1020" spans="1:22" x14ac:dyDescent="0.35">
      <c r="A1020" t="s">
        <v>2484</v>
      </c>
      <c r="B1020" t="s">
        <v>2351</v>
      </c>
      <c r="C1020" t="s">
        <v>547</v>
      </c>
      <c r="D1020" t="s">
        <v>375</v>
      </c>
      <c r="E1020" t="s">
        <v>637</v>
      </c>
      <c r="F1020" t="s">
        <v>243</v>
      </c>
      <c r="G1020" t="s">
        <v>14</v>
      </c>
      <c r="H1020" t="s">
        <v>14</v>
      </c>
      <c r="I1020" t="s">
        <v>56</v>
      </c>
      <c r="J1020" t="s">
        <v>798</v>
      </c>
      <c r="K1020" t="s">
        <v>799</v>
      </c>
      <c r="L1020" t="s">
        <v>842</v>
      </c>
      <c r="M1020" s="5">
        <v>45532</v>
      </c>
      <c r="N1020" s="5">
        <v>45527</v>
      </c>
      <c r="O1020">
        <v>3</v>
      </c>
      <c r="P1020">
        <v>25.46</v>
      </c>
      <c r="Q1020">
        <v>31.83</v>
      </c>
      <c r="R1020">
        <v>0</v>
      </c>
      <c r="S1020">
        <v>95.49</v>
      </c>
      <c r="T1020" t="s">
        <v>869</v>
      </c>
      <c r="U1020">
        <v>76.38</v>
      </c>
      <c r="V1020">
        <v>19.11</v>
      </c>
    </row>
    <row r="1021" spans="1:22" x14ac:dyDescent="0.35">
      <c r="A1021" t="s">
        <v>2485</v>
      </c>
      <c r="B1021" t="s">
        <v>1049</v>
      </c>
      <c r="C1021" t="s">
        <v>331</v>
      </c>
      <c r="D1021" t="s">
        <v>332</v>
      </c>
      <c r="E1021" t="s">
        <v>696</v>
      </c>
      <c r="F1021" t="s">
        <v>264</v>
      </c>
      <c r="G1021" t="s">
        <v>797</v>
      </c>
      <c r="H1021" t="s">
        <v>79</v>
      </c>
      <c r="I1021" t="s">
        <v>166</v>
      </c>
      <c r="J1021" t="s">
        <v>813</v>
      </c>
      <c r="K1021" t="s">
        <v>799</v>
      </c>
      <c r="L1021" t="s">
        <v>788</v>
      </c>
      <c r="M1021" s="5">
        <v>45496</v>
      </c>
      <c r="N1021" s="5">
        <v>45498</v>
      </c>
      <c r="O1021">
        <v>1</v>
      </c>
      <c r="P1021">
        <v>15.73</v>
      </c>
      <c r="Q1021">
        <v>19.66</v>
      </c>
      <c r="R1021">
        <v>0.1</v>
      </c>
      <c r="S1021">
        <v>17.690000000000001</v>
      </c>
      <c r="T1021" t="s">
        <v>819</v>
      </c>
      <c r="U1021">
        <v>15.73</v>
      </c>
      <c r="V1021">
        <v>1.96</v>
      </c>
    </row>
    <row r="1022" spans="1:22" x14ac:dyDescent="0.35">
      <c r="A1022" t="s">
        <v>2486</v>
      </c>
      <c r="B1022" t="s">
        <v>1892</v>
      </c>
      <c r="C1022" t="s">
        <v>545</v>
      </c>
      <c r="D1022" t="s">
        <v>546</v>
      </c>
      <c r="E1022" t="s">
        <v>696</v>
      </c>
      <c r="F1022" t="s">
        <v>235</v>
      </c>
      <c r="G1022" t="s">
        <v>20</v>
      </c>
      <c r="H1022" t="s">
        <v>14</v>
      </c>
      <c r="I1022" t="s">
        <v>128</v>
      </c>
      <c r="J1022" t="s">
        <v>813</v>
      </c>
      <c r="K1022" t="s">
        <v>822</v>
      </c>
      <c r="L1022" t="s">
        <v>788</v>
      </c>
      <c r="M1022" s="5">
        <v>45877</v>
      </c>
      <c r="N1022" s="5">
        <v>45884</v>
      </c>
      <c r="O1022">
        <v>3</v>
      </c>
      <c r="P1022">
        <v>18.850000000000001</v>
      </c>
      <c r="Q1022">
        <v>27.33</v>
      </c>
      <c r="R1022">
        <v>0.1</v>
      </c>
      <c r="S1022">
        <v>73.790000000000006</v>
      </c>
      <c r="T1022" t="s">
        <v>869</v>
      </c>
      <c r="U1022">
        <v>56.55</v>
      </c>
      <c r="V1022">
        <v>17.239999999999998</v>
      </c>
    </row>
    <row r="1023" spans="1:22" x14ac:dyDescent="0.35">
      <c r="A1023" t="s">
        <v>2487</v>
      </c>
      <c r="B1023" t="s">
        <v>1531</v>
      </c>
      <c r="C1023" t="s">
        <v>401</v>
      </c>
      <c r="D1023" t="s">
        <v>402</v>
      </c>
      <c r="E1023" t="s">
        <v>637</v>
      </c>
      <c r="F1023" t="s">
        <v>243</v>
      </c>
      <c r="G1023" t="s">
        <v>797</v>
      </c>
      <c r="H1023" t="s">
        <v>79</v>
      </c>
      <c r="I1023" t="s">
        <v>77</v>
      </c>
      <c r="J1023" t="s">
        <v>798</v>
      </c>
      <c r="K1023" t="s">
        <v>799</v>
      </c>
      <c r="L1023" t="s">
        <v>800</v>
      </c>
      <c r="M1023" s="5">
        <v>45766</v>
      </c>
      <c r="N1023" s="5">
        <v>45768</v>
      </c>
      <c r="O1023">
        <v>1</v>
      </c>
      <c r="P1023">
        <v>13.71</v>
      </c>
      <c r="Q1023">
        <v>17.82</v>
      </c>
      <c r="R1023">
        <v>0.1</v>
      </c>
      <c r="S1023">
        <v>16.04</v>
      </c>
      <c r="T1023" t="s">
        <v>819</v>
      </c>
      <c r="U1023">
        <v>13.71</v>
      </c>
      <c r="V1023">
        <v>2.33</v>
      </c>
    </row>
    <row r="1024" spans="1:22" x14ac:dyDescent="0.35">
      <c r="A1024" t="s">
        <v>2488</v>
      </c>
      <c r="B1024" t="s">
        <v>945</v>
      </c>
      <c r="C1024" t="s">
        <v>423</v>
      </c>
      <c r="D1024" t="s">
        <v>424</v>
      </c>
      <c r="E1024" t="s">
        <v>633</v>
      </c>
      <c r="F1024" t="s">
        <v>235</v>
      </c>
      <c r="G1024" t="s">
        <v>20</v>
      </c>
      <c r="H1024" t="s">
        <v>48</v>
      </c>
      <c r="I1024" t="s">
        <v>190</v>
      </c>
      <c r="J1024" t="s">
        <v>798</v>
      </c>
      <c r="K1024" t="s">
        <v>793</v>
      </c>
      <c r="L1024" t="s">
        <v>800</v>
      </c>
      <c r="M1024" s="5">
        <v>45589</v>
      </c>
      <c r="O1024">
        <v>5</v>
      </c>
      <c r="P1024">
        <v>21.56</v>
      </c>
      <c r="Q1024">
        <v>31.26</v>
      </c>
      <c r="R1024">
        <v>0.15</v>
      </c>
      <c r="S1024">
        <v>132.86000000000001</v>
      </c>
      <c r="T1024" t="s">
        <v>845</v>
      </c>
      <c r="U1024">
        <v>107.8</v>
      </c>
      <c r="V1024">
        <v>25.06</v>
      </c>
    </row>
    <row r="1025" spans="1:22" x14ac:dyDescent="0.35">
      <c r="A1025" t="s">
        <v>2489</v>
      </c>
      <c r="B1025" t="s">
        <v>2442</v>
      </c>
      <c r="C1025" t="s">
        <v>504</v>
      </c>
      <c r="D1025" t="s">
        <v>505</v>
      </c>
      <c r="E1025" t="s">
        <v>254</v>
      </c>
      <c r="F1025" t="s">
        <v>264</v>
      </c>
      <c r="G1025" t="s">
        <v>797</v>
      </c>
      <c r="H1025" t="s">
        <v>48</v>
      </c>
      <c r="I1025" t="s">
        <v>135</v>
      </c>
      <c r="J1025" t="s">
        <v>786</v>
      </c>
      <c r="K1025" t="s">
        <v>799</v>
      </c>
      <c r="L1025" t="s">
        <v>788</v>
      </c>
      <c r="M1025" s="5">
        <v>45420</v>
      </c>
      <c r="N1025" s="5">
        <v>45413</v>
      </c>
      <c r="O1025">
        <v>5</v>
      </c>
      <c r="P1025">
        <v>51.72</v>
      </c>
      <c r="Q1025">
        <v>67.239999999999995</v>
      </c>
      <c r="R1025">
        <v>0</v>
      </c>
      <c r="S1025">
        <v>336.2</v>
      </c>
      <c r="T1025" t="s">
        <v>834</v>
      </c>
      <c r="U1025">
        <v>258.60000000000002</v>
      </c>
      <c r="V1025">
        <v>77.599999999999994</v>
      </c>
    </row>
    <row r="1026" spans="1:22" x14ac:dyDescent="0.35">
      <c r="A1026" t="s">
        <v>2490</v>
      </c>
      <c r="B1026" t="s">
        <v>1115</v>
      </c>
      <c r="C1026" t="s">
        <v>320</v>
      </c>
      <c r="D1026" t="s">
        <v>321</v>
      </c>
      <c r="E1026" t="s">
        <v>637</v>
      </c>
      <c r="F1026" t="s">
        <v>235</v>
      </c>
      <c r="G1026" t="s">
        <v>797</v>
      </c>
      <c r="H1026" t="s">
        <v>29</v>
      </c>
      <c r="I1026" t="s">
        <v>145</v>
      </c>
      <c r="J1026" t="s">
        <v>798</v>
      </c>
      <c r="K1026" t="s">
        <v>799</v>
      </c>
      <c r="L1026" t="s">
        <v>788</v>
      </c>
      <c r="M1026" s="5">
        <v>45988</v>
      </c>
      <c r="N1026" s="5">
        <v>45985</v>
      </c>
      <c r="O1026">
        <v>12</v>
      </c>
      <c r="P1026">
        <v>57.16</v>
      </c>
      <c r="Q1026">
        <v>82.88</v>
      </c>
      <c r="R1026">
        <v>0</v>
      </c>
      <c r="S1026">
        <v>994.56</v>
      </c>
      <c r="T1026" t="s">
        <v>919</v>
      </c>
      <c r="U1026">
        <v>685.92</v>
      </c>
      <c r="V1026">
        <v>308.64</v>
      </c>
    </row>
    <row r="1027" spans="1:22" x14ac:dyDescent="0.35">
      <c r="A1027" t="s">
        <v>2491</v>
      </c>
      <c r="B1027" t="s">
        <v>1605</v>
      </c>
      <c r="C1027" t="s">
        <v>511</v>
      </c>
      <c r="D1027" t="s">
        <v>512</v>
      </c>
      <c r="E1027" t="s">
        <v>633</v>
      </c>
      <c r="F1027" t="s">
        <v>264</v>
      </c>
      <c r="G1027" t="s">
        <v>797</v>
      </c>
      <c r="H1027" t="s">
        <v>38</v>
      </c>
      <c r="I1027" t="s">
        <v>36</v>
      </c>
      <c r="J1027" t="s">
        <v>798</v>
      </c>
      <c r="K1027" t="s">
        <v>787</v>
      </c>
      <c r="L1027" t="s">
        <v>800</v>
      </c>
      <c r="M1027" s="5">
        <v>45517</v>
      </c>
      <c r="O1027">
        <v>10</v>
      </c>
      <c r="P1027">
        <v>8.57</v>
      </c>
      <c r="Q1027">
        <v>11.14</v>
      </c>
      <c r="R1027">
        <v>0.1</v>
      </c>
      <c r="S1027">
        <v>100.26</v>
      </c>
      <c r="T1027" t="s">
        <v>963</v>
      </c>
      <c r="U1027">
        <v>85.7</v>
      </c>
      <c r="V1027">
        <v>14.56</v>
      </c>
    </row>
    <row r="1028" spans="1:22" x14ac:dyDescent="0.35">
      <c r="A1028" t="s">
        <v>2492</v>
      </c>
      <c r="B1028" t="s">
        <v>1356</v>
      </c>
      <c r="C1028" t="s">
        <v>434</v>
      </c>
      <c r="D1028" t="s">
        <v>435</v>
      </c>
      <c r="E1028" t="s">
        <v>674</v>
      </c>
      <c r="F1028" t="s">
        <v>264</v>
      </c>
      <c r="G1028" t="s">
        <v>797</v>
      </c>
      <c r="H1028" t="s">
        <v>20</v>
      </c>
      <c r="I1028" t="s">
        <v>34</v>
      </c>
      <c r="J1028" t="s">
        <v>798</v>
      </c>
      <c r="K1028" t="s">
        <v>787</v>
      </c>
      <c r="L1028" t="s">
        <v>788</v>
      </c>
      <c r="M1028" s="5">
        <v>45883</v>
      </c>
      <c r="O1028">
        <v>5</v>
      </c>
      <c r="P1028">
        <v>28.02</v>
      </c>
      <c r="Q1028">
        <v>36.43</v>
      </c>
      <c r="R1028">
        <v>0.1</v>
      </c>
      <c r="S1028">
        <v>163.94</v>
      </c>
      <c r="T1028" t="s">
        <v>825</v>
      </c>
      <c r="U1028">
        <v>140.1</v>
      </c>
      <c r="V1028">
        <v>23.84</v>
      </c>
    </row>
    <row r="1029" spans="1:22" x14ac:dyDescent="0.35">
      <c r="A1029" t="s">
        <v>2493</v>
      </c>
      <c r="B1029" t="s">
        <v>2494</v>
      </c>
      <c r="C1029" t="s">
        <v>518</v>
      </c>
      <c r="D1029" t="s">
        <v>519</v>
      </c>
      <c r="E1029" t="s">
        <v>696</v>
      </c>
      <c r="F1029" t="s">
        <v>264</v>
      </c>
      <c r="G1029" t="s">
        <v>14</v>
      </c>
      <c r="H1029" t="s">
        <v>8</v>
      </c>
      <c r="I1029" t="s">
        <v>207</v>
      </c>
      <c r="J1029" t="s">
        <v>786</v>
      </c>
      <c r="K1029" t="s">
        <v>799</v>
      </c>
      <c r="L1029" t="s">
        <v>800</v>
      </c>
      <c r="M1029" s="5">
        <v>45466</v>
      </c>
      <c r="N1029" s="5">
        <v>45460</v>
      </c>
      <c r="O1029">
        <v>5</v>
      </c>
      <c r="P1029">
        <v>8.5399999999999991</v>
      </c>
      <c r="Q1029">
        <v>10.67</v>
      </c>
      <c r="R1029">
        <v>0</v>
      </c>
      <c r="S1029">
        <v>53.35</v>
      </c>
      <c r="T1029" t="s">
        <v>1017</v>
      </c>
      <c r="U1029">
        <v>42.7</v>
      </c>
      <c r="V1029">
        <v>10.65</v>
      </c>
    </row>
    <row r="1030" spans="1:22" x14ac:dyDescent="0.35">
      <c r="A1030" t="s">
        <v>2496</v>
      </c>
      <c r="B1030" t="s">
        <v>1404</v>
      </c>
      <c r="C1030" t="s">
        <v>351</v>
      </c>
      <c r="D1030" t="s">
        <v>352</v>
      </c>
      <c r="E1030" t="s">
        <v>633</v>
      </c>
      <c r="F1030" t="s">
        <v>264</v>
      </c>
      <c r="G1030" t="s">
        <v>797</v>
      </c>
      <c r="H1030" t="s">
        <v>14</v>
      </c>
      <c r="I1030" t="s">
        <v>169</v>
      </c>
      <c r="J1030" t="s">
        <v>798</v>
      </c>
      <c r="K1030" t="s">
        <v>799</v>
      </c>
      <c r="L1030" t="s">
        <v>818</v>
      </c>
      <c r="M1030" s="5">
        <v>45609</v>
      </c>
      <c r="N1030" s="5">
        <v>45612</v>
      </c>
      <c r="O1030">
        <v>2</v>
      </c>
      <c r="P1030">
        <v>40.590000000000003</v>
      </c>
      <c r="Q1030">
        <v>58.86</v>
      </c>
      <c r="R1030">
        <v>0</v>
      </c>
      <c r="S1030">
        <v>117.72</v>
      </c>
      <c r="T1030" t="s">
        <v>876</v>
      </c>
      <c r="U1030">
        <v>81.180000000000007</v>
      </c>
      <c r="V1030">
        <v>36.54</v>
      </c>
    </row>
    <row r="1031" spans="1:22" x14ac:dyDescent="0.35">
      <c r="A1031" t="s">
        <v>2497</v>
      </c>
      <c r="B1031" t="s">
        <v>1393</v>
      </c>
      <c r="C1031" t="s">
        <v>238</v>
      </c>
      <c r="D1031" t="s">
        <v>239</v>
      </c>
      <c r="E1031" t="s">
        <v>637</v>
      </c>
      <c r="F1031" t="s">
        <v>243</v>
      </c>
      <c r="G1031" t="s">
        <v>48</v>
      </c>
      <c r="H1031" t="s">
        <v>14</v>
      </c>
      <c r="I1031" t="s">
        <v>152</v>
      </c>
      <c r="J1031" t="s">
        <v>813</v>
      </c>
      <c r="K1031" t="s">
        <v>793</v>
      </c>
      <c r="L1031" t="s">
        <v>788</v>
      </c>
      <c r="M1031" s="5">
        <v>45697</v>
      </c>
      <c r="O1031">
        <v>10</v>
      </c>
      <c r="P1031">
        <v>38.549999999999997</v>
      </c>
      <c r="Q1031">
        <v>53.97</v>
      </c>
      <c r="R1031">
        <v>0.05</v>
      </c>
      <c r="S1031">
        <v>512.72</v>
      </c>
      <c r="T1031" t="s">
        <v>1017</v>
      </c>
      <c r="U1031">
        <v>385.5</v>
      </c>
      <c r="V1031">
        <v>127.22</v>
      </c>
    </row>
    <row r="1032" spans="1:22" x14ac:dyDescent="0.35">
      <c r="A1032" t="s">
        <v>2498</v>
      </c>
      <c r="B1032" t="s">
        <v>1242</v>
      </c>
      <c r="C1032" t="s">
        <v>379</v>
      </c>
      <c r="D1032" t="s">
        <v>380</v>
      </c>
      <c r="E1032" t="s">
        <v>681</v>
      </c>
      <c r="F1032" t="s">
        <v>264</v>
      </c>
      <c r="G1032" t="s">
        <v>20</v>
      </c>
      <c r="H1032" t="s">
        <v>29</v>
      </c>
      <c r="I1032" t="s">
        <v>123</v>
      </c>
      <c r="J1032" t="s">
        <v>798</v>
      </c>
      <c r="K1032" t="s">
        <v>793</v>
      </c>
      <c r="L1032" t="s">
        <v>800</v>
      </c>
      <c r="M1032" s="5">
        <v>45318</v>
      </c>
      <c r="O1032">
        <v>1</v>
      </c>
      <c r="P1032">
        <v>20.7</v>
      </c>
      <c r="Q1032">
        <v>30.01</v>
      </c>
      <c r="R1032">
        <v>0.05</v>
      </c>
      <c r="S1032">
        <v>28.51</v>
      </c>
      <c r="T1032" t="s">
        <v>935</v>
      </c>
      <c r="U1032">
        <v>20.7</v>
      </c>
      <c r="V1032">
        <v>7.81</v>
      </c>
    </row>
    <row r="1033" spans="1:22" x14ac:dyDescent="0.35">
      <c r="A1033" t="s">
        <v>2499</v>
      </c>
      <c r="B1033" t="s">
        <v>1276</v>
      </c>
      <c r="C1033" t="s">
        <v>536</v>
      </c>
      <c r="D1033" t="s">
        <v>537</v>
      </c>
      <c r="E1033" t="s">
        <v>681</v>
      </c>
      <c r="F1033" t="s">
        <v>235</v>
      </c>
      <c r="G1033" t="s">
        <v>797</v>
      </c>
      <c r="H1033" t="s">
        <v>8</v>
      </c>
      <c r="I1033" t="s">
        <v>181</v>
      </c>
      <c r="J1033" t="s">
        <v>798</v>
      </c>
      <c r="K1033" t="s">
        <v>799</v>
      </c>
      <c r="L1033" t="s">
        <v>800</v>
      </c>
      <c r="M1033" s="5">
        <v>45632</v>
      </c>
      <c r="N1033" s="5">
        <v>45629</v>
      </c>
      <c r="O1033">
        <v>1</v>
      </c>
      <c r="P1033">
        <v>20.49</v>
      </c>
      <c r="Q1033">
        <v>29.71</v>
      </c>
      <c r="R1033">
        <v>0</v>
      </c>
      <c r="S1033">
        <v>29.71</v>
      </c>
      <c r="T1033" t="s">
        <v>834</v>
      </c>
      <c r="U1033">
        <v>20.49</v>
      </c>
      <c r="V1033">
        <v>9.2200000000000006</v>
      </c>
    </row>
    <row r="1034" spans="1:22" x14ac:dyDescent="0.35">
      <c r="A1034" t="s">
        <v>2500</v>
      </c>
      <c r="B1034" t="s">
        <v>1550</v>
      </c>
      <c r="C1034" t="s">
        <v>596</v>
      </c>
      <c r="D1034" t="s">
        <v>443</v>
      </c>
      <c r="E1034" t="s">
        <v>696</v>
      </c>
      <c r="F1034" t="s">
        <v>264</v>
      </c>
      <c r="G1034" t="s">
        <v>48</v>
      </c>
      <c r="H1034" t="s">
        <v>14</v>
      </c>
      <c r="I1034" t="s">
        <v>169</v>
      </c>
      <c r="J1034" t="s">
        <v>798</v>
      </c>
      <c r="K1034" t="s">
        <v>822</v>
      </c>
      <c r="L1034" t="s">
        <v>842</v>
      </c>
      <c r="M1034" s="5">
        <v>45463</v>
      </c>
      <c r="N1034" s="5">
        <v>45464</v>
      </c>
      <c r="O1034">
        <v>3</v>
      </c>
      <c r="P1034">
        <v>40.590000000000003</v>
      </c>
      <c r="Q1034">
        <v>58.86</v>
      </c>
      <c r="R1034">
        <v>0.15</v>
      </c>
      <c r="S1034">
        <v>150.09</v>
      </c>
      <c r="T1034" t="s">
        <v>935</v>
      </c>
      <c r="U1034">
        <v>121.77</v>
      </c>
      <c r="V1034">
        <v>28.32</v>
      </c>
    </row>
    <row r="1035" spans="1:22" x14ac:dyDescent="0.35">
      <c r="A1035" t="s">
        <v>2501</v>
      </c>
      <c r="B1035" t="s">
        <v>2241</v>
      </c>
      <c r="C1035" t="s">
        <v>555</v>
      </c>
      <c r="D1035" t="s">
        <v>391</v>
      </c>
      <c r="E1035" t="s">
        <v>627</v>
      </c>
      <c r="F1035" t="s">
        <v>264</v>
      </c>
      <c r="G1035" t="s">
        <v>797</v>
      </c>
      <c r="H1035" t="s">
        <v>14</v>
      </c>
      <c r="I1035" t="s">
        <v>111</v>
      </c>
      <c r="J1035" t="s">
        <v>813</v>
      </c>
      <c r="K1035" t="s">
        <v>799</v>
      </c>
      <c r="L1035" t="s">
        <v>800</v>
      </c>
      <c r="M1035" s="5">
        <v>45550</v>
      </c>
      <c r="N1035" s="5">
        <v>45555</v>
      </c>
      <c r="O1035">
        <v>2</v>
      </c>
      <c r="P1035">
        <v>19.850000000000001</v>
      </c>
      <c r="Q1035">
        <v>28.78</v>
      </c>
      <c r="R1035">
        <v>0.1</v>
      </c>
      <c r="S1035">
        <v>51.8</v>
      </c>
      <c r="T1035" t="s">
        <v>814</v>
      </c>
      <c r="U1035">
        <v>39.700000000000003</v>
      </c>
      <c r="V1035">
        <v>12.1</v>
      </c>
    </row>
    <row r="1036" spans="1:22" x14ac:dyDescent="0.35">
      <c r="A1036" t="s">
        <v>2502</v>
      </c>
      <c r="B1036" t="s">
        <v>1447</v>
      </c>
      <c r="C1036" t="s">
        <v>498</v>
      </c>
      <c r="D1036" t="s">
        <v>499</v>
      </c>
      <c r="E1036" t="s">
        <v>674</v>
      </c>
      <c r="F1036" t="s">
        <v>235</v>
      </c>
      <c r="G1036" t="s">
        <v>20</v>
      </c>
      <c r="H1036" t="s">
        <v>48</v>
      </c>
      <c r="I1036" t="s">
        <v>54</v>
      </c>
      <c r="J1036" t="s">
        <v>813</v>
      </c>
      <c r="K1036" t="s">
        <v>817</v>
      </c>
      <c r="L1036" t="s">
        <v>818</v>
      </c>
      <c r="M1036" s="5">
        <v>45586</v>
      </c>
      <c r="O1036">
        <v>2</v>
      </c>
      <c r="P1036">
        <v>21.67</v>
      </c>
      <c r="Q1036">
        <v>28.17</v>
      </c>
      <c r="R1036">
        <v>0</v>
      </c>
      <c r="S1036">
        <v>56.34</v>
      </c>
      <c r="T1036" t="s">
        <v>888</v>
      </c>
      <c r="U1036">
        <v>43.34</v>
      </c>
      <c r="V1036">
        <v>13</v>
      </c>
    </row>
    <row r="1037" spans="1:22" x14ac:dyDescent="0.35">
      <c r="A1037" t="s">
        <v>2503</v>
      </c>
      <c r="B1037" t="s">
        <v>878</v>
      </c>
      <c r="C1037" t="s">
        <v>541</v>
      </c>
      <c r="D1037" t="s">
        <v>542</v>
      </c>
      <c r="E1037" t="s">
        <v>674</v>
      </c>
      <c r="F1037" t="s">
        <v>235</v>
      </c>
      <c r="G1037" t="s">
        <v>14</v>
      </c>
      <c r="H1037" t="s">
        <v>20</v>
      </c>
      <c r="I1037" t="s">
        <v>34</v>
      </c>
      <c r="J1037" t="s">
        <v>798</v>
      </c>
      <c r="K1037" t="s">
        <v>793</v>
      </c>
      <c r="L1037" t="s">
        <v>800</v>
      </c>
      <c r="M1037" s="5">
        <v>45902</v>
      </c>
      <c r="O1037">
        <v>2</v>
      </c>
      <c r="P1037">
        <v>28.02</v>
      </c>
      <c r="Q1037">
        <v>36.43</v>
      </c>
      <c r="R1037">
        <v>0.1</v>
      </c>
      <c r="S1037">
        <v>65.569999999999993</v>
      </c>
      <c r="T1037" t="s">
        <v>892</v>
      </c>
      <c r="U1037">
        <v>56.04</v>
      </c>
      <c r="V1037">
        <v>9.5299999999999994</v>
      </c>
    </row>
    <row r="1038" spans="1:22" x14ac:dyDescent="0.35">
      <c r="A1038" t="s">
        <v>2504</v>
      </c>
      <c r="B1038" t="s">
        <v>1448</v>
      </c>
      <c r="C1038" t="s">
        <v>345</v>
      </c>
      <c r="D1038" t="s">
        <v>346</v>
      </c>
      <c r="E1038" t="s">
        <v>637</v>
      </c>
      <c r="F1038" t="s">
        <v>264</v>
      </c>
      <c r="G1038" t="s">
        <v>20</v>
      </c>
      <c r="H1038" t="s">
        <v>14</v>
      </c>
      <c r="I1038" t="s">
        <v>60</v>
      </c>
      <c r="J1038" t="s">
        <v>786</v>
      </c>
      <c r="K1038" t="s">
        <v>799</v>
      </c>
      <c r="L1038" t="s">
        <v>800</v>
      </c>
      <c r="M1038" s="5">
        <v>45604</v>
      </c>
      <c r="N1038" s="5">
        <v>45594</v>
      </c>
      <c r="O1038">
        <v>1</v>
      </c>
      <c r="P1038">
        <v>18.18</v>
      </c>
      <c r="Q1038">
        <v>24.54</v>
      </c>
      <c r="R1038">
        <v>0</v>
      </c>
      <c r="S1038">
        <v>24.54</v>
      </c>
      <c r="T1038" t="s">
        <v>845</v>
      </c>
      <c r="U1038">
        <v>18.18</v>
      </c>
      <c r="V1038">
        <v>6.36</v>
      </c>
    </row>
    <row r="1039" spans="1:22" x14ac:dyDescent="0.35">
      <c r="A1039" t="s">
        <v>2505</v>
      </c>
      <c r="B1039" t="s">
        <v>2121</v>
      </c>
      <c r="C1039" t="s">
        <v>497</v>
      </c>
      <c r="D1039" t="s">
        <v>296</v>
      </c>
      <c r="E1039" t="s">
        <v>674</v>
      </c>
      <c r="F1039" t="s">
        <v>235</v>
      </c>
      <c r="G1039" t="s">
        <v>14</v>
      </c>
      <c r="H1039" t="s">
        <v>79</v>
      </c>
      <c r="I1039" t="s">
        <v>88</v>
      </c>
      <c r="J1039" t="s">
        <v>798</v>
      </c>
      <c r="K1039" t="s">
        <v>799</v>
      </c>
      <c r="L1039" t="s">
        <v>800</v>
      </c>
      <c r="M1039" s="5">
        <v>45487</v>
      </c>
      <c r="N1039" s="5">
        <v>45481</v>
      </c>
      <c r="O1039">
        <v>3</v>
      </c>
      <c r="P1039">
        <v>11.82</v>
      </c>
      <c r="Q1039">
        <v>17.14</v>
      </c>
      <c r="R1039">
        <v>0</v>
      </c>
      <c r="S1039">
        <v>51.42</v>
      </c>
      <c r="T1039" t="s">
        <v>946</v>
      </c>
      <c r="U1039">
        <v>35.46</v>
      </c>
      <c r="V1039">
        <v>15.96</v>
      </c>
    </row>
    <row r="1040" spans="1:22" x14ac:dyDescent="0.35">
      <c r="A1040" t="s">
        <v>2506</v>
      </c>
      <c r="B1040" t="s">
        <v>1978</v>
      </c>
      <c r="C1040" t="s">
        <v>568</v>
      </c>
      <c r="D1040" t="s">
        <v>360</v>
      </c>
      <c r="E1040" t="s">
        <v>696</v>
      </c>
      <c r="G1040" t="s">
        <v>797</v>
      </c>
      <c r="H1040" t="s">
        <v>8</v>
      </c>
      <c r="I1040" t="s">
        <v>207</v>
      </c>
      <c r="J1040" t="s">
        <v>786</v>
      </c>
      <c r="K1040" t="s">
        <v>799</v>
      </c>
      <c r="L1040" t="s">
        <v>842</v>
      </c>
      <c r="M1040" s="5">
        <v>45449</v>
      </c>
      <c r="N1040" s="5">
        <v>45436</v>
      </c>
      <c r="O1040">
        <v>5</v>
      </c>
      <c r="P1040">
        <v>8.5399999999999991</v>
      </c>
      <c r="Q1040">
        <v>10.67</v>
      </c>
      <c r="R1040">
        <v>0.1</v>
      </c>
      <c r="S1040">
        <v>48.02</v>
      </c>
      <c r="T1040" t="s">
        <v>814</v>
      </c>
      <c r="U1040">
        <v>42.7</v>
      </c>
      <c r="V1040">
        <v>5.32</v>
      </c>
    </row>
    <row r="1041" spans="1:22" x14ac:dyDescent="0.35">
      <c r="A1041" t="s">
        <v>2507</v>
      </c>
      <c r="B1041" t="s">
        <v>2353</v>
      </c>
      <c r="C1041" t="s">
        <v>270</v>
      </c>
      <c r="D1041" t="s">
        <v>231</v>
      </c>
      <c r="E1041" t="s">
        <v>627</v>
      </c>
      <c r="F1041" t="s">
        <v>235</v>
      </c>
      <c r="G1041" t="s">
        <v>20</v>
      </c>
      <c r="H1041" t="s">
        <v>8</v>
      </c>
      <c r="I1041" t="s">
        <v>192</v>
      </c>
      <c r="J1041" t="s">
        <v>798</v>
      </c>
      <c r="K1041" t="s">
        <v>799</v>
      </c>
      <c r="L1041" t="s">
        <v>800</v>
      </c>
      <c r="M1041" s="5">
        <v>45878</v>
      </c>
      <c r="N1041" s="5">
        <v>45873</v>
      </c>
      <c r="O1041">
        <v>2</v>
      </c>
      <c r="P1041">
        <v>19.47</v>
      </c>
      <c r="Q1041">
        <v>28.23</v>
      </c>
      <c r="R1041">
        <v>0.1</v>
      </c>
      <c r="S1041">
        <v>50.81</v>
      </c>
      <c r="T1041" t="s">
        <v>1134</v>
      </c>
      <c r="U1041">
        <v>38.94</v>
      </c>
      <c r="V1041">
        <v>11.87</v>
      </c>
    </row>
    <row r="1042" spans="1:22" x14ac:dyDescent="0.35">
      <c r="A1042" t="s">
        <v>2508</v>
      </c>
      <c r="B1042" t="s">
        <v>1750</v>
      </c>
      <c r="C1042" t="s">
        <v>538</v>
      </c>
      <c r="D1042" t="s">
        <v>539</v>
      </c>
      <c r="E1042" t="s">
        <v>254</v>
      </c>
      <c r="F1042" t="s">
        <v>264</v>
      </c>
      <c r="G1042" t="s">
        <v>48</v>
      </c>
      <c r="H1042" t="s">
        <v>48</v>
      </c>
      <c r="I1042" t="s">
        <v>135</v>
      </c>
      <c r="J1042" t="s">
        <v>786</v>
      </c>
      <c r="K1042" t="s">
        <v>799</v>
      </c>
      <c r="L1042" t="s">
        <v>842</v>
      </c>
      <c r="M1042" s="5">
        <v>46058</v>
      </c>
      <c r="N1042" s="5">
        <v>46054</v>
      </c>
      <c r="O1042">
        <v>10</v>
      </c>
      <c r="P1042">
        <v>51.72</v>
      </c>
      <c r="Q1042">
        <v>67.239999999999995</v>
      </c>
      <c r="R1042">
        <v>0.1</v>
      </c>
      <c r="S1042">
        <v>605.16</v>
      </c>
      <c r="T1042" t="s">
        <v>845</v>
      </c>
      <c r="U1042">
        <v>517.20000000000005</v>
      </c>
      <c r="V1042">
        <v>87.96</v>
      </c>
    </row>
    <row r="1043" spans="1:22" x14ac:dyDescent="0.35">
      <c r="A1043" t="s">
        <v>2509</v>
      </c>
      <c r="B1043" t="s">
        <v>1011</v>
      </c>
      <c r="C1043" t="s">
        <v>606</v>
      </c>
      <c r="D1043" t="s">
        <v>600</v>
      </c>
      <c r="E1043" t="s">
        <v>254</v>
      </c>
      <c r="G1043" t="s">
        <v>20</v>
      </c>
      <c r="H1043" t="s">
        <v>14</v>
      </c>
      <c r="I1043" t="s">
        <v>194</v>
      </c>
      <c r="J1043" t="s">
        <v>798</v>
      </c>
      <c r="K1043" t="s">
        <v>793</v>
      </c>
      <c r="L1043" t="s">
        <v>818</v>
      </c>
      <c r="M1043" s="5">
        <v>45964</v>
      </c>
      <c r="O1043">
        <v>20</v>
      </c>
      <c r="P1043">
        <v>20.32</v>
      </c>
      <c r="Q1043">
        <v>25.4</v>
      </c>
      <c r="R1043">
        <v>0.15</v>
      </c>
      <c r="S1043">
        <v>431.8</v>
      </c>
      <c r="T1043" t="s">
        <v>888</v>
      </c>
      <c r="U1043">
        <v>406.4</v>
      </c>
      <c r="V1043">
        <v>25.4</v>
      </c>
    </row>
    <row r="1044" spans="1:22" x14ac:dyDescent="0.35">
      <c r="A1044" t="s">
        <v>2510</v>
      </c>
      <c r="B1044" t="s">
        <v>1388</v>
      </c>
      <c r="C1044" t="s">
        <v>303</v>
      </c>
      <c r="D1044" t="s">
        <v>304</v>
      </c>
      <c r="E1044" t="s">
        <v>674</v>
      </c>
      <c r="F1044" t="s">
        <v>243</v>
      </c>
      <c r="G1044" t="s">
        <v>14</v>
      </c>
      <c r="H1044" t="s">
        <v>8</v>
      </c>
      <c r="I1044" t="s">
        <v>65</v>
      </c>
      <c r="J1044" t="s">
        <v>798</v>
      </c>
      <c r="K1044" t="s">
        <v>799</v>
      </c>
      <c r="L1044" t="s">
        <v>818</v>
      </c>
      <c r="M1044" s="5">
        <v>45965</v>
      </c>
      <c r="N1044" s="5">
        <v>45968</v>
      </c>
      <c r="O1044">
        <v>10</v>
      </c>
      <c r="P1044">
        <v>30.16</v>
      </c>
      <c r="Q1044">
        <v>40.72</v>
      </c>
      <c r="R1044">
        <v>0</v>
      </c>
      <c r="S1044">
        <v>407.2</v>
      </c>
      <c r="T1044" t="s">
        <v>935</v>
      </c>
      <c r="U1044">
        <v>301.60000000000002</v>
      </c>
      <c r="V1044">
        <v>105.6</v>
      </c>
    </row>
    <row r="1045" spans="1:22" x14ac:dyDescent="0.35">
      <c r="A1045" t="s">
        <v>2511</v>
      </c>
      <c r="B1045" t="s">
        <v>1677</v>
      </c>
      <c r="C1045" t="s">
        <v>560</v>
      </c>
      <c r="D1045" t="s">
        <v>292</v>
      </c>
      <c r="E1045" t="s">
        <v>637</v>
      </c>
      <c r="F1045" t="s">
        <v>264</v>
      </c>
      <c r="G1045" t="s">
        <v>797</v>
      </c>
      <c r="H1045" t="s">
        <v>14</v>
      </c>
      <c r="I1045" t="s">
        <v>167</v>
      </c>
      <c r="J1045" t="s">
        <v>813</v>
      </c>
      <c r="K1045" t="s">
        <v>793</v>
      </c>
      <c r="L1045" t="s">
        <v>788</v>
      </c>
      <c r="M1045" s="5">
        <v>45595</v>
      </c>
      <c r="O1045">
        <v>20</v>
      </c>
      <c r="P1045">
        <v>18.62</v>
      </c>
      <c r="Q1045">
        <v>26.07</v>
      </c>
      <c r="R1045">
        <v>0</v>
      </c>
      <c r="S1045">
        <v>521.4</v>
      </c>
      <c r="T1045" t="s">
        <v>794</v>
      </c>
      <c r="U1045">
        <v>372.4</v>
      </c>
      <c r="V1045">
        <v>149</v>
      </c>
    </row>
    <row r="1046" spans="1:22" x14ac:dyDescent="0.35">
      <c r="A1046" t="s">
        <v>2512</v>
      </c>
      <c r="B1046" t="s">
        <v>1179</v>
      </c>
      <c r="C1046" t="s">
        <v>525</v>
      </c>
      <c r="D1046" t="s">
        <v>526</v>
      </c>
      <c r="E1046" t="s">
        <v>696</v>
      </c>
      <c r="F1046" t="s">
        <v>243</v>
      </c>
      <c r="G1046" t="s">
        <v>14</v>
      </c>
      <c r="H1046" t="s">
        <v>14</v>
      </c>
      <c r="I1046" t="s">
        <v>12</v>
      </c>
      <c r="J1046" t="s">
        <v>798</v>
      </c>
      <c r="K1046" t="s">
        <v>799</v>
      </c>
      <c r="L1046" t="s">
        <v>800</v>
      </c>
      <c r="M1046" s="5">
        <v>45897</v>
      </c>
      <c r="N1046" s="5">
        <v>45893</v>
      </c>
      <c r="O1046">
        <v>12</v>
      </c>
      <c r="P1046">
        <v>35.03</v>
      </c>
      <c r="Q1046">
        <v>50.79</v>
      </c>
      <c r="R1046">
        <v>0.15</v>
      </c>
      <c r="S1046">
        <v>518.05999999999995</v>
      </c>
      <c r="T1046" t="s">
        <v>803</v>
      </c>
      <c r="U1046">
        <v>420.36</v>
      </c>
      <c r="V1046">
        <v>97.7</v>
      </c>
    </row>
    <row r="1047" spans="1:22" x14ac:dyDescent="0.35">
      <c r="A1047" t="s">
        <v>2513</v>
      </c>
      <c r="B1047" t="s">
        <v>1547</v>
      </c>
      <c r="C1047" t="s">
        <v>377</v>
      </c>
      <c r="D1047" t="s">
        <v>378</v>
      </c>
      <c r="E1047" t="s">
        <v>633</v>
      </c>
      <c r="F1047" t="s">
        <v>243</v>
      </c>
      <c r="G1047" t="s">
        <v>797</v>
      </c>
      <c r="H1047" t="s">
        <v>48</v>
      </c>
      <c r="I1047" t="s">
        <v>177</v>
      </c>
      <c r="J1047" t="s">
        <v>813</v>
      </c>
      <c r="K1047" t="s">
        <v>799</v>
      </c>
      <c r="L1047" t="s">
        <v>842</v>
      </c>
      <c r="M1047" s="5">
        <v>45488</v>
      </c>
      <c r="N1047" s="5">
        <v>45491</v>
      </c>
      <c r="O1047">
        <v>1</v>
      </c>
      <c r="P1047">
        <v>41.79</v>
      </c>
      <c r="Q1047">
        <v>60.6</v>
      </c>
      <c r="R1047">
        <v>0</v>
      </c>
      <c r="S1047">
        <v>60.6</v>
      </c>
      <c r="T1047" t="s">
        <v>790</v>
      </c>
      <c r="U1047">
        <v>41.79</v>
      </c>
      <c r="V1047">
        <v>18.809999999999999</v>
      </c>
    </row>
    <row r="1048" spans="1:22" x14ac:dyDescent="0.35">
      <c r="A1048" t="s">
        <v>2514</v>
      </c>
      <c r="B1048" t="s">
        <v>1700</v>
      </c>
      <c r="C1048" t="s">
        <v>430</v>
      </c>
      <c r="D1048" t="s">
        <v>431</v>
      </c>
      <c r="E1048" t="s">
        <v>674</v>
      </c>
      <c r="F1048" t="s">
        <v>264</v>
      </c>
      <c r="G1048" t="s">
        <v>14</v>
      </c>
      <c r="H1048" t="s">
        <v>8</v>
      </c>
      <c r="I1048" t="s">
        <v>212</v>
      </c>
      <c r="J1048" t="s">
        <v>798</v>
      </c>
      <c r="K1048" t="s">
        <v>787</v>
      </c>
      <c r="L1048" t="s">
        <v>800</v>
      </c>
      <c r="M1048" s="5">
        <v>45369</v>
      </c>
      <c r="O1048">
        <v>3</v>
      </c>
      <c r="P1048">
        <v>95.09</v>
      </c>
      <c r="Q1048">
        <v>133.13</v>
      </c>
      <c r="R1048">
        <v>0</v>
      </c>
      <c r="S1048">
        <v>399.39</v>
      </c>
      <c r="T1048" t="s">
        <v>963</v>
      </c>
      <c r="U1048">
        <v>285.27</v>
      </c>
      <c r="V1048">
        <v>114.12</v>
      </c>
    </row>
    <row r="1049" spans="1:22" x14ac:dyDescent="0.35">
      <c r="A1049" t="s">
        <v>2515</v>
      </c>
      <c r="B1049" t="s">
        <v>959</v>
      </c>
      <c r="C1049" t="s">
        <v>345</v>
      </c>
      <c r="D1049" t="s">
        <v>346</v>
      </c>
      <c r="E1049" t="s">
        <v>696</v>
      </c>
      <c r="F1049" t="s">
        <v>264</v>
      </c>
      <c r="G1049" t="s">
        <v>797</v>
      </c>
      <c r="H1049" t="s">
        <v>29</v>
      </c>
      <c r="I1049" t="s">
        <v>86</v>
      </c>
      <c r="J1049" t="s">
        <v>786</v>
      </c>
      <c r="K1049" t="s">
        <v>787</v>
      </c>
      <c r="L1049" t="s">
        <v>788</v>
      </c>
      <c r="M1049" s="5">
        <v>45669</v>
      </c>
      <c r="O1049">
        <v>1</v>
      </c>
      <c r="P1049">
        <v>8.35</v>
      </c>
      <c r="Q1049">
        <v>12.11</v>
      </c>
      <c r="R1049">
        <v>0.05</v>
      </c>
      <c r="S1049">
        <v>11.5</v>
      </c>
      <c r="T1049" t="s">
        <v>829</v>
      </c>
      <c r="U1049">
        <v>8.35</v>
      </c>
      <c r="V1049">
        <v>3.15</v>
      </c>
    </row>
    <row r="1050" spans="1:22" x14ac:dyDescent="0.35">
      <c r="A1050" t="s">
        <v>2516</v>
      </c>
      <c r="B1050" t="s">
        <v>1203</v>
      </c>
      <c r="C1050" t="s">
        <v>467</v>
      </c>
      <c r="D1050" t="s">
        <v>468</v>
      </c>
      <c r="E1050" t="s">
        <v>674</v>
      </c>
      <c r="F1050" t="s">
        <v>235</v>
      </c>
      <c r="G1050" t="s">
        <v>797</v>
      </c>
      <c r="H1050" t="s">
        <v>8</v>
      </c>
      <c r="I1050" t="s">
        <v>192</v>
      </c>
      <c r="J1050" t="s">
        <v>798</v>
      </c>
      <c r="K1050" t="s">
        <v>799</v>
      </c>
      <c r="L1050" t="s">
        <v>842</v>
      </c>
      <c r="M1050" s="5">
        <v>45756</v>
      </c>
      <c r="N1050" s="5">
        <v>45759</v>
      </c>
      <c r="O1050">
        <v>5</v>
      </c>
      <c r="P1050">
        <v>19.47</v>
      </c>
      <c r="Q1050">
        <v>28.23</v>
      </c>
      <c r="R1050">
        <v>0</v>
      </c>
      <c r="S1050">
        <v>141.15</v>
      </c>
      <c r="T1050" t="s">
        <v>892</v>
      </c>
      <c r="U1050">
        <v>97.35</v>
      </c>
      <c r="V1050">
        <v>43.8</v>
      </c>
    </row>
    <row r="1051" spans="1:22" x14ac:dyDescent="0.35">
      <c r="A1051" t="s">
        <v>2517</v>
      </c>
      <c r="B1051" t="s">
        <v>1208</v>
      </c>
      <c r="C1051" t="s">
        <v>337</v>
      </c>
      <c r="D1051" t="s">
        <v>338</v>
      </c>
      <c r="E1051" t="s">
        <v>674</v>
      </c>
      <c r="F1051" t="s">
        <v>243</v>
      </c>
      <c r="G1051" t="s">
        <v>20</v>
      </c>
      <c r="H1051" t="s">
        <v>29</v>
      </c>
      <c r="I1051" t="s">
        <v>106</v>
      </c>
      <c r="J1051" t="s">
        <v>813</v>
      </c>
      <c r="K1051" t="s">
        <v>799</v>
      </c>
      <c r="L1051" t="s">
        <v>800</v>
      </c>
      <c r="M1051" s="5">
        <v>46036</v>
      </c>
      <c r="N1051" s="5">
        <v>46040</v>
      </c>
      <c r="O1051">
        <v>2</v>
      </c>
      <c r="P1051">
        <v>29.64</v>
      </c>
      <c r="Q1051">
        <v>41.5</v>
      </c>
      <c r="R1051">
        <v>0.15</v>
      </c>
      <c r="S1051">
        <v>70.55</v>
      </c>
      <c r="T1051" t="s">
        <v>1134</v>
      </c>
      <c r="U1051">
        <v>59.28</v>
      </c>
      <c r="V1051">
        <v>11.27</v>
      </c>
    </row>
    <row r="1052" spans="1:22" x14ac:dyDescent="0.35">
      <c r="A1052" t="s">
        <v>2518</v>
      </c>
      <c r="B1052" t="s">
        <v>1184</v>
      </c>
      <c r="C1052" t="s">
        <v>317</v>
      </c>
      <c r="D1052" t="s">
        <v>318</v>
      </c>
      <c r="E1052" t="s">
        <v>637</v>
      </c>
      <c r="F1052" t="s">
        <v>264</v>
      </c>
      <c r="G1052" t="s">
        <v>14</v>
      </c>
      <c r="H1052" t="s">
        <v>43</v>
      </c>
      <c r="I1052" t="s">
        <v>146</v>
      </c>
      <c r="J1052" t="s">
        <v>798</v>
      </c>
      <c r="K1052" t="s">
        <v>799</v>
      </c>
      <c r="L1052" t="s">
        <v>818</v>
      </c>
      <c r="M1052" s="5">
        <v>45494</v>
      </c>
      <c r="N1052" s="5">
        <v>45494</v>
      </c>
      <c r="O1052">
        <v>12</v>
      </c>
      <c r="P1052">
        <v>24.05</v>
      </c>
      <c r="Q1052">
        <v>31.27</v>
      </c>
      <c r="R1052">
        <v>0</v>
      </c>
      <c r="S1052">
        <v>375.24</v>
      </c>
      <c r="T1052" t="s">
        <v>839</v>
      </c>
      <c r="U1052">
        <v>288.60000000000002</v>
      </c>
      <c r="V1052">
        <v>86.64</v>
      </c>
    </row>
    <row r="1053" spans="1:22" x14ac:dyDescent="0.35">
      <c r="A1053" t="s">
        <v>2519</v>
      </c>
      <c r="B1053" t="s">
        <v>912</v>
      </c>
      <c r="C1053" t="s">
        <v>322</v>
      </c>
      <c r="D1053" t="s">
        <v>245</v>
      </c>
      <c r="E1053" t="s">
        <v>633</v>
      </c>
      <c r="F1053" t="s">
        <v>243</v>
      </c>
      <c r="G1053" t="s">
        <v>797</v>
      </c>
      <c r="H1053" t="s">
        <v>79</v>
      </c>
      <c r="I1053" t="s">
        <v>124</v>
      </c>
      <c r="J1053" t="s">
        <v>798</v>
      </c>
      <c r="K1053" t="s">
        <v>787</v>
      </c>
      <c r="L1053" t="s">
        <v>800</v>
      </c>
      <c r="M1053" s="5">
        <v>45729</v>
      </c>
      <c r="O1053">
        <v>1</v>
      </c>
      <c r="P1053">
        <v>29.44</v>
      </c>
      <c r="Q1053">
        <v>41.22</v>
      </c>
      <c r="R1053">
        <v>0</v>
      </c>
      <c r="S1053">
        <v>41.22</v>
      </c>
      <c r="T1053" t="s">
        <v>1001</v>
      </c>
      <c r="U1053">
        <v>29.44</v>
      </c>
      <c r="V1053">
        <v>11.78</v>
      </c>
    </row>
    <row r="1054" spans="1:22" x14ac:dyDescent="0.35">
      <c r="A1054" t="s">
        <v>2520</v>
      </c>
      <c r="B1054" t="s">
        <v>1767</v>
      </c>
      <c r="C1054" t="s">
        <v>568</v>
      </c>
      <c r="D1054" t="s">
        <v>360</v>
      </c>
      <c r="E1054" t="s">
        <v>637</v>
      </c>
      <c r="G1054" t="s">
        <v>797</v>
      </c>
      <c r="H1054" t="s">
        <v>48</v>
      </c>
      <c r="I1054" t="s">
        <v>202</v>
      </c>
      <c r="J1054" t="s">
        <v>798</v>
      </c>
      <c r="K1054" t="s">
        <v>822</v>
      </c>
      <c r="L1054" t="s">
        <v>800</v>
      </c>
      <c r="M1054" s="5">
        <v>45385</v>
      </c>
      <c r="N1054" s="5">
        <v>45384</v>
      </c>
      <c r="O1054">
        <v>5</v>
      </c>
      <c r="P1054">
        <v>27</v>
      </c>
      <c r="Q1054">
        <v>39.15</v>
      </c>
      <c r="R1054">
        <v>0.15</v>
      </c>
      <c r="S1054">
        <v>166.39</v>
      </c>
      <c r="T1054" t="s">
        <v>869</v>
      </c>
      <c r="U1054">
        <v>135</v>
      </c>
      <c r="V1054">
        <v>31.39</v>
      </c>
    </row>
    <row r="1055" spans="1:22" x14ac:dyDescent="0.35">
      <c r="A1055" t="s">
        <v>2521</v>
      </c>
      <c r="B1055" t="s">
        <v>725</v>
      </c>
      <c r="C1055" t="s">
        <v>400</v>
      </c>
      <c r="D1055" t="s">
        <v>383</v>
      </c>
      <c r="E1055" t="s">
        <v>674</v>
      </c>
      <c r="F1055" t="s">
        <v>235</v>
      </c>
      <c r="G1055" t="s">
        <v>14</v>
      </c>
      <c r="H1055" t="s">
        <v>38</v>
      </c>
      <c r="I1055" t="s">
        <v>172</v>
      </c>
      <c r="J1055" t="s">
        <v>813</v>
      </c>
      <c r="K1055" t="s">
        <v>787</v>
      </c>
      <c r="L1055" t="s">
        <v>818</v>
      </c>
      <c r="M1055" s="5">
        <v>45341</v>
      </c>
      <c r="O1055">
        <v>5</v>
      </c>
      <c r="P1055">
        <v>18.329999999999998</v>
      </c>
      <c r="Q1055">
        <v>22.91</v>
      </c>
      <c r="R1055">
        <v>0</v>
      </c>
      <c r="S1055">
        <v>114.55</v>
      </c>
      <c r="T1055" t="s">
        <v>829</v>
      </c>
      <c r="U1055">
        <v>91.65</v>
      </c>
      <c r="V1055">
        <v>22.9</v>
      </c>
    </row>
    <row r="1056" spans="1:22" x14ac:dyDescent="0.35">
      <c r="A1056" t="s">
        <v>2523</v>
      </c>
      <c r="B1056" t="s">
        <v>991</v>
      </c>
      <c r="C1056" t="s">
        <v>603</v>
      </c>
      <c r="D1056" t="s">
        <v>508</v>
      </c>
      <c r="E1056" t="s">
        <v>681</v>
      </c>
      <c r="F1056" t="s">
        <v>264</v>
      </c>
      <c r="G1056" t="s">
        <v>797</v>
      </c>
      <c r="H1056" t="s">
        <v>29</v>
      </c>
      <c r="I1056" t="s">
        <v>158</v>
      </c>
      <c r="J1056" t="s">
        <v>798</v>
      </c>
      <c r="K1056" t="s">
        <v>799</v>
      </c>
      <c r="L1056" t="s">
        <v>818</v>
      </c>
      <c r="M1056" s="5">
        <v>45909</v>
      </c>
      <c r="N1056" s="5">
        <v>45911</v>
      </c>
      <c r="O1056">
        <v>20</v>
      </c>
      <c r="P1056">
        <v>25.8</v>
      </c>
      <c r="Q1056">
        <v>36.119999999999997</v>
      </c>
      <c r="R1056">
        <v>0</v>
      </c>
      <c r="S1056">
        <v>722.4</v>
      </c>
      <c r="T1056" t="s">
        <v>810</v>
      </c>
      <c r="U1056">
        <v>516</v>
      </c>
      <c r="V1056">
        <v>206.4</v>
      </c>
    </row>
    <row r="1057" spans="1:22" x14ac:dyDescent="0.35">
      <c r="A1057" t="s">
        <v>2524</v>
      </c>
      <c r="B1057" t="s">
        <v>1263</v>
      </c>
      <c r="C1057" t="s">
        <v>452</v>
      </c>
      <c r="D1057" t="s">
        <v>420</v>
      </c>
      <c r="E1057" t="s">
        <v>254</v>
      </c>
      <c r="F1057" t="s">
        <v>264</v>
      </c>
      <c r="G1057" t="s">
        <v>20</v>
      </c>
      <c r="H1057" t="s">
        <v>20</v>
      </c>
      <c r="I1057" t="s">
        <v>197</v>
      </c>
      <c r="J1057" t="s">
        <v>813</v>
      </c>
      <c r="K1057" t="s">
        <v>793</v>
      </c>
      <c r="L1057" t="s">
        <v>818</v>
      </c>
      <c r="M1057" s="5">
        <v>45450</v>
      </c>
      <c r="O1057">
        <v>3</v>
      </c>
      <c r="P1057">
        <v>22.45</v>
      </c>
      <c r="Q1057">
        <v>29.18</v>
      </c>
      <c r="R1057">
        <v>0.15</v>
      </c>
      <c r="S1057">
        <v>74.41</v>
      </c>
      <c r="T1057" t="s">
        <v>814</v>
      </c>
      <c r="U1057">
        <v>67.349999999999994</v>
      </c>
      <c r="V1057">
        <v>7.06</v>
      </c>
    </row>
    <row r="1058" spans="1:22" x14ac:dyDescent="0.35">
      <c r="A1058" t="s">
        <v>2525</v>
      </c>
      <c r="B1058" t="s">
        <v>891</v>
      </c>
      <c r="C1058" t="s">
        <v>434</v>
      </c>
      <c r="D1058" t="s">
        <v>435</v>
      </c>
      <c r="E1058" t="s">
        <v>254</v>
      </c>
      <c r="F1058" t="s">
        <v>264</v>
      </c>
      <c r="G1058" t="s">
        <v>20</v>
      </c>
      <c r="H1058" t="s">
        <v>29</v>
      </c>
      <c r="I1058" t="s">
        <v>106</v>
      </c>
      <c r="J1058" t="s">
        <v>798</v>
      </c>
      <c r="K1058" t="s">
        <v>822</v>
      </c>
      <c r="L1058" t="s">
        <v>842</v>
      </c>
      <c r="M1058" s="5">
        <v>45570</v>
      </c>
      <c r="N1058" s="5">
        <v>45570</v>
      </c>
      <c r="O1058">
        <v>1</v>
      </c>
      <c r="P1058">
        <v>29.64</v>
      </c>
      <c r="Q1058">
        <v>41.5</v>
      </c>
      <c r="R1058">
        <v>0.15</v>
      </c>
      <c r="S1058">
        <v>35.270000000000003</v>
      </c>
      <c r="T1058" t="s">
        <v>888</v>
      </c>
      <c r="U1058">
        <v>29.64</v>
      </c>
      <c r="V1058">
        <v>5.63</v>
      </c>
    </row>
    <row r="1059" spans="1:22" x14ac:dyDescent="0.35">
      <c r="A1059" t="s">
        <v>2526</v>
      </c>
      <c r="B1059" t="s">
        <v>1839</v>
      </c>
      <c r="C1059" t="s">
        <v>457</v>
      </c>
      <c r="D1059" t="s">
        <v>458</v>
      </c>
      <c r="E1059" t="s">
        <v>637</v>
      </c>
      <c r="F1059" t="s">
        <v>243</v>
      </c>
      <c r="G1059" t="s">
        <v>14</v>
      </c>
      <c r="H1059" t="s">
        <v>48</v>
      </c>
      <c r="I1059" t="s">
        <v>61</v>
      </c>
      <c r="J1059" t="s">
        <v>798</v>
      </c>
      <c r="K1059" t="s">
        <v>787</v>
      </c>
      <c r="L1059" t="s">
        <v>842</v>
      </c>
      <c r="M1059" s="5">
        <v>45346</v>
      </c>
      <c r="O1059">
        <v>12</v>
      </c>
      <c r="P1059">
        <v>26.08</v>
      </c>
      <c r="Q1059">
        <v>35.21</v>
      </c>
      <c r="R1059">
        <v>0</v>
      </c>
      <c r="S1059">
        <v>422.52</v>
      </c>
      <c r="T1059" t="s">
        <v>794</v>
      </c>
      <c r="U1059">
        <v>312.95999999999998</v>
      </c>
      <c r="V1059">
        <v>109.56</v>
      </c>
    </row>
    <row r="1060" spans="1:22" x14ac:dyDescent="0.35">
      <c r="A1060" t="s">
        <v>2527</v>
      </c>
      <c r="B1060" t="s">
        <v>1432</v>
      </c>
      <c r="C1060" t="s">
        <v>295</v>
      </c>
      <c r="D1060" t="s">
        <v>296</v>
      </c>
      <c r="E1060" t="s">
        <v>254</v>
      </c>
      <c r="F1060" t="s">
        <v>264</v>
      </c>
      <c r="G1060" t="s">
        <v>48</v>
      </c>
      <c r="H1060" t="s">
        <v>43</v>
      </c>
      <c r="I1060" t="s">
        <v>141</v>
      </c>
      <c r="J1060" t="s">
        <v>798</v>
      </c>
      <c r="K1060" t="s">
        <v>793</v>
      </c>
      <c r="L1060" t="s">
        <v>818</v>
      </c>
      <c r="M1060" s="5">
        <v>45393</v>
      </c>
      <c r="O1060">
        <v>3</v>
      </c>
      <c r="P1060">
        <v>17.2</v>
      </c>
      <c r="Q1060">
        <v>22.36</v>
      </c>
      <c r="R1060">
        <v>0</v>
      </c>
      <c r="S1060">
        <v>67.08</v>
      </c>
      <c r="T1060" t="s">
        <v>946</v>
      </c>
      <c r="U1060">
        <v>51.6</v>
      </c>
      <c r="V1060">
        <v>15.48</v>
      </c>
    </row>
    <row r="1061" spans="1:22" x14ac:dyDescent="0.35">
      <c r="A1061" t="s">
        <v>2528</v>
      </c>
      <c r="B1061" t="s">
        <v>1761</v>
      </c>
      <c r="C1061" t="s">
        <v>428</v>
      </c>
      <c r="D1061" t="s">
        <v>429</v>
      </c>
      <c r="E1061" t="s">
        <v>696</v>
      </c>
      <c r="F1061" t="s">
        <v>264</v>
      </c>
      <c r="G1061" t="s">
        <v>14</v>
      </c>
      <c r="H1061" t="s">
        <v>29</v>
      </c>
      <c r="I1061" t="s">
        <v>154</v>
      </c>
      <c r="J1061" t="s">
        <v>786</v>
      </c>
      <c r="K1061" t="s">
        <v>787</v>
      </c>
      <c r="L1061" t="s">
        <v>800</v>
      </c>
      <c r="M1061" s="5">
        <v>45958</v>
      </c>
      <c r="O1061">
        <v>5</v>
      </c>
      <c r="P1061">
        <v>25.74</v>
      </c>
      <c r="Q1061">
        <v>33.46</v>
      </c>
      <c r="R1061">
        <v>0.1</v>
      </c>
      <c r="S1061">
        <v>150.57</v>
      </c>
      <c r="T1061" t="s">
        <v>825</v>
      </c>
      <c r="U1061">
        <v>128.69999999999999</v>
      </c>
      <c r="V1061">
        <v>21.87</v>
      </c>
    </row>
    <row r="1062" spans="1:22" x14ac:dyDescent="0.35">
      <c r="A1062" t="s">
        <v>2529</v>
      </c>
      <c r="B1062" t="s">
        <v>1976</v>
      </c>
      <c r="C1062" t="s">
        <v>501</v>
      </c>
      <c r="D1062" t="s">
        <v>363</v>
      </c>
      <c r="E1062" t="s">
        <v>696</v>
      </c>
      <c r="F1062" t="s">
        <v>264</v>
      </c>
      <c r="G1062" t="s">
        <v>20</v>
      </c>
      <c r="H1062" t="s">
        <v>48</v>
      </c>
      <c r="I1062" t="s">
        <v>61</v>
      </c>
      <c r="J1062" t="s">
        <v>786</v>
      </c>
      <c r="K1062" t="s">
        <v>793</v>
      </c>
      <c r="L1062" t="s">
        <v>788</v>
      </c>
      <c r="M1062" s="5">
        <v>46039</v>
      </c>
      <c r="O1062">
        <v>20</v>
      </c>
      <c r="P1062">
        <v>26.08</v>
      </c>
      <c r="Q1062">
        <v>35.21</v>
      </c>
      <c r="R1062">
        <v>0.1</v>
      </c>
      <c r="S1062">
        <v>633.78</v>
      </c>
      <c r="T1062" t="s">
        <v>888</v>
      </c>
      <c r="U1062">
        <v>521.6</v>
      </c>
      <c r="V1062">
        <v>112.18</v>
      </c>
    </row>
    <row r="1063" spans="1:22" x14ac:dyDescent="0.35">
      <c r="A1063" t="s">
        <v>2530</v>
      </c>
      <c r="B1063" t="s">
        <v>2135</v>
      </c>
      <c r="C1063" t="s">
        <v>573</v>
      </c>
      <c r="D1063" t="s">
        <v>277</v>
      </c>
      <c r="E1063" t="s">
        <v>254</v>
      </c>
      <c r="F1063" t="s">
        <v>235</v>
      </c>
      <c r="G1063" t="s">
        <v>20</v>
      </c>
      <c r="H1063" t="s">
        <v>38</v>
      </c>
      <c r="I1063" t="s">
        <v>117</v>
      </c>
      <c r="J1063" t="s">
        <v>798</v>
      </c>
      <c r="K1063" t="s">
        <v>793</v>
      </c>
      <c r="L1063" t="s">
        <v>842</v>
      </c>
      <c r="M1063" s="5">
        <v>45445</v>
      </c>
      <c r="O1063">
        <v>1</v>
      </c>
      <c r="P1063">
        <v>43.25</v>
      </c>
      <c r="Q1063">
        <v>60.55</v>
      </c>
      <c r="R1063">
        <v>0</v>
      </c>
      <c r="S1063">
        <v>60.55</v>
      </c>
      <c r="T1063" t="s">
        <v>794</v>
      </c>
      <c r="U1063">
        <v>43.25</v>
      </c>
      <c r="V1063">
        <v>17.3</v>
      </c>
    </row>
    <row r="1064" spans="1:22" x14ac:dyDescent="0.35">
      <c r="A1064" t="s">
        <v>2531</v>
      </c>
      <c r="B1064" t="s">
        <v>1302</v>
      </c>
      <c r="C1064" t="s">
        <v>597</v>
      </c>
      <c r="D1064" t="s">
        <v>598</v>
      </c>
      <c r="E1064" t="s">
        <v>681</v>
      </c>
      <c r="F1064" t="s">
        <v>235</v>
      </c>
      <c r="G1064" t="s">
        <v>797</v>
      </c>
      <c r="H1064" t="s">
        <v>79</v>
      </c>
      <c r="I1064" t="s">
        <v>108</v>
      </c>
      <c r="J1064" t="s">
        <v>798</v>
      </c>
      <c r="K1064" t="s">
        <v>799</v>
      </c>
      <c r="L1064" t="s">
        <v>800</v>
      </c>
      <c r="M1064" s="5">
        <v>45555</v>
      </c>
      <c r="N1064" s="5">
        <v>45555</v>
      </c>
      <c r="O1064">
        <v>2</v>
      </c>
      <c r="P1064">
        <v>9.3000000000000007</v>
      </c>
      <c r="Q1064">
        <v>12.56</v>
      </c>
      <c r="R1064">
        <v>0</v>
      </c>
      <c r="S1064">
        <v>25.12</v>
      </c>
      <c r="T1064" t="s">
        <v>1134</v>
      </c>
      <c r="U1064">
        <v>18.600000000000001</v>
      </c>
      <c r="V1064">
        <v>6.52</v>
      </c>
    </row>
    <row r="1065" spans="1:22" x14ac:dyDescent="0.35">
      <c r="A1065" t="s">
        <v>2532</v>
      </c>
      <c r="B1065" t="s">
        <v>2533</v>
      </c>
      <c r="C1065" t="s">
        <v>545</v>
      </c>
      <c r="D1065" t="s">
        <v>546</v>
      </c>
      <c r="E1065" t="s">
        <v>681</v>
      </c>
      <c r="F1065" t="s">
        <v>235</v>
      </c>
      <c r="G1065" t="s">
        <v>48</v>
      </c>
      <c r="H1065" t="s">
        <v>48</v>
      </c>
      <c r="I1065" t="s">
        <v>210</v>
      </c>
      <c r="J1065" t="s">
        <v>813</v>
      </c>
      <c r="K1065" t="s">
        <v>822</v>
      </c>
      <c r="L1065" t="s">
        <v>818</v>
      </c>
      <c r="M1065" s="5">
        <v>45678</v>
      </c>
      <c r="N1065" s="5">
        <v>45679</v>
      </c>
      <c r="O1065">
        <v>20</v>
      </c>
      <c r="P1065">
        <v>25.36</v>
      </c>
      <c r="Q1065">
        <v>34.24</v>
      </c>
      <c r="R1065">
        <v>0.15</v>
      </c>
      <c r="S1065">
        <v>582.08000000000004</v>
      </c>
      <c r="T1065" t="s">
        <v>829</v>
      </c>
      <c r="U1065">
        <v>507.2</v>
      </c>
      <c r="V1065">
        <v>74.88</v>
      </c>
    </row>
    <row r="1066" spans="1:22" x14ac:dyDescent="0.35">
      <c r="A1066" t="s">
        <v>2534</v>
      </c>
      <c r="B1066" t="s">
        <v>2130</v>
      </c>
      <c r="C1066" t="s">
        <v>347</v>
      </c>
      <c r="D1066" t="s">
        <v>348</v>
      </c>
      <c r="E1066" t="s">
        <v>681</v>
      </c>
      <c r="F1066" t="s">
        <v>243</v>
      </c>
      <c r="G1066" t="s">
        <v>797</v>
      </c>
      <c r="H1066" t="s">
        <v>20</v>
      </c>
      <c r="I1066" t="s">
        <v>119</v>
      </c>
      <c r="J1066" t="s">
        <v>786</v>
      </c>
      <c r="K1066" t="s">
        <v>787</v>
      </c>
      <c r="L1066" t="s">
        <v>800</v>
      </c>
      <c r="M1066" s="5">
        <v>45492</v>
      </c>
      <c r="O1066">
        <v>3</v>
      </c>
      <c r="P1066">
        <v>40.94</v>
      </c>
      <c r="Q1066">
        <v>53.22</v>
      </c>
      <c r="R1066">
        <v>0</v>
      </c>
      <c r="S1066">
        <v>159.66</v>
      </c>
      <c r="T1066" t="s">
        <v>803</v>
      </c>
      <c r="U1066">
        <v>122.82</v>
      </c>
      <c r="V1066">
        <v>36.840000000000003</v>
      </c>
    </row>
    <row r="1067" spans="1:22" x14ac:dyDescent="0.35">
      <c r="A1067" t="s">
        <v>2535</v>
      </c>
      <c r="B1067" t="s">
        <v>1412</v>
      </c>
      <c r="C1067" t="s">
        <v>444</v>
      </c>
      <c r="D1067" t="s">
        <v>445</v>
      </c>
      <c r="E1067" t="s">
        <v>674</v>
      </c>
      <c r="F1067" t="s">
        <v>264</v>
      </c>
      <c r="G1067" t="s">
        <v>14</v>
      </c>
      <c r="H1067" t="s">
        <v>48</v>
      </c>
      <c r="I1067" t="s">
        <v>219</v>
      </c>
      <c r="J1067" t="s">
        <v>786</v>
      </c>
      <c r="K1067" t="s">
        <v>799</v>
      </c>
      <c r="L1067" t="s">
        <v>818</v>
      </c>
      <c r="M1067" s="5">
        <v>45798</v>
      </c>
      <c r="N1067" s="5">
        <v>45794</v>
      </c>
      <c r="O1067">
        <v>20</v>
      </c>
      <c r="P1067">
        <v>12.9</v>
      </c>
      <c r="Q1067">
        <v>18.7</v>
      </c>
      <c r="R1067">
        <v>0</v>
      </c>
      <c r="S1067">
        <v>374</v>
      </c>
      <c r="T1067" t="s">
        <v>845</v>
      </c>
      <c r="U1067">
        <v>258</v>
      </c>
      <c r="V1067">
        <v>116</v>
      </c>
    </row>
    <row r="1068" spans="1:22" x14ac:dyDescent="0.35">
      <c r="A1068" t="s">
        <v>2536</v>
      </c>
      <c r="B1068" t="s">
        <v>1790</v>
      </c>
      <c r="C1068" t="s">
        <v>485</v>
      </c>
      <c r="D1068" t="s">
        <v>486</v>
      </c>
      <c r="E1068" t="s">
        <v>254</v>
      </c>
      <c r="F1068" t="s">
        <v>243</v>
      </c>
      <c r="G1068" t="s">
        <v>20</v>
      </c>
      <c r="H1068" t="s">
        <v>8</v>
      </c>
      <c r="I1068" t="s">
        <v>10</v>
      </c>
      <c r="J1068" t="s">
        <v>798</v>
      </c>
      <c r="K1068" t="s">
        <v>799</v>
      </c>
      <c r="L1068" t="s">
        <v>800</v>
      </c>
      <c r="M1068" s="5">
        <v>45568</v>
      </c>
      <c r="N1068" s="5">
        <v>45566</v>
      </c>
      <c r="O1068">
        <v>2</v>
      </c>
      <c r="P1068">
        <v>22.74</v>
      </c>
      <c r="Q1068">
        <v>28.42</v>
      </c>
      <c r="R1068">
        <v>0</v>
      </c>
      <c r="S1068">
        <v>56.84</v>
      </c>
      <c r="T1068" t="s">
        <v>810</v>
      </c>
      <c r="U1068">
        <v>45.48</v>
      </c>
      <c r="V1068">
        <v>11.36</v>
      </c>
    </row>
    <row r="1069" spans="1:22" x14ac:dyDescent="0.35">
      <c r="A1069" t="s">
        <v>2537</v>
      </c>
      <c r="B1069" t="s">
        <v>1845</v>
      </c>
      <c r="C1069" t="s">
        <v>613</v>
      </c>
      <c r="D1069" t="s">
        <v>304</v>
      </c>
      <c r="E1069" t="s">
        <v>627</v>
      </c>
      <c r="F1069" t="s">
        <v>243</v>
      </c>
      <c r="G1069" t="s">
        <v>14</v>
      </c>
      <c r="H1069" t="s">
        <v>14</v>
      </c>
      <c r="I1069" t="s">
        <v>128</v>
      </c>
      <c r="J1069" t="s">
        <v>813</v>
      </c>
      <c r="K1069" t="s">
        <v>799</v>
      </c>
      <c r="L1069" t="s">
        <v>800</v>
      </c>
      <c r="M1069" s="5">
        <v>45644</v>
      </c>
      <c r="N1069" s="5">
        <v>45648</v>
      </c>
      <c r="O1069">
        <v>3</v>
      </c>
      <c r="P1069">
        <v>18.850000000000001</v>
      </c>
      <c r="Q1069">
        <v>27.33</v>
      </c>
      <c r="R1069">
        <v>0</v>
      </c>
      <c r="S1069">
        <v>81.99</v>
      </c>
      <c r="T1069" t="s">
        <v>814</v>
      </c>
      <c r="U1069">
        <v>56.55</v>
      </c>
      <c r="V1069">
        <v>25.44</v>
      </c>
    </row>
    <row r="1070" spans="1:22" x14ac:dyDescent="0.35">
      <c r="A1070" t="s">
        <v>2538</v>
      </c>
      <c r="B1070" t="s">
        <v>1053</v>
      </c>
      <c r="C1070" t="s">
        <v>529</v>
      </c>
      <c r="D1070" t="s">
        <v>253</v>
      </c>
      <c r="E1070" t="s">
        <v>674</v>
      </c>
      <c r="F1070" t="s">
        <v>235</v>
      </c>
      <c r="G1070" t="s">
        <v>797</v>
      </c>
      <c r="H1070" t="s">
        <v>8</v>
      </c>
      <c r="I1070" t="s">
        <v>65</v>
      </c>
      <c r="J1070" t="s">
        <v>786</v>
      </c>
      <c r="K1070" t="s">
        <v>799</v>
      </c>
      <c r="L1070" t="s">
        <v>842</v>
      </c>
      <c r="M1070" s="5">
        <v>45963</v>
      </c>
      <c r="N1070" s="5">
        <v>45954</v>
      </c>
      <c r="O1070">
        <v>5</v>
      </c>
      <c r="P1070">
        <v>30.16</v>
      </c>
      <c r="Q1070">
        <v>40.72</v>
      </c>
      <c r="R1070">
        <v>0.1</v>
      </c>
      <c r="S1070">
        <v>183.24</v>
      </c>
      <c r="T1070" t="s">
        <v>1001</v>
      </c>
      <c r="U1070">
        <v>150.80000000000001</v>
      </c>
      <c r="V1070">
        <v>32.44</v>
      </c>
    </row>
    <row r="1071" spans="1:22" x14ac:dyDescent="0.35">
      <c r="A1071" t="s">
        <v>2539</v>
      </c>
      <c r="B1071" t="s">
        <v>1925</v>
      </c>
      <c r="C1071" t="s">
        <v>426</v>
      </c>
      <c r="D1071" t="s">
        <v>427</v>
      </c>
      <c r="E1071" t="s">
        <v>696</v>
      </c>
      <c r="F1071" t="s">
        <v>264</v>
      </c>
      <c r="G1071" t="s">
        <v>797</v>
      </c>
      <c r="H1071" t="s">
        <v>14</v>
      </c>
      <c r="I1071" t="s">
        <v>150</v>
      </c>
      <c r="J1071" t="s">
        <v>786</v>
      </c>
      <c r="K1071" t="s">
        <v>787</v>
      </c>
      <c r="L1071" t="s">
        <v>788</v>
      </c>
      <c r="M1071" s="5">
        <v>45435</v>
      </c>
      <c r="O1071">
        <v>3</v>
      </c>
      <c r="P1071">
        <v>5.81</v>
      </c>
      <c r="Q1071">
        <v>7.55</v>
      </c>
      <c r="R1071">
        <v>0.05</v>
      </c>
      <c r="S1071">
        <v>21.52</v>
      </c>
      <c r="T1071" t="s">
        <v>892</v>
      </c>
      <c r="U1071">
        <v>17.43</v>
      </c>
      <c r="V1071">
        <v>4.09</v>
      </c>
    </row>
    <row r="1072" spans="1:22" x14ac:dyDescent="0.35">
      <c r="A1072" t="s">
        <v>2540</v>
      </c>
      <c r="B1072" t="s">
        <v>985</v>
      </c>
      <c r="C1072" t="s">
        <v>580</v>
      </c>
      <c r="D1072" t="s">
        <v>581</v>
      </c>
      <c r="E1072" t="s">
        <v>674</v>
      </c>
      <c r="F1072" t="s">
        <v>235</v>
      </c>
      <c r="G1072" t="s">
        <v>20</v>
      </c>
      <c r="H1072" t="s">
        <v>14</v>
      </c>
      <c r="I1072" t="s">
        <v>16</v>
      </c>
      <c r="J1072" t="s">
        <v>813</v>
      </c>
      <c r="K1072" t="s">
        <v>799</v>
      </c>
      <c r="L1072" t="s">
        <v>788</v>
      </c>
      <c r="M1072" s="5">
        <v>45494</v>
      </c>
      <c r="N1072" s="5">
        <v>45500</v>
      </c>
      <c r="O1072">
        <v>2</v>
      </c>
      <c r="P1072">
        <v>56.69</v>
      </c>
      <c r="Q1072">
        <v>79.37</v>
      </c>
      <c r="R1072">
        <v>0.1</v>
      </c>
      <c r="S1072">
        <v>142.87</v>
      </c>
      <c r="T1072" t="s">
        <v>892</v>
      </c>
      <c r="U1072">
        <v>113.38</v>
      </c>
      <c r="V1072">
        <v>29.49</v>
      </c>
    </row>
    <row r="1073" spans="1:22" x14ac:dyDescent="0.35">
      <c r="A1073" t="s">
        <v>2541</v>
      </c>
      <c r="B1073" t="s">
        <v>1600</v>
      </c>
      <c r="C1073" t="s">
        <v>451</v>
      </c>
      <c r="D1073" t="s">
        <v>368</v>
      </c>
      <c r="E1073" t="s">
        <v>627</v>
      </c>
      <c r="F1073" t="s">
        <v>264</v>
      </c>
      <c r="G1073" t="s">
        <v>797</v>
      </c>
      <c r="H1073" t="s">
        <v>8</v>
      </c>
      <c r="I1073" t="s">
        <v>65</v>
      </c>
      <c r="J1073" t="s">
        <v>786</v>
      </c>
      <c r="K1073" t="s">
        <v>799</v>
      </c>
      <c r="L1073" t="s">
        <v>800</v>
      </c>
      <c r="M1073" s="5">
        <v>45354</v>
      </c>
      <c r="N1073" s="5">
        <v>45343</v>
      </c>
      <c r="O1073">
        <v>2</v>
      </c>
      <c r="P1073">
        <v>30.16</v>
      </c>
      <c r="Q1073">
        <v>40.72</v>
      </c>
      <c r="R1073">
        <v>0</v>
      </c>
      <c r="S1073">
        <v>81.44</v>
      </c>
      <c r="T1073" t="s">
        <v>919</v>
      </c>
      <c r="U1073">
        <v>60.32</v>
      </c>
      <c r="V1073">
        <v>21.12</v>
      </c>
    </row>
    <row r="1074" spans="1:22" x14ac:dyDescent="0.35">
      <c r="A1074" t="s">
        <v>2542</v>
      </c>
      <c r="B1074" t="s">
        <v>1619</v>
      </c>
      <c r="C1074" t="s">
        <v>559</v>
      </c>
      <c r="D1074" t="s">
        <v>311</v>
      </c>
      <c r="E1074" t="s">
        <v>674</v>
      </c>
      <c r="F1074" t="s">
        <v>235</v>
      </c>
      <c r="G1074" t="s">
        <v>20</v>
      </c>
      <c r="H1074" t="s">
        <v>14</v>
      </c>
      <c r="I1074" t="s">
        <v>25</v>
      </c>
      <c r="J1074" t="s">
        <v>786</v>
      </c>
      <c r="K1074" t="s">
        <v>787</v>
      </c>
      <c r="L1074" t="s">
        <v>818</v>
      </c>
      <c r="M1074" s="5">
        <v>45956</v>
      </c>
      <c r="O1074">
        <v>12</v>
      </c>
      <c r="P1074">
        <v>18.95</v>
      </c>
      <c r="Q1074">
        <v>25.58</v>
      </c>
      <c r="R1074">
        <v>0</v>
      </c>
      <c r="S1074">
        <v>306.95999999999998</v>
      </c>
      <c r="T1074" t="s">
        <v>1017</v>
      </c>
      <c r="U1074">
        <v>227.4</v>
      </c>
      <c r="V1074">
        <v>79.56</v>
      </c>
    </row>
    <row r="1075" spans="1:22" x14ac:dyDescent="0.35">
      <c r="A1075" t="s">
        <v>2543</v>
      </c>
      <c r="B1075" t="s">
        <v>1297</v>
      </c>
      <c r="C1075" t="s">
        <v>421</v>
      </c>
      <c r="D1075" t="s">
        <v>422</v>
      </c>
      <c r="E1075" t="s">
        <v>696</v>
      </c>
      <c r="F1075" t="s">
        <v>235</v>
      </c>
      <c r="G1075" t="s">
        <v>48</v>
      </c>
      <c r="H1075" t="s">
        <v>79</v>
      </c>
      <c r="I1075" t="s">
        <v>124</v>
      </c>
      <c r="J1075" t="s">
        <v>786</v>
      </c>
      <c r="K1075" t="s">
        <v>822</v>
      </c>
      <c r="L1075" t="s">
        <v>818</v>
      </c>
      <c r="M1075" s="5">
        <v>45356</v>
      </c>
      <c r="N1075" s="5">
        <v>45347</v>
      </c>
      <c r="O1075">
        <v>20</v>
      </c>
      <c r="P1075">
        <v>29.44</v>
      </c>
      <c r="Q1075">
        <v>41.22</v>
      </c>
      <c r="R1075">
        <v>0</v>
      </c>
      <c r="S1075">
        <v>824.4</v>
      </c>
      <c r="T1075" t="s">
        <v>888</v>
      </c>
      <c r="U1075">
        <v>588.79999999999995</v>
      </c>
      <c r="V1075">
        <v>235.6</v>
      </c>
    </row>
    <row r="1076" spans="1:22" x14ac:dyDescent="0.35">
      <c r="A1076" t="s">
        <v>2544</v>
      </c>
      <c r="B1076" t="s">
        <v>2545</v>
      </c>
      <c r="C1076" t="s">
        <v>401</v>
      </c>
      <c r="D1076" t="s">
        <v>402</v>
      </c>
      <c r="E1076" t="s">
        <v>681</v>
      </c>
      <c r="F1076" t="s">
        <v>243</v>
      </c>
      <c r="G1076" t="s">
        <v>14</v>
      </c>
      <c r="H1076" t="s">
        <v>38</v>
      </c>
      <c r="I1076" t="s">
        <v>69</v>
      </c>
      <c r="J1076" t="s">
        <v>798</v>
      </c>
      <c r="K1076" t="s">
        <v>822</v>
      </c>
      <c r="L1076" t="s">
        <v>842</v>
      </c>
      <c r="M1076" s="5">
        <v>45299</v>
      </c>
      <c r="N1076" s="5">
        <v>45295</v>
      </c>
      <c r="O1076">
        <v>12</v>
      </c>
      <c r="P1076">
        <v>20.9</v>
      </c>
      <c r="Q1076">
        <v>28.21</v>
      </c>
      <c r="R1076">
        <v>0</v>
      </c>
      <c r="S1076">
        <v>338.52</v>
      </c>
      <c r="T1076" t="s">
        <v>876</v>
      </c>
      <c r="U1076">
        <v>250.8</v>
      </c>
      <c r="V1076">
        <v>87.72</v>
      </c>
    </row>
    <row r="1077" spans="1:22" x14ac:dyDescent="0.35">
      <c r="A1077" t="s">
        <v>2547</v>
      </c>
      <c r="B1077" t="s">
        <v>1995</v>
      </c>
      <c r="C1077" t="s">
        <v>358</v>
      </c>
      <c r="D1077" t="s">
        <v>287</v>
      </c>
      <c r="E1077" t="s">
        <v>637</v>
      </c>
      <c r="F1077" t="s">
        <v>243</v>
      </c>
      <c r="G1077" t="s">
        <v>48</v>
      </c>
      <c r="H1077" t="s">
        <v>20</v>
      </c>
      <c r="I1077" t="s">
        <v>196</v>
      </c>
      <c r="J1077" t="s">
        <v>786</v>
      </c>
      <c r="K1077" t="s">
        <v>817</v>
      </c>
      <c r="L1077" t="s">
        <v>818</v>
      </c>
      <c r="M1077" s="5">
        <v>45453</v>
      </c>
      <c r="O1077">
        <v>3</v>
      </c>
      <c r="P1077">
        <v>15.78</v>
      </c>
      <c r="Q1077">
        <v>19.72</v>
      </c>
      <c r="R1077">
        <v>0</v>
      </c>
      <c r="S1077">
        <v>59.16</v>
      </c>
      <c r="T1077" t="s">
        <v>869</v>
      </c>
      <c r="U1077">
        <v>47.34</v>
      </c>
      <c r="V1077">
        <v>11.82</v>
      </c>
    </row>
    <row r="1078" spans="1:22" x14ac:dyDescent="0.35">
      <c r="A1078" t="s">
        <v>2548</v>
      </c>
      <c r="B1078" t="s">
        <v>1022</v>
      </c>
      <c r="C1078" t="s">
        <v>550</v>
      </c>
      <c r="D1078" t="s">
        <v>408</v>
      </c>
      <c r="E1078" t="s">
        <v>674</v>
      </c>
      <c r="F1078" t="s">
        <v>243</v>
      </c>
      <c r="G1078" t="s">
        <v>797</v>
      </c>
      <c r="H1078" t="s">
        <v>20</v>
      </c>
      <c r="I1078" t="s">
        <v>97</v>
      </c>
      <c r="J1078" t="s">
        <v>798</v>
      </c>
      <c r="K1078" t="s">
        <v>793</v>
      </c>
      <c r="L1078" t="s">
        <v>800</v>
      </c>
      <c r="M1078" s="5">
        <v>45728</v>
      </c>
      <c r="O1078">
        <v>10</v>
      </c>
      <c r="P1078">
        <v>20.79</v>
      </c>
      <c r="Q1078">
        <v>28.07</v>
      </c>
      <c r="R1078">
        <v>0</v>
      </c>
      <c r="S1078">
        <v>280.7</v>
      </c>
      <c r="T1078" t="s">
        <v>935</v>
      </c>
      <c r="U1078">
        <v>207.9</v>
      </c>
      <c r="V1078">
        <v>72.8</v>
      </c>
    </row>
    <row r="1079" spans="1:22" x14ac:dyDescent="0.35">
      <c r="A1079" t="s">
        <v>2549</v>
      </c>
      <c r="B1079" t="s">
        <v>1693</v>
      </c>
      <c r="C1079" t="s">
        <v>578</v>
      </c>
      <c r="D1079" t="s">
        <v>368</v>
      </c>
      <c r="E1079" t="s">
        <v>674</v>
      </c>
      <c r="F1079" t="s">
        <v>235</v>
      </c>
      <c r="G1079" t="s">
        <v>797</v>
      </c>
      <c r="H1079" t="s">
        <v>43</v>
      </c>
      <c r="I1079" t="s">
        <v>222</v>
      </c>
      <c r="J1079" t="s">
        <v>813</v>
      </c>
      <c r="K1079" t="s">
        <v>793</v>
      </c>
      <c r="L1079" t="s">
        <v>800</v>
      </c>
      <c r="M1079" s="5">
        <v>45421</v>
      </c>
      <c r="O1079">
        <v>5</v>
      </c>
      <c r="P1079">
        <v>37.1</v>
      </c>
      <c r="Q1079">
        <v>48.23</v>
      </c>
      <c r="R1079">
        <v>0</v>
      </c>
      <c r="S1079">
        <v>241.15</v>
      </c>
      <c r="T1079" t="s">
        <v>869</v>
      </c>
      <c r="U1079">
        <v>185.5</v>
      </c>
      <c r="V1079">
        <v>55.65</v>
      </c>
    </row>
    <row r="1080" spans="1:22" x14ac:dyDescent="0.35">
      <c r="A1080" t="s">
        <v>2550</v>
      </c>
      <c r="B1080" t="s">
        <v>2022</v>
      </c>
      <c r="C1080" t="s">
        <v>428</v>
      </c>
      <c r="D1080" t="s">
        <v>429</v>
      </c>
      <c r="E1080" t="s">
        <v>627</v>
      </c>
      <c r="F1080" t="s">
        <v>264</v>
      </c>
      <c r="G1080" t="s">
        <v>797</v>
      </c>
      <c r="H1080" t="s">
        <v>14</v>
      </c>
      <c r="I1080" t="s">
        <v>111</v>
      </c>
      <c r="J1080" t="s">
        <v>798</v>
      </c>
      <c r="K1080" t="s">
        <v>799</v>
      </c>
      <c r="L1080" t="s">
        <v>818</v>
      </c>
      <c r="M1080" s="5">
        <v>45419</v>
      </c>
      <c r="N1080" s="5">
        <v>45421</v>
      </c>
      <c r="O1080">
        <v>10</v>
      </c>
      <c r="P1080">
        <v>19.850000000000001</v>
      </c>
      <c r="Q1080">
        <v>28.78</v>
      </c>
      <c r="R1080">
        <v>0</v>
      </c>
      <c r="S1080">
        <v>287.8</v>
      </c>
      <c r="T1080" t="s">
        <v>919</v>
      </c>
      <c r="U1080">
        <v>198.5</v>
      </c>
      <c r="V1080">
        <v>89.3</v>
      </c>
    </row>
    <row r="1081" spans="1:22" x14ac:dyDescent="0.35">
      <c r="A1081" t="s">
        <v>2551</v>
      </c>
      <c r="B1081" t="s">
        <v>1056</v>
      </c>
      <c r="C1081" t="s">
        <v>493</v>
      </c>
      <c r="D1081" t="s">
        <v>311</v>
      </c>
      <c r="E1081" t="s">
        <v>674</v>
      </c>
      <c r="F1081" t="s">
        <v>243</v>
      </c>
      <c r="G1081" t="s">
        <v>797</v>
      </c>
      <c r="H1081" t="s">
        <v>38</v>
      </c>
      <c r="I1081" t="s">
        <v>80</v>
      </c>
      <c r="J1081" t="s">
        <v>786</v>
      </c>
      <c r="K1081" t="s">
        <v>822</v>
      </c>
      <c r="L1081" t="s">
        <v>800</v>
      </c>
      <c r="M1081" s="5">
        <v>46066</v>
      </c>
      <c r="N1081" s="5">
        <v>46059</v>
      </c>
      <c r="O1081">
        <v>12</v>
      </c>
      <c r="P1081">
        <v>38.57</v>
      </c>
      <c r="Q1081">
        <v>48.21</v>
      </c>
      <c r="R1081">
        <v>0</v>
      </c>
      <c r="S1081">
        <v>578.52</v>
      </c>
      <c r="T1081" t="s">
        <v>829</v>
      </c>
      <c r="U1081">
        <v>462.84</v>
      </c>
      <c r="V1081">
        <v>115.68</v>
      </c>
    </row>
    <row r="1082" spans="1:22" x14ac:dyDescent="0.35">
      <c r="A1082" t="s">
        <v>2552</v>
      </c>
      <c r="B1082" t="s">
        <v>922</v>
      </c>
      <c r="C1082" t="s">
        <v>561</v>
      </c>
      <c r="D1082" t="s">
        <v>562</v>
      </c>
      <c r="E1082" t="s">
        <v>696</v>
      </c>
      <c r="F1082" t="s">
        <v>243</v>
      </c>
      <c r="G1082" t="s">
        <v>797</v>
      </c>
      <c r="H1082" t="s">
        <v>8</v>
      </c>
      <c r="I1082" t="s">
        <v>129</v>
      </c>
      <c r="J1082" t="s">
        <v>813</v>
      </c>
      <c r="K1082" t="s">
        <v>799</v>
      </c>
      <c r="L1082" t="s">
        <v>818</v>
      </c>
      <c r="M1082" s="5">
        <v>45556</v>
      </c>
      <c r="N1082" s="5">
        <v>45562</v>
      </c>
      <c r="O1082">
        <v>12</v>
      </c>
      <c r="P1082">
        <v>22.15</v>
      </c>
      <c r="Q1082">
        <v>31.01</v>
      </c>
      <c r="R1082">
        <v>0</v>
      </c>
      <c r="S1082">
        <v>372.12</v>
      </c>
      <c r="T1082" t="s">
        <v>794</v>
      </c>
      <c r="U1082">
        <v>265.8</v>
      </c>
      <c r="V1082">
        <v>106.32</v>
      </c>
    </row>
    <row r="1083" spans="1:22" x14ac:dyDescent="0.35">
      <c r="A1083" t="s">
        <v>2553</v>
      </c>
      <c r="B1083" t="s">
        <v>1256</v>
      </c>
      <c r="C1083" t="s">
        <v>599</v>
      </c>
      <c r="D1083" t="s">
        <v>600</v>
      </c>
      <c r="E1083" t="s">
        <v>627</v>
      </c>
      <c r="F1083" t="s">
        <v>243</v>
      </c>
      <c r="G1083" t="s">
        <v>48</v>
      </c>
      <c r="H1083" t="s">
        <v>20</v>
      </c>
      <c r="I1083" t="s">
        <v>104</v>
      </c>
      <c r="J1083" t="s">
        <v>786</v>
      </c>
      <c r="K1083" t="s">
        <v>793</v>
      </c>
      <c r="L1083" t="s">
        <v>818</v>
      </c>
      <c r="M1083" s="5">
        <v>45411</v>
      </c>
      <c r="O1083">
        <v>10</v>
      </c>
      <c r="P1083">
        <v>43.88</v>
      </c>
      <c r="Q1083">
        <v>54.85</v>
      </c>
      <c r="R1083">
        <v>0.15</v>
      </c>
      <c r="S1083">
        <v>466.22</v>
      </c>
      <c r="T1083" t="s">
        <v>876</v>
      </c>
      <c r="U1083">
        <v>438.8</v>
      </c>
      <c r="V1083">
        <v>27.42</v>
      </c>
    </row>
    <row r="1084" spans="1:22" x14ac:dyDescent="0.35">
      <c r="A1084" t="s">
        <v>2554</v>
      </c>
      <c r="B1084" t="s">
        <v>1250</v>
      </c>
      <c r="C1084" t="s">
        <v>565</v>
      </c>
      <c r="D1084" t="s">
        <v>566</v>
      </c>
      <c r="E1084" t="s">
        <v>254</v>
      </c>
      <c r="G1084" t="s">
        <v>20</v>
      </c>
      <c r="H1084" t="s">
        <v>43</v>
      </c>
      <c r="I1084" t="s">
        <v>171</v>
      </c>
      <c r="J1084" t="s">
        <v>798</v>
      </c>
      <c r="K1084" t="s">
        <v>799</v>
      </c>
      <c r="L1084" t="s">
        <v>800</v>
      </c>
      <c r="M1084" s="5">
        <v>45730</v>
      </c>
      <c r="N1084" s="5">
        <v>45732</v>
      </c>
      <c r="O1084">
        <v>2</v>
      </c>
      <c r="P1084">
        <v>29.39</v>
      </c>
      <c r="Q1084">
        <v>39.68</v>
      </c>
      <c r="R1084">
        <v>0</v>
      </c>
      <c r="S1084">
        <v>79.36</v>
      </c>
      <c r="T1084" t="s">
        <v>869</v>
      </c>
      <c r="U1084">
        <v>58.78</v>
      </c>
      <c r="V1084">
        <v>20.58</v>
      </c>
    </row>
    <row r="1085" spans="1:22" x14ac:dyDescent="0.35">
      <c r="A1085" t="s">
        <v>2555</v>
      </c>
      <c r="B1085" t="s">
        <v>1093</v>
      </c>
      <c r="C1085" t="s">
        <v>575</v>
      </c>
      <c r="D1085" t="s">
        <v>439</v>
      </c>
      <c r="E1085" t="s">
        <v>637</v>
      </c>
      <c r="F1085" t="s">
        <v>264</v>
      </c>
      <c r="G1085" t="s">
        <v>797</v>
      </c>
      <c r="H1085" t="s">
        <v>48</v>
      </c>
      <c r="I1085" t="s">
        <v>219</v>
      </c>
      <c r="J1085" t="s">
        <v>798</v>
      </c>
      <c r="K1085" t="s">
        <v>787</v>
      </c>
      <c r="L1085" t="s">
        <v>818</v>
      </c>
      <c r="M1085" s="5">
        <v>45635</v>
      </c>
      <c r="O1085">
        <v>10</v>
      </c>
      <c r="P1085">
        <v>12.9</v>
      </c>
      <c r="Q1085">
        <v>18.7</v>
      </c>
      <c r="R1085">
        <v>0</v>
      </c>
      <c r="S1085">
        <v>187</v>
      </c>
      <c r="T1085" t="s">
        <v>803</v>
      </c>
      <c r="U1085">
        <v>129</v>
      </c>
      <c r="V1085">
        <v>58</v>
      </c>
    </row>
    <row r="1086" spans="1:22" x14ac:dyDescent="0.35">
      <c r="A1086" t="s">
        <v>2556</v>
      </c>
      <c r="B1086" t="s">
        <v>1210</v>
      </c>
      <c r="C1086" t="s">
        <v>550</v>
      </c>
      <c r="D1086" t="s">
        <v>408</v>
      </c>
      <c r="E1086" t="s">
        <v>696</v>
      </c>
      <c r="F1086" t="s">
        <v>243</v>
      </c>
      <c r="G1086" t="s">
        <v>14</v>
      </c>
      <c r="H1086" t="s">
        <v>8</v>
      </c>
      <c r="I1086" t="s">
        <v>204</v>
      </c>
      <c r="J1086" t="s">
        <v>813</v>
      </c>
      <c r="K1086" t="s">
        <v>799</v>
      </c>
      <c r="L1086" t="s">
        <v>818</v>
      </c>
      <c r="M1086" s="5">
        <v>45801</v>
      </c>
      <c r="N1086" s="5">
        <v>45808</v>
      </c>
      <c r="O1086">
        <v>3</v>
      </c>
      <c r="P1086">
        <v>28.27</v>
      </c>
      <c r="Q1086">
        <v>40.99</v>
      </c>
      <c r="R1086">
        <v>0.1</v>
      </c>
      <c r="S1086">
        <v>110.67</v>
      </c>
      <c r="T1086" t="s">
        <v>946</v>
      </c>
      <c r="U1086">
        <v>84.81</v>
      </c>
      <c r="V1086">
        <v>25.86</v>
      </c>
    </row>
    <row r="1087" spans="1:22" x14ac:dyDescent="0.35">
      <c r="A1087" t="s">
        <v>2557</v>
      </c>
      <c r="B1087" t="s">
        <v>1939</v>
      </c>
      <c r="C1087" t="s">
        <v>518</v>
      </c>
      <c r="D1087" t="s">
        <v>519</v>
      </c>
      <c r="E1087" t="s">
        <v>637</v>
      </c>
      <c r="F1087" t="s">
        <v>264</v>
      </c>
      <c r="G1087" t="s">
        <v>48</v>
      </c>
      <c r="H1087" t="s">
        <v>14</v>
      </c>
      <c r="I1087" t="s">
        <v>24</v>
      </c>
      <c r="J1087" t="s">
        <v>798</v>
      </c>
      <c r="K1087" t="s">
        <v>799</v>
      </c>
      <c r="L1087" t="s">
        <v>842</v>
      </c>
      <c r="M1087" s="5">
        <v>45683</v>
      </c>
      <c r="N1087" s="5">
        <v>45678</v>
      </c>
      <c r="O1087">
        <v>10</v>
      </c>
      <c r="P1087">
        <v>37.42</v>
      </c>
      <c r="Q1087">
        <v>50.52</v>
      </c>
      <c r="R1087">
        <v>0.1</v>
      </c>
      <c r="S1087">
        <v>454.68</v>
      </c>
      <c r="T1087" t="s">
        <v>919</v>
      </c>
      <c r="U1087">
        <v>374.2</v>
      </c>
      <c r="V1087">
        <v>80.48</v>
      </c>
    </row>
    <row r="1088" spans="1:22" x14ac:dyDescent="0.35">
      <c r="A1088" t="s">
        <v>2558</v>
      </c>
      <c r="B1088" t="s">
        <v>1248</v>
      </c>
      <c r="C1088" t="s">
        <v>545</v>
      </c>
      <c r="D1088" t="s">
        <v>546</v>
      </c>
      <c r="E1088" t="s">
        <v>681</v>
      </c>
      <c r="F1088" t="s">
        <v>235</v>
      </c>
      <c r="G1088" t="s">
        <v>20</v>
      </c>
      <c r="H1088" t="s">
        <v>8</v>
      </c>
      <c r="I1088" t="s">
        <v>65</v>
      </c>
      <c r="J1088" t="s">
        <v>798</v>
      </c>
      <c r="K1088" t="s">
        <v>799</v>
      </c>
      <c r="L1088" t="s">
        <v>842</v>
      </c>
      <c r="M1088" s="5">
        <v>45543</v>
      </c>
      <c r="N1088" s="5">
        <v>45544</v>
      </c>
      <c r="O1088">
        <v>3</v>
      </c>
      <c r="P1088">
        <v>30.16</v>
      </c>
      <c r="Q1088">
        <v>40.72</v>
      </c>
      <c r="R1088">
        <v>0</v>
      </c>
      <c r="S1088">
        <v>122.16</v>
      </c>
      <c r="T1088" t="s">
        <v>869</v>
      </c>
      <c r="U1088">
        <v>90.48</v>
      </c>
      <c r="V1088">
        <v>31.68</v>
      </c>
    </row>
    <row r="1089" spans="1:22" x14ac:dyDescent="0.35">
      <c r="A1089" t="s">
        <v>2560</v>
      </c>
      <c r="B1089" t="s">
        <v>1204</v>
      </c>
      <c r="C1089" t="s">
        <v>520</v>
      </c>
      <c r="D1089" t="s">
        <v>521</v>
      </c>
      <c r="E1089" t="s">
        <v>254</v>
      </c>
      <c r="F1089" t="s">
        <v>243</v>
      </c>
      <c r="G1089" t="s">
        <v>48</v>
      </c>
      <c r="H1089" t="s">
        <v>38</v>
      </c>
      <c r="I1089" t="s">
        <v>69</v>
      </c>
      <c r="J1089" t="s">
        <v>786</v>
      </c>
      <c r="K1089" t="s">
        <v>799</v>
      </c>
      <c r="L1089" t="s">
        <v>818</v>
      </c>
      <c r="M1089" s="5">
        <v>45777</v>
      </c>
      <c r="N1089" s="5">
        <v>45767</v>
      </c>
      <c r="O1089">
        <v>12</v>
      </c>
      <c r="P1089">
        <v>20.9</v>
      </c>
      <c r="Q1089">
        <v>28.21</v>
      </c>
      <c r="R1089">
        <v>0.15</v>
      </c>
      <c r="S1089">
        <v>287.74</v>
      </c>
      <c r="T1089" t="s">
        <v>839</v>
      </c>
      <c r="U1089">
        <v>250.8</v>
      </c>
      <c r="V1089">
        <v>36.94</v>
      </c>
    </row>
    <row r="1090" spans="1:22" x14ac:dyDescent="0.35">
      <c r="A1090" t="s">
        <v>2561</v>
      </c>
      <c r="B1090" t="s">
        <v>942</v>
      </c>
      <c r="C1090" t="s">
        <v>260</v>
      </c>
      <c r="D1090" t="s">
        <v>261</v>
      </c>
      <c r="E1090" t="s">
        <v>681</v>
      </c>
      <c r="F1090" t="s">
        <v>264</v>
      </c>
      <c r="G1090" t="s">
        <v>48</v>
      </c>
      <c r="H1090" t="s">
        <v>38</v>
      </c>
      <c r="I1090" t="s">
        <v>69</v>
      </c>
      <c r="J1090" t="s">
        <v>813</v>
      </c>
      <c r="K1090" t="s">
        <v>822</v>
      </c>
      <c r="L1090" t="s">
        <v>842</v>
      </c>
      <c r="M1090" s="5">
        <v>45875</v>
      </c>
      <c r="N1090" s="5">
        <v>45877</v>
      </c>
      <c r="O1090">
        <v>5</v>
      </c>
      <c r="P1090">
        <v>20.9</v>
      </c>
      <c r="Q1090">
        <v>28.21</v>
      </c>
      <c r="R1090">
        <v>0.15</v>
      </c>
      <c r="S1090">
        <v>119.89</v>
      </c>
      <c r="T1090" t="s">
        <v>845</v>
      </c>
      <c r="U1090">
        <v>104.5</v>
      </c>
      <c r="V1090">
        <v>15.39</v>
      </c>
    </row>
    <row r="1091" spans="1:22" x14ac:dyDescent="0.35">
      <c r="A1091" t="s">
        <v>2562</v>
      </c>
      <c r="B1091" t="s">
        <v>1313</v>
      </c>
      <c r="C1091" t="s">
        <v>448</v>
      </c>
      <c r="D1091" t="s">
        <v>427</v>
      </c>
      <c r="E1091" t="s">
        <v>674</v>
      </c>
      <c r="F1091" t="s">
        <v>243</v>
      </c>
      <c r="G1091" t="s">
        <v>797</v>
      </c>
      <c r="H1091" t="s">
        <v>29</v>
      </c>
      <c r="I1091" t="s">
        <v>191</v>
      </c>
      <c r="J1091" t="s">
        <v>786</v>
      </c>
      <c r="K1091" t="s">
        <v>793</v>
      </c>
      <c r="L1091" t="s">
        <v>800</v>
      </c>
      <c r="M1091" s="5">
        <v>45673</v>
      </c>
      <c r="O1091">
        <v>10</v>
      </c>
      <c r="P1091">
        <v>11.26</v>
      </c>
      <c r="Q1091">
        <v>15.2</v>
      </c>
      <c r="R1091">
        <v>0</v>
      </c>
      <c r="S1091">
        <v>152</v>
      </c>
      <c r="T1091" t="s">
        <v>963</v>
      </c>
      <c r="U1091">
        <v>112.6</v>
      </c>
      <c r="V1091">
        <v>39.4</v>
      </c>
    </row>
    <row r="1092" spans="1:22" x14ac:dyDescent="0.35">
      <c r="A1092" t="s">
        <v>2563</v>
      </c>
      <c r="B1092" t="s">
        <v>2195</v>
      </c>
      <c r="C1092" t="s">
        <v>569</v>
      </c>
      <c r="D1092" t="s">
        <v>535</v>
      </c>
      <c r="E1092" t="s">
        <v>633</v>
      </c>
      <c r="G1092" t="s">
        <v>20</v>
      </c>
      <c r="H1092" t="s">
        <v>79</v>
      </c>
      <c r="I1092" t="s">
        <v>108</v>
      </c>
      <c r="J1092" t="s">
        <v>786</v>
      </c>
      <c r="K1092" t="s">
        <v>799</v>
      </c>
      <c r="L1092" t="s">
        <v>788</v>
      </c>
      <c r="M1092" s="5">
        <v>45877</v>
      </c>
      <c r="N1092" s="5">
        <v>45869</v>
      </c>
      <c r="O1092">
        <v>1</v>
      </c>
      <c r="P1092">
        <v>9.3000000000000007</v>
      </c>
      <c r="Q1092">
        <v>12.56</v>
      </c>
      <c r="R1092">
        <v>0.05</v>
      </c>
      <c r="S1092">
        <v>11.93</v>
      </c>
      <c r="T1092" t="s">
        <v>834</v>
      </c>
      <c r="U1092">
        <v>9.3000000000000007</v>
      </c>
      <c r="V1092">
        <v>2.63</v>
      </c>
    </row>
    <row r="1093" spans="1:22" x14ac:dyDescent="0.35">
      <c r="A1093" t="s">
        <v>2564</v>
      </c>
      <c r="B1093" t="s">
        <v>838</v>
      </c>
      <c r="C1093" t="s">
        <v>527</v>
      </c>
      <c r="D1093" t="s">
        <v>282</v>
      </c>
      <c r="E1093" t="s">
        <v>681</v>
      </c>
      <c r="F1093" t="s">
        <v>235</v>
      </c>
      <c r="G1093" t="s">
        <v>20</v>
      </c>
      <c r="H1093" t="s">
        <v>38</v>
      </c>
      <c r="I1093" t="s">
        <v>172</v>
      </c>
      <c r="J1093" t="s">
        <v>786</v>
      </c>
      <c r="K1093" t="s">
        <v>793</v>
      </c>
      <c r="L1093" t="s">
        <v>800</v>
      </c>
      <c r="M1093" s="5">
        <v>45666</v>
      </c>
      <c r="O1093">
        <v>12</v>
      </c>
      <c r="P1093">
        <v>18.329999999999998</v>
      </c>
      <c r="Q1093">
        <v>22.91</v>
      </c>
      <c r="R1093">
        <v>0</v>
      </c>
      <c r="S1093">
        <v>274.92</v>
      </c>
      <c r="T1093" t="s">
        <v>834</v>
      </c>
      <c r="U1093">
        <v>219.96</v>
      </c>
      <c r="V1093">
        <v>54.96</v>
      </c>
    </row>
    <row r="1094" spans="1:22" x14ac:dyDescent="0.35">
      <c r="A1094" t="s">
        <v>2565</v>
      </c>
      <c r="B1094" t="s">
        <v>1490</v>
      </c>
      <c r="C1094" t="s">
        <v>430</v>
      </c>
      <c r="D1094" t="s">
        <v>431</v>
      </c>
      <c r="E1094" t="s">
        <v>627</v>
      </c>
      <c r="F1094" t="s">
        <v>264</v>
      </c>
      <c r="G1094" t="s">
        <v>14</v>
      </c>
      <c r="H1094" t="s">
        <v>20</v>
      </c>
      <c r="I1094" t="s">
        <v>159</v>
      </c>
      <c r="J1094" t="s">
        <v>813</v>
      </c>
      <c r="K1094" t="s">
        <v>793</v>
      </c>
      <c r="L1094" t="s">
        <v>800</v>
      </c>
      <c r="M1094" s="5">
        <v>45949</v>
      </c>
      <c r="O1094">
        <v>5</v>
      </c>
      <c r="P1094">
        <v>8.2200000000000006</v>
      </c>
      <c r="Q1094">
        <v>11.1</v>
      </c>
      <c r="R1094">
        <v>0.15</v>
      </c>
      <c r="S1094">
        <v>47.17</v>
      </c>
      <c r="T1094" t="s">
        <v>819</v>
      </c>
      <c r="U1094">
        <v>41.1</v>
      </c>
      <c r="V1094">
        <v>6.07</v>
      </c>
    </row>
    <row r="1095" spans="1:22" x14ac:dyDescent="0.35">
      <c r="A1095" t="s">
        <v>2566</v>
      </c>
      <c r="B1095" t="s">
        <v>1287</v>
      </c>
      <c r="C1095" t="s">
        <v>485</v>
      </c>
      <c r="D1095" t="s">
        <v>486</v>
      </c>
      <c r="E1095" t="s">
        <v>633</v>
      </c>
      <c r="F1095" t="s">
        <v>243</v>
      </c>
      <c r="G1095" t="s">
        <v>20</v>
      </c>
      <c r="H1095" t="s">
        <v>20</v>
      </c>
      <c r="I1095" t="s">
        <v>97</v>
      </c>
      <c r="J1095" t="s">
        <v>786</v>
      </c>
      <c r="K1095" t="s">
        <v>793</v>
      </c>
      <c r="L1095" t="s">
        <v>842</v>
      </c>
      <c r="M1095" s="5">
        <v>45665</v>
      </c>
      <c r="O1095">
        <v>3</v>
      </c>
      <c r="P1095">
        <v>20.79</v>
      </c>
      <c r="Q1095">
        <v>28.07</v>
      </c>
      <c r="R1095">
        <v>0</v>
      </c>
      <c r="S1095">
        <v>84.21</v>
      </c>
      <c r="T1095" t="s">
        <v>803</v>
      </c>
      <c r="U1095">
        <v>62.37</v>
      </c>
      <c r="V1095">
        <v>21.84</v>
      </c>
    </row>
    <row r="1096" spans="1:22" x14ac:dyDescent="0.35">
      <c r="A1096" t="s">
        <v>2567</v>
      </c>
      <c r="B1096" t="s">
        <v>1967</v>
      </c>
      <c r="C1096" t="s">
        <v>588</v>
      </c>
      <c r="D1096" t="s">
        <v>435</v>
      </c>
      <c r="E1096" t="s">
        <v>681</v>
      </c>
      <c r="F1096" t="s">
        <v>264</v>
      </c>
      <c r="G1096" t="s">
        <v>14</v>
      </c>
      <c r="H1096" t="s">
        <v>79</v>
      </c>
      <c r="I1096" t="s">
        <v>77</v>
      </c>
      <c r="J1096" t="s">
        <v>786</v>
      </c>
      <c r="K1096" t="s">
        <v>799</v>
      </c>
      <c r="L1096" t="s">
        <v>818</v>
      </c>
      <c r="M1096" s="5">
        <v>45623</v>
      </c>
      <c r="N1096" s="5">
        <v>45611</v>
      </c>
      <c r="O1096">
        <v>1</v>
      </c>
      <c r="P1096">
        <v>13.71</v>
      </c>
      <c r="Q1096">
        <v>17.82</v>
      </c>
      <c r="R1096">
        <v>0.1</v>
      </c>
      <c r="S1096">
        <v>16.04</v>
      </c>
      <c r="T1096" t="s">
        <v>1001</v>
      </c>
      <c r="U1096">
        <v>13.71</v>
      </c>
      <c r="V1096">
        <v>2.33</v>
      </c>
    </row>
    <row r="1097" spans="1:22" x14ac:dyDescent="0.35">
      <c r="A1097" t="s">
        <v>2568</v>
      </c>
      <c r="B1097" t="s">
        <v>1306</v>
      </c>
      <c r="C1097" t="s">
        <v>317</v>
      </c>
      <c r="D1097" t="s">
        <v>318</v>
      </c>
      <c r="E1097" t="s">
        <v>681</v>
      </c>
      <c r="F1097" t="s">
        <v>264</v>
      </c>
      <c r="G1097" t="s">
        <v>14</v>
      </c>
      <c r="H1097" t="s">
        <v>43</v>
      </c>
      <c r="I1097" t="s">
        <v>141</v>
      </c>
      <c r="J1097" t="s">
        <v>786</v>
      </c>
      <c r="K1097" t="s">
        <v>793</v>
      </c>
      <c r="L1097" t="s">
        <v>800</v>
      </c>
      <c r="M1097" s="5">
        <v>45509</v>
      </c>
      <c r="O1097">
        <v>20</v>
      </c>
      <c r="P1097">
        <v>17.2</v>
      </c>
      <c r="Q1097">
        <v>22.36</v>
      </c>
      <c r="R1097">
        <v>0</v>
      </c>
      <c r="S1097">
        <v>447.2</v>
      </c>
      <c r="T1097" t="s">
        <v>1001</v>
      </c>
      <c r="U1097">
        <v>344</v>
      </c>
      <c r="V1097">
        <v>103.2</v>
      </c>
    </row>
    <row r="1098" spans="1:22" x14ac:dyDescent="0.35">
      <c r="A1098" t="s">
        <v>2569</v>
      </c>
      <c r="B1098" t="s">
        <v>1498</v>
      </c>
      <c r="C1098" t="s">
        <v>448</v>
      </c>
      <c r="D1098" t="s">
        <v>427</v>
      </c>
      <c r="E1098" t="s">
        <v>696</v>
      </c>
      <c r="F1098" t="s">
        <v>243</v>
      </c>
      <c r="G1098" t="s">
        <v>797</v>
      </c>
      <c r="H1098" t="s">
        <v>20</v>
      </c>
      <c r="I1098" t="s">
        <v>34</v>
      </c>
      <c r="J1098" t="s">
        <v>798</v>
      </c>
      <c r="K1098" t="s">
        <v>799</v>
      </c>
      <c r="L1098" t="s">
        <v>800</v>
      </c>
      <c r="M1098" s="5">
        <v>45647</v>
      </c>
      <c r="N1098" s="5">
        <v>45642</v>
      </c>
      <c r="O1098">
        <v>10</v>
      </c>
      <c r="P1098">
        <v>28.02</v>
      </c>
      <c r="Q1098">
        <v>36.43</v>
      </c>
      <c r="R1098">
        <v>0.1</v>
      </c>
      <c r="S1098">
        <v>327.87</v>
      </c>
      <c r="T1098" t="s">
        <v>803</v>
      </c>
      <c r="U1098">
        <v>280.2</v>
      </c>
      <c r="V1098">
        <v>47.67</v>
      </c>
    </row>
    <row r="1099" spans="1:22" x14ac:dyDescent="0.35">
      <c r="A1099" t="s">
        <v>2570</v>
      </c>
      <c r="B1099" t="s">
        <v>1425</v>
      </c>
      <c r="C1099" t="s">
        <v>487</v>
      </c>
      <c r="D1099" t="s">
        <v>488</v>
      </c>
      <c r="E1099" t="s">
        <v>637</v>
      </c>
      <c r="F1099" t="s">
        <v>243</v>
      </c>
      <c r="G1099" t="s">
        <v>797</v>
      </c>
      <c r="H1099" t="s">
        <v>20</v>
      </c>
      <c r="I1099" t="s">
        <v>34</v>
      </c>
      <c r="J1099" t="s">
        <v>798</v>
      </c>
      <c r="K1099" t="s">
        <v>799</v>
      </c>
      <c r="L1099" t="s">
        <v>800</v>
      </c>
      <c r="M1099" s="5">
        <v>45630</v>
      </c>
      <c r="N1099" s="5">
        <v>45627</v>
      </c>
      <c r="O1099">
        <v>3</v>
      </c>
      <c r="P1099">
        <v>28.02</v>
      </c>
      <c r="Q1099">
        <v>36.43</v>
      </c>
      <c r="R1099">
        <v>0</v>
      </c>
      <c r="S1099">
        <v>109.29</v>
      </c>
      <c r="T1099" t="s">
        <v>819</v>
      </c>
      <c r="U1099">
        <v>84.06</v>
      </c>
      <c r="V1099">
        <v>25.23</v>
      </c>
    </row>
    <row r="1100" spans="1:22" x14ac:dyDescent="0.35">
      <c r="A1100" t="s">
        <v>2571</v>
      </c>
      <c r="B1100" t="s">
        <v>1712</v>
      </c>
      <c r="C1100" t="s">
        <v>398</v>
      </c>
      <c r="D1100" t="s">
        <v>399</v>
      </c>
      <c r="E1100" t="s">
        <v>674</v>
      </c>
      <c r="F1100" t="s">
        <v>264</v>
      </c>
      <c r="G1100" t="s">
        <v>797</v>
      </c>
      <c r="H1100" t="s">
        <v>29</v>
      </c>
      <c r="I1100" t="s">
        <v>123</v>
      </c>
      <c r="J1100" t="s">
        <v>786</v>
      </c>
      <c r="K1100" t="s">
        <v>787</v>
      </c>
      <c r="L1100" t="s">
        <v>800</v>
      </c>
      <c r="M1100" s="5">
        <v>46017</v>
      </c>
      <c r="O1100">
        <v>10</v>
      </c>
      <c r="P1100">
        <v>20.7</v>
      </c>
      <c r="Q1100">
        <v>30.01</v>
      </c>
      <c r="R1100">
        <v>0</v>
      </c>
      <c r="S1100">
        <v>300.10000000000002</v>
      </c>
      <c r="T1100" t="s">
        <v>839</v>
      </c>
      <c r="U1100">
        <v>207</v>
      </c>
      <c r="V1100">
        <v>93.1</v>
      </c>
    </row>
    <row r="1101" spans="1:22" x14ac:dyDescent="0.35">
      <c r="A1101" t="s">
        <v>2572</v>
      </c>
      <c r="B1101" t="s">
        <v>1454</v>
      </c>
      <c r="C1101" t="s">
        <v>485</v>
      </c>
      <c r="D1101" t="s">
        <v>486</v>
      </c>
      <c r="E1101" t="s">
        <v>696</v>
      </c>
      <c r="F1101" t="s">
        <v>243</v>
      </c>
      <c r="G1101" t="s">
        <v>14</v>
      </c>
      <c r="H1101" t="s">
        <v>20</v>
      </c>
      <c r="I1101" t="s">
        <v>18</v>
      </c>
      <c r="J1101" t="s">
        <v>786</v>
      </c>
      <c r="K1101" t="s">
        <v>793</v>
      </c>
      <c r="L1101" t="s">
        <v>788</v>
      </c>
      <c r="M1101" s="5">
        <v>45932</v>
      </c>
      <c r="O1101">
        <v>3</v>
      </c>
      <c r="P1101">
        <v>21.57</v>
      </c>
      <c r="Q1101">
        <v>26.96</v>
      </c>
      <c r="R1101">
        <v>0.1</v>
      </c>
      <c r="S1101">
        <v>72.790000000000006</v>
      </c>
      <c r="T1101" t="s">
        <v>803</v>
      </c>
      <c r="U1101">
        <v>64.709999999999994</v>
      </c>
      <c r="V1101">
        <v>8.08</v>
      </c>
    </row>
    <row r="1102" spans="1:22" x14ac:dyDescent="0.35">
      <c r="A1102" t="s">
        <v>2573</v>
      </c>
      <c r="B1102" t="s">
        <v>1394</v>
      </c>
      <c r="C1102" t="s">
        <v>543</v>
      </c>
      <c r="D1102" t="s">
        <v>544</v>
      </c>
      <c r="E1102" t="s">
        <v>696</v>
      </c>
      <c r="F1102" t="s">
        <v>243</v>
      </c>
      <c r="G1102" t="s">
        <v>20</v>
      </c>
      <c r="H1102" t="s">
        <v>20</v>
      </c>
      <c r="I1102" t="s">
        <v>163</v>
      </c>
      <c r="J1102" t="s">
        <v>798</v>
      </c>
      <c r="K1102" t="s">
        <v>817</v>
      </c>
      <c r="L1102" t="s">
        <v>800</v>
      </c>
      <c r="M1102" s="5">
        <v>45708</v>
      </c>
      <c r="O1102">
        <v>1</v>
      </c>
      <c r="P1102">
        <v>55.3</v>
      </c>
      <c r="Q1102">
        <v>74.66</v>
      </c>
      <c r="R1102">
        <v>0.05</v>
      </c>
      <c r="S1102">
        <v>70.930000000000007</v>
      </c>
      <c r="T1102" t="s">
        <v>814</v>
      </c>
      <c r="U1102">
        <v>55.3</v>
      </c>
      <c r="V1102">
        <v>15.63</v>
      </c>
    </row>
    <row r="1103" spans="1:22" x14ac:dyDescent="0.35">
      <c r="A1103" t="s">
        <v>2574</v>
      </c>
      <c r="B1103" t="s">
        <v>1578</v>
      </c>
      <c r="C1103" t="s">
        <v>432</v>
      </c>
      <c r="D1103" t="s">
        <v>433</v>
      </c>
      <c r="E1103" t="s">
        <v>627</v>
      </c>
      <c r="F1103" t="s">
        <v>243</v>
      </c>
      <c r="G1103" t="s">
        <v>797</v>
      </c>
      <c r="H1103" t="s">
        <v>29</v>
      </c>
      <c r="I1103" t="s">
        <v>27</v>
      </c>
      <c r="J1103" t="s">
        <v>786</v>
      </c>
      <c r="K1103" t="s">
        <v>787</v>
      </c>
      <c r="L1103" t="s">
        <v>788</v>
      </c>
      <c r="M1103" s="5">
        <v>45679</v>
      </c>
      <c r="O1103">
        <v>10</v>
      </c>
      <c r="P1103">
        <v>33.06</v>
      </c>
      <c r="Q1103">
        <v>47.94</v>
      </c>
      <c r="R1103">
        <v>0.1</v>
      </c>
      <c r="S1103">
        <v>431.46</v>
      </c>
      <c r="T1103" t="s">
        <v>803</v>
      </c>
      <c r="U1103">
        <v>330.6</v>
      </c>
      <c r="V1103">
        <v>100.86</v>
      </c>
    </row>
    <row r="1104" spans="1:22" x14ac:dyDescent="0.35">
      <c r="A1104" t="s">
        <v>2575</v>
      </c>
      <c r="B1104" t="s">
        <v>955</v>
      </c>
      <c r="C1104" t="s">
        <v>513</v>
      </c>
      <c r="D1104" t="s">
        <v>514</v>
      </c>
      <c r="E1104" t="s">
        <v>681</v>
      </c>
      <c r="F1104" t="s">
        <v>264</v>
      </c>
      <c r="G1104" t="s">
        <v>14</v>
      </c>
      <c r="H1104" t="s">
        <v>20</v>
      </c>
      <c r="I1104" t="s">
        <v>137</v>
      </c>
      <c r="J1104" t="s">
        <v>798</v>
      </c>
      <c r="K1104" t="s">
        <v>799</v>
      </c>
      <c r="L1104" t="s">
        <v>788</v>
      </c>
      <c r="M1104" s="5">
        <v>45430</v>
      </c>
      <c r="N1104" s="5">
        <v>45432</v>
      </c>
      <c r="O1104">
        <v>1</v>
      </c>
      <c r="P1104">
        <v>23.58</v>
      </c>
      <c r="Q1104">
        <v>31.83</v>
      </c>
      <c r="R1104">
        <v>0.15</v>
      </c>
      <c r="S1104">
        <v>27.06</v>
      </c>
      <c r="T1104" t="s">
        <v>814</v>
      </c>
      <c r="U1104">
        <v>23.58</v>
      </c>
      <c r="V1104">
        <v>3.48</v>
      </c>
    </row>
    <row r="1105" spans="1:22" x14ac:dyDescent="0.35">
      <c r="A1105" t="s">
        <v>2576</v>
      </c>
      <c r="B1105" t="s">
        <v>1441</v>
      </c>
      <c r="C1105" t="s">
        <v>407</v>
      </c>
      <c r="D1105" t="s">
        <v>408</v>
      </c>
      <c r="E1105" t="s">
        <v>627</v>
      </c>
      <c r="F1105" t="s">
        <v>235</v>
      </c>
      <c r="G1105" t="s">
        <v>20</v>
      </c>
      <c r="H1105" t="s">
        <v>8</v>
      </c>
      <c r="I1105" t="s">
        <v>192</v>
      </c>
      <c r="J1105" t="s">
        <v>798</v>
      </c>
      <c r="K1105" t="s">
        <v>799</v>
      </c>
      <c r="L1105" t="s">
        <v>818</v>
      </c>
      <c r="M1105" s="5">
        <v>45528</v>
      </c>
      <c r="N1105" s="5">
        <v>45522</v>
      </c>
      <c r="O1105">
        <v>10</v>
      </c>
      <c r="P1105">
        <v>19.47</v>
      </c>
      <c r="Q1105">
        <v>28.23</v>
      </c>
      <c r="R1105">
        <v>0</v>
      </c>
      <c r="S1105">
        <v>282.3</v>
      </c>
      <c r="T1105" t="s">
        <v>810</v>
      </c>
      <c r="U1105">
        <v>194.7</v>
      </c>
      <c r="V1105">
        <v>87.6</v>
      </c>
    </row>
    <row r="1106" spans="1:22" x14ac:dyDescent="0.35">
      <c r="A1106" t="s">
        <v>2577</v>
      </c>
      <c r="B1106" t="s">
        <v>2192</v>
      </c>
      <c r="C1106" t="s">
        <v>536</v>
      </c>
      <c r="D1106" t="s">
        <v>537</v>
      </c>
      <c r="E1106" t="s">
        <v>681</v>
      </c>
      <c r="F1106" t="s">
        <v>235</v>
      </c>
      <c r="G1106" t="s">
        <v>797</v>
      </c>
      <c r="H1106" t="s">
        <v>48</v>
      </c>
      <c r="I1106" t="s">
        <v>54</v>
      </c>
      <c r="J1106" t="s">
        <v>798</v>
      </c>
      <c r="K1106" t="s">
        <v>799</v>
      </c>
      <c r="L1106" t="s">
        <v>788</v>
      </c>
      <c r="M1106" s="5">
        <v>45872</v>
      </c>
      <c r="N1106" s="5">
        <v>45871</v>
      </c>
      <c r="O1106">
        <v>20</v>
      </c>
      <c r="P1106">
        <v>21.67</v>
      </c>
      <c r="Q1106">
        <v>28.17</v>
      </c>
      <c r="R1106">
        <v>0</v>
      </c>
      <c r="S1106">
        <v>563.4</v>
      </c>
      <c r="T1106" t="s">
        <v>825</v>
      </c>
      <c r="U1106">
        <v>433.4</v>
      </c>
      <c r="V1106">
        <v>130</v>
      </c>
    </row>
    <row r="1107" spans="1:22" x14ac:dyDescent="0.35">
      <c r="A1107" t="s">
        <v>2578</v>
      </c>
      <c r="B1107" t="s">
        <v>1437</v>
      </c>
      <c r="C1107" t="s">
        <v>540</v>
      </c>
      <c r="D1107" t="s">
        <v>458</v>
      </c>
      <c r="E1107" t="s">
        <v>633</v>
      </c>
      <c r="F1107" t="s">
        <v>264</v>
      </c>
      <c r="G1107" t="s">
        <v>48</v>
      </c>
      <c r="H1107" t="s">
        <v>14</v>
      </c>
      <c r="I1107" t="s">
        <v>90</v>
      </c>
      <c r="J1107" t="s">
        <v>798</v>
      </c>
      <c r="K1107" t="s">
        <v>799</v>
      </c>
      <c r="L1107" t="s">
        <v>818</v>
      </c>
      <c r="M1107" s="5">
        <v>45365</v>
      </c>
      <c r="N1107" s="5">
        <v>45361</v>
      </c>
      <c r="O1107">
        <v>1</v>
      </c>
      <c r="P1107">
        <v>27.34</v>
      </c>
      <c r="Q1107">
        <v>39.64</v>
      </c>
      <c r="R1107">
        <v>0.05</v>
      </c>
      <c r="S1107">
        <v>37.659999999999997</v>
      </c>
      <c r="T1107" t="s">
        <v>1001</v>
      </c>
      <c r="U1107">
        <v>27.34</v>
      </c>
      <c r="V1107">
        <v>10.32</v>
      </c>
    </row>
    <row r="1108" spans="1:22" x14ac:dyDescent="0.35">
      <c r="A1108" t="s">
        <v>2579</v>
      </c>
      <c r="B1108" t="s">
        <v>1729</v>
      </c>
      <c r="C1108" t="s">
        <v>574</v>
      </c>
      <c r="D1108" t="s">
        <v>458</v>
      </c>
      <c r="E1108" t="s">
        <v>696</v>
      </c>
      <c r="G1108" t="s">
        <v>797</v>
      </c>
      <c r="H1108" t="s">
        <v>48</v>
      </c>
      <c r="I1108" t="s">
        <v>148</v>
      </c>
      <c r="J1108" t="s">
        <v>798</v>
      </c>
      <c r="K1108" t="s">
        <v>793</v>
      </c>
      <c r="L1108" t="s">
        <v>788</v>
      </c>
      <c r="M1108" s="5">
        <v>45704</v>
      </c>
      <c r="O1108">
        <v>5</v>
      </c>
      <c r="P1108">
        <v>58.01</v>
      </c>
      <c r="Q1108">
        <v>72.510000000000005</v>
      </c>
      <c r="R1108">
        <v>0.1</v>
      </c>
      <c r="S1108">
        <v>326.3</v>
      </c>
      <c r="T1108" t="s">
        <v>892</v>
      </c>
      <c r="U1108">
        <v>290.05</v>
      </c>
      <c r="V1108">
        <v>36.25</v>
      </c>
    </row>
    <row r="1109" spans="1:22" x14ac:dyDescent="0.35">
      <c r="A1109" t="s">
        <v>2580</v>
      </c>
      <c r="B1109" t="s">
        <v>911</v>
      </c>
      <c r="C1109" t="s">
        <v>612</v>
      </c>
      <c r="D1109" t="s">
        <v>447</v>
      </c>
      <c r="E1109" t="s">
        <v>627</v>
      </c>
      <c r="F1109" t="s">
        <v>235</v>
      </c>
      <c r="G1109" t="s">
        <v>48</v>
      </c>
      <c r="H1109" t="s">
        <v>14</v>
      </c>
      <c r="I1109" t="s">
        <v>24</v>
      </c>
      <c r="J1109" t="s">
        <v>798</v>
      </c>
      <c r="K1109" t="s">
        <v>799</v>
      </c>
      <c r="L1109" t="s">
        <v>842</v>
      </c>
      <c r="M1109" s="5">
        <v>45715</v>
      </c>
      <c r="N1109" s="5">
        <v>45718</v>
      </c>
      <c r="O1109">
        <v>3</v>
      </c>
      <c r="P1109">
        <v>37.42</v>
      </c>
      <c r="Q1109">
        <v>50.52</v>
      </c>
      <c r="R1109">
        <v>0.15</v>
      </c>
      <c r="S1109">
        <v>128.83000000000001</v>
      </c>
      <c r="T1109" t="s">
        <v>814</v>
      </c>
      <c r="U1109">
        <v>112.26</v>
      </c>
      <c r="V1109">
        <v>16.57</v>
      </c>
    </row>
    <row r="1110" spans="1:22" x14ac:dyDescent="0.35">
      <c r="A1110" t="s">
        <v>2581</v>
      </c>
      <c r="B1110" t="s">
        <v>965</v>
      </c>
      <c r="C1110" t="s">
        <v>557</v>
      </c>
      <c r="D1110" t="s">
        <v>558</v>
      </c>
      <c r="E1110" t="s">
        <v>254</v>
      </c>
      <c r="F1110" t="s">
        <v>235</v>
      </c>
      <c r="G1110" t="s">
        <v>14</v>
      </c>
      <c r="H1110" t="s">
        <v>48</v>
      </c>
      <c r="I1110" t="s">
        <v>135</v>
      </c>
      <c r="J1110" t="s">
        <v>798</v>
      </c>
      <c r="K1110" t="s">
        <v>799</v>
      </c>
      <c r="L1110" t="s">
        <v>788</v>
      </c>
      <c r="M1110" s="5">
        <v>45421</v>
      </c>
      <c r="N1110" s="5">
        <v>45417</v>
      </c>
      <c r="O1110">
        <v>10</v>
      </c>
      <c r="P1110">
        <v>51.72</v>
      </c>
      <c r="Q1110">
        <v>67.239999999999995</v>
      </c>
      <c r="R1110">
        <v>0.1</v>
      </c>
      <c r="S1110">
        <v>605.16</v>
      </c>
      <c r="T1110" t="s">
        <v>810</v>
      </c>
      <c r="U1110">
        <v>517.20000000000005</v>
      </c>
      <c r="V1110">
        <v>87.96</v>
      </c>
    </row>
    <row r="1111" spans="1:22" x14ac:dyDescent="0.35">
      <c r="A1111" t="s">
        <v>2582</v>
      </c>
      <c r="B1111" t="s">
        <v>1508</v>
      </c>
      <c r="C1111" t="s">
        <v>507</v>
      </c>
      <c r="D1111" t="s">
        <v>508</v>
      </c>
      <c r="E1111" t="s">
        <v>681</v>
      </c>
      <c r="F1111" t="s">
        <v>243</v>
      </c>
      <c r="G1111" t="s">
        <v>797</v>
      </c>
      <c r="H1111" t="s">
        <v>29</v>
      </c>
      <c r="I1111" t="s">
        <v>158</v>
      </c>
      <c r="J1111" t="s">
        <v>813</v>
      </c>
      <c r="K1111" t="s">
        <v>822</v>
      </c>
      <c r="L1111" t="s">
        <v>818</v>
      </c>
      <c r="M1111" s="5">
        <v>45325</v>
      </c>
      <c r="N1111" s="5">
        <v>45330</v>
      </c>
      <c r="O1111">
        <v>20</v>
      </c>
      <c r="P1111">
        <v>25.8</v>
      </c>
      <c r="Q1111">
        <v>36.119999999999997</v>
      </c>
      <c r="R1111">
        <v>0.05</v>
      </c>
      <c r="S1111">
        <v>686.28</v>
      </c>
      <c r="T1111" t="s">
        <v>935</v>
      </c>
      <c r="U1111">
        <v>516</v>
      </c>
      <c r="V1111">
        <v>170.28</v>
      </c>
    </row>
    <row r="1112" spans="1:22" x14ac:dyDescent="0.35">
      <c r="A1112" t="s">
        <v>2583</v>
      </c>
      <c r="B1112" t="s">
        <v>2213</v>
      </c>
      <c r="C1112" t="s">
        <v>367</v>
      </c>
      <c r="D1112" t="s">
        <v>368</v>
      </c>
      <c r="E1112" t="s">
        <v>254</v>
      </c>
      <c r="F1112" t="s">
        <v>264</v>
      </c>
      <c r="G1112" t="s">
        <v>797</v>
      </c>
      <c r="H1112" t="s">
        <v>38</v>
      </c>
      <c r="I1112" t="s">
        <v>117</v>
      </c>
      <c r="J1112" t="s">
        <v>813</v>
      </c>
      <c r="K1112" t="s">
        <v>799</v>
      </c>
      <c r="L1112" t="s">
        <v>800</v>
      </c>
      <c r="M1112" s="5">
        <v>45436</v>
      </c>
      <c r="N1112" s="5">
        <v>45436</v>
      </c>
      <c r="O1112">
        <v>1</v>
      </c>
      <c r="P1112">
        <v>43.25</v>
      </c>
      <c r="Q1112">
        <v>60.55</v>
      </c>
      <c r="R1112">
        <v>0.05</v>
      </c>
      <c r="S1112">
        <v>57.52</v>
      </c>
      <c r="T1112" t="s">
        <v>834</v>
      </c>
      <c r="U1112">
        <v>43.25</v>
      </c>
      <c r="V1112">
        <v>14.27</v>
      </c>
    </row>
    <row r="1113" spans="1:22" x14ac:dyDescent="0.35">
      <c r="A1113" t="s">
        <v>2584</v>
      </c>
      <c r="B1113" t="s">
        <v>1201</v>
      </c>
      <c r="C1113" t="s">
        <v>376</v>
      </c>
      <c r="D1113" t="s">
        <v>253</v>
      </c>
      <c r="E1113" t="s">
        <v>674</v>
      </c>
      <c r="F1113" t="s">
        <v>264</v>
      </c>
      <c r="G1113" t="s">
        <v>797</v>
      </c>
      <c r="H1113" t="s">
        <v>48</v>
      </c>
      <c r="I1113" t="s">
        <v>177</v>
      </c>
      <c r="J1113" t="s">
        <v>798</v>
      </c>
      <c r="K1113" t="s">
        <v>787</v>
      </c>
      <c r="L1113" t="s">
        <v>818</v>
      </c>
      <c r="M1113" s="5">
        <v>45565</v>
      </c>
      <c r="O1113">
        <v>1</v>
      </c>
      <c r="P1113">
        <v>41.79</v>
      </c>
      <c r="Q1113">
        <v>60.6</v>
      </c>
      <c r="R1113">
        <v>0</v>
      </c>
      <c r="S1113">
        <v>60.6</v>
      </c>
      <c r="T1113" t="s">
        <v>892</v>
      </c>
      <c r="U1113">
        <v>41.79</v>
      </c>
      <c r="V1113">
        <v>18.809999999999999</v>
      </c>
    </row>
    <row r="1114" spans="1:22" x14ac:dyDescent="0.35">
      <c r="A1114" t="s">
        <v>2585</v>
      </c>
      <c r="B1114" t="s">
        <v>1396</v>
      </c>
      <c r="C1114" t="s">
        <v>555</v>
      </c>
      <c r="D1114" t="s">
        <v>391</v>
      </c>
      <c r="E1114" t="s">
        <v>254</v>
      </c>
      <c r="F1114" t="s">
        <v>264</v>
      </c>
      <c r="G1114" t="s">
        <v>48</v>
      </c>
      <c r="H1114" t="s">
        <v>29</v>
      </c>
      <c r="I1114" t="s">
        <v>176</v>
      </c>
      <c r="J1114" t="s">
        <v>813</v>
      </c>
      <c r="K1114" t="s">
        <v>793</v>
      </c>
      <c r="L1114" t="s">
        <v>788</v>
      </c>
      <c r="M1114" s="5">
        <v>45558</v>
      </c>
      <c r="O1114">
        <v>2</v>
      </c>
      <c r="P1114">
        <v>25.88</v>
      </c>
      <c r="Q1114">
        <v>36.229999999999997</v>
      </c>
      <c r="R1114">
        <v>0</v>
      </c>
      <c r="S1114">
        <v>72.459999999999994</v>
      </c>
      <c r="T1114" t="s">
        <v>892</v>
      </c>
      <c r="U1114">
        <v>51.76</v>
      </c>
      <c r="V1114">
        <v>20.7</v>
      </c>
    </row>
    <row r="1115" spans="1:22" x14ac:dyDescent="0.35">
      <c r="A1115" t="s">
        <v>2586</v>
      </c>
      <c r="B1115" t="s">
        <v>1241</v>
      </c>
      <c r="C1115" t="s">
        <v>436</v>
      </c>
      <c r="D1115" t="s">
        <v>396</v>
      </c>
      <c r="E1115" t="s">
        <v>696</v>
      </c>
      <c r="F1115" t="s">
        <v>235</v>
      </c>
      <c r="G1115" t="s">
        <v>797</v>
      </c>
      <c r="H1115" t="s">
        <v>29</v>
      </c>
      <c r="I1115" t="s">
        <v>121</v>
      </c>
      <c r="J1115" t="s">
        <v>786</v>
      </c>
      <c r="K1115" t="s">
        <v>799</v>
      </c>
      <c r="L1115" t="s">
        <v>800</v>
      </c>
      <c r="M1115" s="5">
        <v>45318</v>
      </c>
      <c r="N1115" s="5">
        <v>45308</v>
      </c>
      <c r="O1115">
        <v>20</v>
      </c>
      <c r="P1115">
        <v>15.46</v>
      </c>
      <c r="Q1115">
        <v>22.42</v>
      </c>
      <c r="R1115">
        <v>0</v>
      </c>
      <c r="S1115">
        <v>448.4</v>
      </c>
      <c r="T1115" t="s">
        <v>810</v>
      </c>
      <c r="U1115">
        <v>309.2</v>
      </c>
      <c r="V1115">
        <v>139.19999999999999</v>
      </c>
    </row>
    <row r="1116" spans="1:22" x14ac:dyDescent="0.35">
      <c r="A1116" t="s">
        <v>2587</v>
      </c>
      <c r="B1116" t="s">
        <v>1889</v>
      </c>
      <c r="C1116" t="s">
        <v>509</v>
      </c>
      <c r="D1116" t="s">
        <v>510</v>
      </c>
      <c r="E1116" t="s">
        <v>674</v>
      </c>
      <c r="F1116" t="s">
        <v>235</v>
      </c>
      <c r="G1116" t="s">
        <v>14</v>
      </c>
      <c r="H1116" t="s">
        <v>20</v>
      </c>
      <c r="I1116" t="s">
        <v>163</v>
      </c>
      <c r="J1116" t="s">
        <v>786</v>
      </c>
      <c r="K1116" t="s">
        <v>787</v>
      </c>
      <c r="L1116" t="s">
        <v>788</v>
      </c>
      <c r="M1116" s="5">
        <v>45957</v>
      </c>
      <c r="O1116">
        <v>12</v>
      </c>
      <c r="P1116">
        <v>55.3</v>
      </c>
      <c r="Q1116">
        <v>74.66</v>
      </c>
      <c r="R1116">
        <v>0.1</v>
      </c>
      <c r="S1116">
        <v>806.33</v>
      </c>
      <c r="T1116" t="s">
        <v>814</v>
      </c>
      <c r="U1116">
        <v>663.6</v>
      </c>
      <c r="V1116">
        <v>142.72999999999999</v>
      </c>
    </row>
    <row r="1117" spans="1:22" x14ac:dyDescent="0.35">
      <c r="A1117" t="s">
        <v>2588</v>
      </c>
      <c r="B1117" t="s">
        <v>1540</v>
      </c>
      <c r="C1117" t="s">
        <v>485</v>
      </c>
      <c r="D1117" t="s">
        <v>486</v>
      </c>
      <c r="E1117" t="s">
        <v>681</v>
      </c>
      <c r="F1117" t="s">
        <v>243</v>
      </c>
      <c r="G1117" t="s">
        <v>20</v>
      </c>
      <c r="H1117" t="s">
        <v>8</v>
      </c>
      <c r="I1117" t="s">
        <v>207</v>
      </c>
      <c r="J1117" t="s">
        <v>786</v>
      </c>
      <c r="K1117" t="s">
        <v>799</v>
      </c>
      <c r="L1117" t="s">
        <v>818</v>
      </c>
      <c r="M1117" s="5">
        <v>45893</v>
      </c>
      <c r="N1117" s="5">
        <v>45880</v>
      </c>
      <c r="O1117">
        <v>5</v>
      </c>
      <c r="P1117">
        <v>8.5399999999999991</v>
      </c>
      <c r="Q1117">
        <v>10.67</v>
      </c>
      <c r="R1117">
        <v>0</v>
      </c>
      <c r="S1117">
        <v>53.35</v>
      </c>
      <c r="T1117" t="s">
        <v>946</v>
      </c>
      <c r="U1117">
        <v>42.7</v>
      </c>
      <c r="V1117">
        <v>10.65</v>
      </c>
    </row>
    <row r="1118" spans="1:22" x14ac:dyDescent="0.35">
      <c r="A1118" t="s">
        <v>2589</v>
      </c>
      <c r="B1118" t="s">
        <v>1100</v>
      </c>
      <c r="C1118" t="s">
        <v>428</v>
      </c>
      <c r="D1118" t="s">
        <v>429</v>
      </c>
      <c r="E1118" t="s">
        <v>633</v>
      </c>
      <c r="F1118" t="s">
        <v>264</v>
      </c>
      <c r="G1118" t="s">
        <v>797</v>
      </c>
      <c r="H1118" t="s">
        <v>43</v>
      </c>
      <c r="I1118" t="s">
        <v>99</v>
      </c>
      <c r="J1118" t="s">
        <v>798</v>
      </c>
      <c r="K1118" t="s">
        <v>799</v>
      </c>
      <c r="L1118" t="s">
        <v>788</v>
      </c>
      <c r="M1118" s="5">
        <v>45849</v>
      </c>
      <c r="N1118" s="5">
        <v>45846</v>
      </c>
      <c r="O1118">
        <v>10</v>
      </c>
      <c r="P1118">
        <v>10.88</v>
      </c>
      <c r="Q1118">
        <v>15.78</v>
      </c>
      <c r="R1118">
        <v>0</v>
      </c>
      <c r="S1118">
        <v>157.80000000000001</v>
      </c>
      <c r="T1118" t="s">
        <v>819</v>
      </c>
      <c r="U1118">
        <v>108.8</v>
      </c>
      <c r="V1118">
        <v>49</v>
      </c>
    </row>
    <row r="1119" spans="1:22" x14ac:dyDescent="0.35">
      <c r="A1119" t="s">
        <v>2590</v>
      </c>
      <c r="B1119" t="s">
        <v>879</v>
      </c>
      <c r="C1119" t="s">
        <v>556</v>
      </c>
      <c r="D1119" t="s">
        <v>472</v>
      </c>
      <c r="E1119" t="s">
        <v>633</v>
      </c>
      <c r="F1119" t="s">
        <v>235</v>
      </c>
      <c r="G1119" t="s">
        <v>48</v>
      </c>
      <c r="H1119" t="s">
        <v>14</v>
      </c>
      <c r="I1119" t="s">
        <v>152</v>
      </c>
      <c r="J1119" t="s">
        <v>786</v>
      </c>
      <c r="K1119" t="s">
        <v>799</v>
      </c>
      <c r="L1119" t="s">
        <v>818</v>
      </c>
      <c r="M1119" s="5">
        <v>45923</v>
      </c>
      <c r="N1119" s="5">
        <v>45918</v>
      </c>
      <c r="O1119">
        <v>2</v>
      </c>
      <c r="P1119">
        <v>38.549999999999997</v>
      </c>
      <c r="Q1119">
        <v>53.97</v>
      </c>
      <c r="R1119">
        <v>0.05</v>
      </c>
      <c r="S1119">
        <v>102.54</v>
      </c>
      <c r="T1119" t="s">
        <v>919</v>
      </c>
      <c r="U1119">
        <v>77.099999999999994</v>
      </c>
      <c r="V1119">
        <v>25.44</v>
      </c>
    </row>
    <row r="1120" spans="1:22" x14ac:dyDescent="0.35">
      <c r="A1120" t="s">
        <v>2591</v>
      </c>
      <c r="B1120" t="s">
        <v>1699</v>
      </c>
      <c r="C1120" t="s">
        <v>400</v>
      </c>
      <c r="D1120" t="s">
        <v>383</v>
      </c>
      <c r="E1120" t="s">
        <v>633</v>
      </c>
      <c r="F1120" t="s">
        <v>235</v>
      </c>
      <c r="G1120" t="s">
        <v>797</v>
      </c>
      <c r="H1120" t="s">
        <v>38</v>
      </c>
      <c r="I1120" t="s">
        <v>165</v>
      </c>
      <c r="J1120" t="s">
        <v>786</v>
      </c>
      <c r="K1120" t="s">
        <v>799</v>
      </c>
      <c r="L1120" t="s">
        <v>818</v>
      </c>
      <c r="M1120" s="5">
        <v>45373</v>
      </c>
      <c r="N1120" s="5">
        <v>45360</v>
      </c>
      <c r="O1120">
        <v>12</v>
      </c>
      <c r="P1120">
        <v>18.45</v>
      </c>
      <c r="Q1120">
        <v>25.83</v>
      </c>
      <c r="R1120">
        <v>0</v>
      </c>
      <c r="S1120">
        <v>309.95999999999998</v>
      </c>
      <c r="T1120" t="s">
        <v>814</v>
      </c>
      <c r="U1120">
        <v>221.4</v>
      </c>
      <c r="V1120">
        <v>88.56</v>
      </c>
    </row>
    <row r="1121" spans="1:22" x14ac:dyDescent="0.35">
      <c r="A1121" t="s">
        <v>2592</v>
      </c>
      <c r="B1121" t="s">
        <v>1864</v>
      </c>
      <c r="C1121" t="s">
        <v>322</v>
      </c>
      <c r="D1121" t="s">
        <v>245</v>
      </c>
      <c r="E1121" t="s">
        <v>637</v>
      </c>
      <c r="F1121" t="s">
        <v>243</v>
      </c>
      <c r="G1121" t="s">
        <v>14</v>
      </c>
      <c r="H1121" t="s">
        <v>8</v>
      </c>
      <c r="I1121" t="s">
        <v>181</v>
      </c>
      <c r="J1121" t="s">
        <v>798</v>
      </c>
      <c r="K1121" t="s">
        <v>793</v>
      </c>
      <c r="L1121" t="s">
        <v>818</v>
      </c>
      <c r="M1121" s="5">
        <v>45790</v>
      </c>
      <c r="O1121">
        <v>5</v>
      </c>
      <c r="P1121">
        <v>20.49</v>
      </c>
      <c r="Q1121">
        <v>29.71</v>
      </c>
      <c r="R1121">
        <v>0.1</v>
      </c>
      <c r="S1121">
        <v>133.69999999999999</v>
      </c>
      <c r="T1121" t="s">
        <v>869</v>
      </c>
      <c r="U1121">
        <v>102.45</v>
      </c>
      <c r="V1121">
        <v>31.25</v>
      </c>
    </row>
    <row r="1122" spans="1:22" x14ac:dyDescent="0.35">
      <c r="A1122" t="s">
        <v>2593</v>
      </c>
      <c r="B1122" t="s">
        <v>2301</v>
      </c>
      <c r="C1122" t="s">
        <v>434</v>
      </c>
      <c r="D1122" t="s">
        <v>435</v>
      </c>
      <c r="E1122" t="s">
        <v>674</v>
      </c>
      <c r="F1122" t="s">
        <v>264</v>
      </c>
      <c r="G1122" t="s">
        <v>797</v>
      </c>
      <c r="H1122" t="s">
        <v>29</v>
      </c>
      <c r="I1122" t="s">
        <v>182</v>
      </c>
      <c r="J1122" t="s">
        <v>813</v>
      </c>
      <c r="K1122" t="s">
        <v>822</v>
      </c>
      <c r="L1122" t="s">
        <v>818</v>
      </c>
      <c r="M1122" s="5">
        <v>45500</v>
      </c>
      <c r="N1122" s="5">
        <v>45504</v>
      </c>
      <c r="O1122">
        <v>5</v>
      </c>
      <c r="P1122">
        <v>19.77</v>
      </c>
      <c r="Q1122">
        <v>27.68</v>
      </c>
      <c r="R1122">
        <v>0.05</v>
      </c>
      <c r="S1122">
        <v>131.47999999999999</v>
      </c>
      <c r="T1122" t="s">
        <v>876</v>
      </c>
      <c r="U1122">
        <v>98.85</v>
      </c>
      <c r="V1122">
        <v>32.630000000000003</v>
      </c>
    </row>
    <row r="1123" spans="1:22" x14ac:dyDescent="0.35">
      <c r="A1123" t="s">
        <v>2594</v>
      </c>
      <c r="B1123" t="s">
        <v>2227</v>
      </c>
      <c r="C1123" t="s">
        <v>260</v>
      </c>
      <c r="D1123" t="s">
        <v>261</v>
      </c>
      <c r="E1123" t="s">
        <v>696</v>
      </c>
      <c r="F1123" t="s">
        <v>264</v>
      </c>
      <c r="G1123" t="s">
        <v>797</v>
      </c>
      <c r="H1123" t="s">
        <v>48</v>
      </c>
      <c r="I1123" t="s">
        <v>46</v>
      </c>
      <c r="J1123" t="s">
        <v>798</v>
      </c>
      <c r="K1123" t="s">
        <v>799</v>
      </c>
      <c r="L1123" t="s">
        <v>800</v>
      </c>
      <c r="M1123" s="5">
        <v>45383</v>
      </c>
      <c r="N1123" s="5">
        <v>45377</v>
      </c>
      <c r="O1123">
        <v>10</v>
      </c>
      <c r="P1123">
        <v>29.16</v>
      </c>
      <c r="Q1123">
        <v>36.450000000000003</v>
      </c>
      <c r="R1123">
        <v>0.05</v>
      </c>
      <c r="S1123">
        <v>346.27</v>
      </c>
      <c r="T1123" t="s">
        <v>859</v>
      </c>
      <c r="U1123">
        <v>291.60000000000002</v>
      </c>
      <c r="V1123">
        <v>54.67</v>
      </c>
    </row>
    <row r="1124" spans="1:22" x14ac:dyDescent="0.35">
      <c r="A1124" t="s">
        <v>2595</v>
      </c>
      <c r="B1124" t="s">
        <v>1481</v>
      </c>
      <c r="C1124" t="s">
        <v>370</v>
      </c>
      <c r="D1124" t="s">
        <v>371</v>
      </c>
      <c r="E1124" t="s">
        <v>254</v>
      </c>
      <c r="F1124" t="s">
        <v>264</v>
      </c>
      <c r="G1124" t="s">
        <v>797</v>
      </c>
      <c r="H1124" t="s">
        <v>79</v>
      </c>
      <c r="I1124" t="s">
        <v>88</v>
      </c>
      <c r="J1124" t="s">
        <v>798</v>
      </c>
      <c r="K1124" t="s">
        <v>822</v>
      </c>
      <c r="L1124" t="s">
        <v>788</v>
      </c>
      <c r="M1124" s="5">
        <v>45839</v>
      </c>
      <c r="N1124" s="5">
        <v>45833</v>
      </c>
      <c r="O1124">
        <v>2</v>
      </c>
      <c r="P1124">
        <v>11.82</v>
      </c>
      <c r="Q1124">
        <v>17.14</v>
      </c>
      <c r="R1124">
        <v>0.15</v>
      </c>
      <c r="S1124">
        <v>29.14</v>
      </c>
      <c r="T1124" t="s">
        <v>1134</v>
      </c>
      <c r="U1124">
        <v>23.64</v>
      </c>
      <c r="V1124">
        <v>5.5</v>
      </c>
    </row>
    <row r="1125" spans="1:22" x14ac:dyDescent="0.35">
      <c r="A1125" t="s">
        <v>2596</v>
      </c>
      <c r="B1125" t="s">
        <v>1852</v>
      </c>
      <c r="C1125" t="s">
        <v>281</v>
      </c>
      <c r="D1125" t="s">
        <v>282</v>
      </c>
      <c r="E1125" t="s">
        <v>633</v>
      </c>
      <c r="F1125" t="s">
        <v>243</v>
      </c>
      <c r="G1125" t="s">
        <v>797</v>
      </c>
      <c r="H1125" t="s">
        <v>8</v>
      </c>
      <c r="I1125" t="s">
        <v>192</v>
      </c>
      <c r="J1125" t="s">
        <v>798</v>
      </c>
      <c r="K1125" t="s">
        <v>799</v>
      </c>
      <c r="L1125" t="s">
        <v>818</v>
      </c>
      <c r="M1125" s="5">
        <v>45846</v>
      </c>
      <c r="N1125" s="5">
        <v>45848</v>
      </c>
      <c r="O1125">
        <v>10</v>
      </c>
      <c r="P1125">
        <v>19.47</v>
      </c>
      <c r="Q1125">
        <v>28.23</v>
      </c>
      <c r="R1125">
        <v>0.15</v>
      </c>
      <c r="S1125">
        <v>239.96</v>
      </c>
      <c r="T1125" t="s">
        <v>892</v>
      </c>
      <c r="U1125">
        <v>194.7</v>
      </c>
      <c r="V1125">
        <v>45.26</v>
      </c>
    </row>
    <row r="1126" spans="1:22" x14ac:dyDescent="0.35">
      <c r="A1126" t="s">
        <v>2597</v>
      </c>
      <c r="B1126" t="s">
        <v>828</v>
      </c>
      <c r="C1126" t="s">
        <v>453</v>
      </c>
      <c r="D1126" t="s">
        <v>454</v>
      </c>
      <c r="E1126" t="s">
        <v>681</v>
      </c>
      <c r="F1126" t="s">
        <v>235</v>
      </c>
      <c r="G1126" t="s">
        <v>14</v>
      </c>
      <c r="H1126" t="s">
        <v>38</v>
      </c>
      <c r="I1126" t="s">
        <v>117</v>
      </c>
      <c r="J1126" t="s">
        <v>786</v>
      </c>
      <c r="K1126" t="s">
        <v>787</v>
      </c>
      <c r="L1126" t="s">
        <v>788</v>
      </c>
      <c r="M1126" s="5">
        <v>45488</v>
      </c>
      <c r="O1126">
        <v>3</v>
      </c>
      <c r="P1126">
        <v>43.25</v>
      </c>
      <c r="Q1126">
        <v>60.55</v>
      </c>
      <c r="R1126">
        <v>0</v>
      </c>
      <c r="S1126">
        <v>181.65</v>
      </c>
      <c r="T1126" t="s">
        <v>1001</v>
      </c>
      <c r="U1126">
        <v>129.75</v>
      </c>
      <c r="V1126">
        <v>51.9</v>
      </c>
    </row>
    <row r="1127" spans="1:22" x14ac:dyDescent="0.35">
      <c r="A1127" t="s">
        <v>2598</v>
      </c>
      <c r="B1127" t="s">
        <v>970</v>
      </c>
      <c r="C1127" t="s">
        <v>592</v>
      </c>
      <c r="D1127" t="s">
        <v>478</v>
      </c>
      <c r="E1127" t="s">
        <v>674</v>
      </c>
      <c r="F1127" t="s">
        <v>243</v>
      </c>
      <c r="G1127" t="s">
        <v>14</v>
      </c>
      <c r="H1127" t="s">
        <v>14</v>
      </c>
      <c r="I1127" t="s">
        <v>30</v>
      </c>
      <c r="J1127" t="s">
        <v>798</v>
      </c>
      <c r="K1127" t="s">
        <v>799</v>
      </c>
      <c r="L1127" t="s">
        <v>842</v>
      </c>
      <c r="M1127" s="5">
        <v>45626</v>
      </c>
      <c r="N1127" s="5">
        <v>45621</v>
      </c>
      <c r="O1127">
        <v>20</v>
      </c>
      <c r="P1127">
        <v>19.010000000000002</v>
      </c>
      <c r="Q1127">
        <v>27.56</v>
      </c>
      <c r="R1127">
        <v>0.05</v>
      </c>
      <c r="S1127">
        <v>523.64</v>
      </c>
      <c r="T1127" t="s">
        <v>963</v>
      </c>
      <c r="U1127">
        <v>380.2</v>
      </c>
      <c r="V1127">
        <v>143.44</v>
      </c>
    </row>
    <row r="1128" spans="1:22" x14ac:dyDescent="0.35">
      <c r="A1128" t="s">
        <v>2599</v>
      </c>
      <c r="B1128" t="s">
        <v>981</v>
      </c>
      <c r="C1128" t="s">
        <v>397</v>
      </c>
      <c r="D1128" t="s">
        <v>360</v>
      </c>
      <c r="E1128" t="s">
        <v>681</v>
      </c>
      <c r="G1128" t="s">
        <v>20</v>
      </c>
      <c r="H1128" t="s">
        <v>20</v>
      </c>
      <c r="I1128" t="s">
        <v>188</v>
      </c>
      <c r="J1128" t="s">
        <v>786</v>
      </c>
      <c r="K1128" t="s">
        <v>817</v>
      </c>
      <c r="L1128" t="s">
        <v>818</v>
      </c>
      <c r="M1128" s="5">
        <v>45603</v>
      </c>
      <c r="O1128">
        <v>2</v>
      </c>
      <c r="P1128">
        <v>24.6</v>
      </c>
      <c r="Q1128">
        <v>35.67</v>
      </c>
      <c r="R1128">
        <v>0</v>
      </c>
      <c r="S1128">
        <v>71.34</v>
      </c>
      <c r="T1128" t="s">
        <v>814</v>
      </c>
      <c r="U1128">
        <v>49.2</v>
      </c>
      <c r="V1128">
        <v>22.14</v>
      </c>
    </row>
    <row r="1129" spans="1:22" x14ac:dyDescent="0.35">
      <c r="A1129" t="s">
        <v>2600</v>
      </c>
      <c r="B1129" t="s">
        <v>950</v>
      </c>
      <c r="C1129" t="s">
        <v>354</v>
      </c>
      <c r="D1129" t="s">
        <v>321</v>
      </c>
      <c r="E1129" t="s">
        <v>674</v>
      </c>
      <c r="F1129" t="s">
        <v>243</v>
      </c>
      <c r="G1129" t="s">
        <v>14</v>
      </c>
      <c r="H1129" t="s">
        <v>8</v>
      </c>
      <c r="I1129" t="s">
        <v>198</v>
      </c>
      <c r="J1129" t="s">
        <v>798</v>
      </c>
      <c r="K1129" t="s">
        <v>793</v>
      </c>
      <c r="L1129" t="s">
        <v>818</v>
      </c>
      <c r="M1129" s="5">
        <v>45710</v>
      </c>
      <c r="O1129">
        <v>1</v>
      </c>
      <c r="P1129">
        <v>30.64</v>
      </c>
      <c r="Q1129">
        <v>42.9</v>
      </c>
      <c r="R1129">
        <v>0.15</v>
      </c>
      <c r="S1129">
        <v>36.46</v>
      </c>
      <c r="T1129" t="s">
        <v>803</v>
      </c>
      <c r="U1129">
        <v>30.64</v>
      </c>
      <c r="V1129">
        <v>5.82</v>
      </c>
    </row>
    <row r="1130" spans="1:22" x14ac:dyDescent="0.35">
      <c r="A1130" t="s">
        <v>2601</v>
      </c>
      <c r="B1130" t="s">
        <v>1070</v>
      </c>
      <c r="C1130" t="s">
        <v>428</v>
      </c>
      <c r="D1130" t="s">
        <v>429</v>
      </c>
      <c r="E1130" t="s">
        <v>674</v>
      </c>
      <c r="F1130" t="s">
        <v>264</v>
      </c>
      <c r="G1130" t="s">
        <v>48</v>
      </c>
      <c r="H1130" t="s">
        <v>14</v>
      </c>
      <c r="I1130" t="s">
        <v>167</v>
      </c>
      <c r="J1130" t="s">
        <v>798</v>
      </c>
      <c r="K1130" t="s">
        <v>822</v>
      </c>
      <c r="L1130" t="s">
        <v>818</v>
      </c>
      <c r="M1130" s="5">
        <v>46026</v>
      </c>
      <c r="N1130" s="5">
        <v>46026</v>
      </c>
      <c r="O1130">
        <v>20</v>
      </c>
      <c r="P1130">
        <v>18.62</v>
      </c>
      <c r="Q1130">
        <v>26.07</v>
      </c>
      <c r="R1130">
        <v>0.15</v>
      </c>
      <c r="S1130">
        <v>443.19</v>
      </c>
      <c r="T1130" t="s">
        <v>839</v>
      </c>
      <c r="U1130">
        <v>372.4</v>
      </c>
      <c r="V1130">
        <v>70.790000000000006</v>
      </c>
    </row>
    <row r="1131" spans="1:22" x14ac:dyDescent="0.35">
      <c r="A1131" t="s">
        <v>2602</v>
      </c>
      <c r="B1131" t="s">
        <v>1533</v>
      </c>
      <c r="C1131" t="s">
        <v>414</v>
      </c>
      <c r="D1131" t="s">
        <v>415</v>
      </c>
      <c r="E1131" t="s">
        <v>637</v>
      </c>
      <c r="F1131" t="s">
        <v>235</v>
      </c>
      <c r="G1131" t="s">
        <v>48</v>
      </c>
      <c r="H1131" t="s">
        <v>20</v>
      </c>
      <c r="I1131" t="s">
        <v>134</v>
      </c>
      <c r="J1131" t="s">
        <v>786</v>
      </c>
      <c r="K1131" t="s">
        <v>799</v>
      </c>
      <c r="L1131" t="s">
        <v>842</v>
      </c>
      <c r="M1131" s="5">
        <v>45729</v>
      </c>
      <c r="N1131" s="5">
        <v>45722</v>
      </c>
      <c r="O1131">
        <v>2</v>
      </c>
      <c r="P1131">
        <v>38.36</v>
      </c>
      <c r="Q1131">
        <v>53.7</v>
      </c>
      <c r="R1131">
        <v>0.15</v>
      </c>
      <c r="S1131">
        <v>91.29</v>
      </c>
      <c r="T1131" t="s">
        <v>1001</v>
      </c>
      <c r="U1131">
        <v>76.72</v>
      </c>
      <c r="V1131">
        <v>14.57</v>
      </c>
    </row>
    <row r="1132" spans="1:22" x14ac:dyDescent="0.35">
      <c r="A1132" t="s">
        <v>2603</v>
      </c>
      <c r="B1132" t="s">
        <v>1601</v>
      </c>
      <c r="C1132" t="s">
        <v>339</v>
      </c>
      <c r="D1132" t="s">
        <v>340</v>
      </c>
      <c r="E1132" t="s">
        <v>681</v>
      </c>
      <c r="F1132" t="s">
        <v>264</v>
      </c>
      <c r="G1132" t="s">
        <v>14</v>
      </c>
      <c r="H1132" t="s">
        <v>8</v>
      </c>
      <c r="I1132" t="s">
        <v>181</v>
      </c>
      <c r="J1132" t="s">
        <v>813</v>
      </c>
      <c r="K1132" t="s">
        <v>787</v>
      </c>
      <c r="L1132" t="s">
        <v>788</v>
      </c>
      <c r="M1132" s="5">
        <v>45337</v>
      </c>
      <c r="O1132">
        <v>1</v>
      </c>
      <c r="P1132">
        <v>20.49</v>
      </c>
      <c r="Q1132">
        <v>29.71</v>
      </c>
      <c r="R1132">
        <v>0.05</v>
      </c>
      <c r="S1132">
        <v>28.22</v>
      </c>
      <c r="T1132" t="s">
        <v>834</v>
      </c>
      <c r="U1132">
        <v>20.49</v>
      </c>
      <c r="V1132">
        <v>7.73</v>
      </c>
    </row>
    <row r="1133" spans="1:22" x14ac:dyDescent="0.35">
      <c r="A1133" t="s">
        <v>2604</v>
      </c>
      <c r="B1133" t="s">
        <v>754</v>
      </c>
      <c r="C1133" t="s">
        <v>436</v>
      </c>
      <c r="D1133" t="s">
        <v>396</v>
      </c>
      <c r="E1133" t="s">
        <v>674</v>
      </c>
      <c r="F1133" t="s">
        <v>235</v>
      </c>
      <c r="G1133" t="s">
        <v>48</v>
      </c>
      <c r="H1133" t="s">
        <v>14</v>
      </c>
      <c r="I1133" t="s">
        <v>128</v>
      </c>
      <c r="J1133" t="s">
        <v>798</v>
      </c>
      <c r="K1133" t="s">
        <v>799</v>
      </c>
      <c r="L1133" t="s">
        <v>818</v>
      </c>
      <c r="M1133" s="5">
        <v>45486</v>
      </c>
      <c r="N1133" s="5">
        <v>45484</v>
      </c>
      <c r="O1133">
        <v>2</v>
      </c>
      <c r="P1133">
        <v>18.850000000000001</v>
      </c>
      <c r="Q1133">
        <v>27.33</v>
      </c>
      <c r="R1133">
        <v>0</v>
      </c>
      <c r="S1133">
        <v>54.66</v>
      </c>
      <c r="T1133" t="s">
        <v>790</v>
      </c>
      <c r="U1133">
        <v>37.700000000000003</v>
      </c>
      <c r="V1133">
        <v>16.96</v>
      </c>
    </row>
    <row r="1134" spans="1:22" x14ac:dyDescent="0.35">
      <c r="A1134" t="s">
        <v>2605</v>
      </c>
      <c r="B1134" t="s">
        <v>1447</v>
      </c>
      <c r="C1134" t="s">
        <v>405</v>
      </c>
      <c r="D1134" t="s">
        <v>404</v>
      </c>
      <c r="E1134" t="s">
        <v>254</v>
      </c>
      <c r="F1134" t="s">
        <v>264</v>
      </c>
      <c r="G1134" t="s">
        <v>20</v>
      </c>
      <c r="H1134" t="s">
        <v>14</v>
      </c>
      <c r="I1134" t="s">
        <v>169</v>
      </c>
      <c r="J1134" t="s">
        <v>798</v>
      </c>
      <c r="K1134" t="s">
        <v>822</v>
      </c>
      <c r="L1134" t="s">
        <v>788</v>
      </c>
      <c r="M1134" s="5">
        <v>45590</v>
      </c>
      <c r="N1134" s="5">
        <v>45591</v>
      </c>
      <c r="O1134">
        <v>5</v>
      </c>
      <c r="P1134">
        <v>40.590000000000003</v>
      </c>
      <c r="Q1134">
        <v>58.86</v>
      </c>
      <c r="R1134">
        <v>0</v>
      </c>
      <c r="S1134">
        <v>294.3</v>
      </c>
      <c r="T1134" t="s">
        <v>790</v>
      </c>
      <c r="U1134">
        <v>202.95</v>
      </c>
      <c r="V1134">
        <v>91.35</v>
      </c>
    </row>
    <row r="1135" spans="1:22" x14ac:dyDescent="0.35">
      <c r="A1135" t="s">
        <v>2606</v>
      </c>
      <c r="B1135" t="s">
        <v>2301</v>
      </c>
      <c r="C1135" t="s">
        <v>518</v>
      </c>
      <c r="D1135" t="s">
        <v>519</v>
      </c>
      <c r="E1135" t="s">
        <v>254</v>
      </c>
      <c r="F1135" t="s">
        <v>264</v>
      </c>
      <c r="G1135" t="s">
        <v>14</v>
      </c>
      <c r="H1135" t="s">
        <v>20</v>
      </c>
      <c r="I1135" t="s">
        <v>196</v>
      </c>
      <c r="J1135" t="s">
        <v>813</v>
      </c>
      <c r="K1135" t="s">
        <v>793</v>
      </c>
      <c r="L1135" t="s">
        <v>818</v>
      </c>
      <c r="M1135" s="5">
        <v>45500</v>
      </c>
      <c r="O1135">
        <v>1</v>
      </c>
      <c r="P1135">
        <v>15.78</v>
      </c>
      <c r="Q1135">
        <v>19.72</v>
      </c>
      <c r="R1135">
        <v>0</v>
      </c>
      <c r="S1135">
        <v>19.72</v>
      </c>
      <c r="T1135" t="s">
        <v>834</v>
      </c>
      <c r="U1135">
        <v>15.78</v>
      </c>
      <c r="V1135">
        <v>3.94</v>
      </c>
    </row>
    <row r="1136" spans="1:22" x14ac:dyDescent="0.35">
      <c r="A1136" t="s">
        <v>2607</v>
      </c>
      <c r="B1136" t="s">
        <v>1198</v>
      </c>
      <c r="C1136" t="s">
        <v>397</v>
      </c>
      <c r="D1136" t="s">
        <v>360</v>
      </c>
      <c r="E1136" t="s">
        <v>696</v>
      </c>
      <c r="G1136" t="s">
        <v>14</v>
      </c>
      <c r="H1136" t="s">
        <v>38</v>
      </c>
      <c r="I1136" t="s">
        <v>126</v>
      </c>
      <c r="J1136" t="s">
        <v>798</v>
      </c>
      <c r="K1136" t="s">
        <v>787</v>
      </c>
      <c r="L1136" t="s">
        <v>842</v>
      </c>
      <c r="M1136" s="5">
        <v>46009</v>
      </c>
      <c r="O1136">
        <v>2</v>
      </c>
      <c r="P1136">
        <v>41.95</v>
      </c>
      <c r="Q1136">
        <v>58.73</v>
      </c>
      <c r="R1136">
        <v>0.15</v>
      </c>
      <c r="S1136">
        <v>99.84</v>
      </c>
      <c r="T1136" t="s">
        <v>892</v>
      </c>
      <c r="U1136">
        <v>83.9</v>
      </c>
      <c r="V1136">
        <v>15.94</v>
      </c>
    </row>
    <row r="1137" spans="1:22" x14ac:dyDescent="0.35">
      <c r="A1137" t="s">
        <v>2608</v>
      </c>
      <c r="B1137" t="s">
        <v>1547</v>
      </c>
      <c r="C1137" t="s">
        <v>596</v>
      </c>
      <c r="D1137" t="s">
        <v>443</v>
      </c>
      <c r="E1137" t="s">
        <v>633</v>
      </c>
      <c r="F1137" t="s">
        <v>264</v>
      </c>
      <c r="G1137" t="s">
        <v>797</v>
      </c>
      <c r="H1137" t="s">
        <v>48</v>
      </c>
      <c r="I1137" t="s">
        <v>202</v>
      </c>
      <c r="J1137" t="s">
        <v>813</v>
      </c>
      <c r="K1137" t="s">
        <v>787</v>
      </c>
      <c r="L1137" t="s">
        <v>800</v>
      </c>
      <c r="M1137" s="5">
        <v>45488</v>
      </c>
      <c r="O1137">
        <v>12</v>
      </c>
      <c r="P1137">
        <v>27</v>
      </c>
      <c r="Q1137">
        <v>39.15</v>
      </c>
      <c r="R1137">
        <v>0</v>
      </c>
      <c r="S1137">
        <v>469.8</v>
      </c>
      <c r="T1137" t="s">
        <v>814</v>
      </c>
      <c r="U1137">
        <v>324</v>
      </c>
      <c r="V1137">
        <v>145.80000000000001</v>
      </c>
    </row>
    <row r="1138" spans="1:22" x14ac:dyDescent="0.35">
      <c r="A1138" t="s">
        <v>2609</v>
      </c>
      <c r="B1138" t="s">
        <v>1621</v>
      </c>
      <c r="C1138" t="s">
        <v>568</v>
      </c>
      <c r="D1138" t="s">
        <v>360</v>
      </c>
      <c r="E1138" t="s">
        <v>254</v>
      </c>
      <c r="G1138" t="s">
        <v>797</v>
      </c>
      <c r="H1138" t="s">
        <v>79</v>
      </c>
      <c r="I1138" t="s">
        <v>77</v>
      </c>
      <c r="J1138" t="s">
        <v>813</v>
      </c>
      <c r="K1138" t="s">
        <v>793</v>
      </c>
      <c r="L1138" t="s">
        <v>842</v>
      </c>
      <c r="M1138" s="5">
        <v>45768</v>
      </c>
      <c r="O1138">
        <v>2</v>
      </c>
      <c r="P1138">
        <v>13.71</v>
      </c>
      <c r="Q1138">
        <v>17.82</v>
      </c>
      <c r="R1138">
        <v>0</v>
      </c>
      <c r="S1138">
        <v>35.64</v>
      </c>
      <c r="T1138" t="s">
        <v>810</v>
      </c>
      <c r="U1138">
        <v>27.42</v>
      </c>
      <c r="V1138">
        <v>8.2200000000000006</v>
      </c>
    </row>
    <row r="1139" spans="1:22" x14ac:dyDescent="0.35">
      <c r="A1139" t="s">
        <v>2610</v>
      </c>
      <c r="B1139" t="s">
        <v>1085</v>
      </c>
      <c r="C1139" t="s">
        <v>438</v>
      </c>
      <c r="D1139" t="s">
        <v>439</v>
      </c>
      <c r="E1139" t="s">
        <v>681</v>
      </c>
      <c r="F1139" t="s">
        <v>264</v>
      </c>
      <c r="G1139" t="s">
        <v>20</v>
      </c>
      <c r="H1139" t="s">
        <v>14</v>
      </c>
      <c r="I1139" t="s">
        <v>60</v>
      </c>
      <c r="J1139" t="s">
        <v>813</v>
      </c>
      <c r="K1139" t="s">
        <v>799</v>
      </c>
      <c r="L1139" t="s">
        <v>788</v>
      </c>
      <c r="M1139" s="5">
        <v>45937</v>
      </c>
      <c r="N1139" s="5">
        <v>45939</v>
      </c>
      <c r="O1139">
        <v>5</v>
      </c>
      <c r="P1139">
        <v>18.18</v>
      </c>
      <c r="Q1139">
        <v>24.54</v>
      </c>
      <c r="R1139">
        <v>0.1</v>
      </c>
      <c r="S1139">
        <v>110.43</v>
      </c>
      <c r="T1139" t="s">
        <v>892</v>
      </c>
      <c r="U1139">
        <v>90.9</v>
      </c>
      <c r="V1139">
        <v>19.53</v>
      </c>
    </row>
    <row r="1140" spans="1:22" x14ac:dyDescent="0.35">
      <c r="A1140" t="s">
        <v>2611</v>
      </c>
      <c r="B1140" t="s">
        <v>855</v>
      </c>
      <c r="C1140" t="s">
        <v>347</v>
      </c>
      <c r="D1140" t="s">
        <v>348</v>
      </c>
      <c r="E1140" t="s">
        <v>627</v>
      </c>
      <c r="F1140" t="s">
        <v>243</v>
      </c>
      <c r="G1140" t="s">
        <v>48</v>
      </c>
      <c r="H1140" t="s">
        <v>14</v>
      </c>
      <c r="I1140" t="s">
        <v>60</v>
      </c>
      <c r="J1140" t="s">
        <v>813</v>
      </c>
      <c r="K1140" t="s">
        <v>799</v>
      </c>
      <c r="L1140" t="s">
        <v>818</v>
      </c>
      <c r="M1140" s="5">
        <v>45865</v>
      </c>
      <c r="N1140" s="5">
        <v>45863</v>
      </c>
      <c r="O1140">
        <v>12</v>
      </c>
      <c r="P1140">
        <v>18.18</v>
      </c>
      <c r="Q1140">
        <v>24.54</v>
      </c>
      <c r="R1140">
        <v>0.1</v>
      </c>
      <c r="S1140">
        <v>265.02999999999997</v>
      </c>
      <c r="T1140" t="s">
        <v>790</v>
      </c>
      <c r="U1140">
        <v>218.16</v>
      </c>
      <c r="V1140">
        <v>46.87</v>
      </c>
    </row>
    <row r="1141" spans="1:22" x14ac:dyDescent="0.35">
      <c r="A1141" t="s">
        <v>2612</v>
      </c>
      <c r="B1141" t="s">
        <v>902</v>
      </c>
      <c r="C1141" t="s">
        <v>596</v>
      </c>
      <c r="D1141" t="s">
        <v>443</v>
      </c>
      <c r="E1141" t="s">
        <v>633</v>
      </c>
      <c r="F1141" t="s">
        <v>264</v>
      </c>
      <c r="G1141" t="s">
        <v>797</v>
      </c>
      <c r="H1141" t="s">
        <v>29</v>
      </c>
      <c r="I1141" t="s">
        <v>32</v>
      </c>
      <c r="J1141" t="s">
        <v>813</v>
      </c>
      <c r="K1141" t="s">
        <v>787</v>
      </c>
      <c r="L1141" t="s">
        <v>788</v>
      </c>
      <c r="M1141" s="5">
        <v>45928</v>
      </c>
      <c r="O1141">
        <v>12</v>
      </c>
      <c r="P1141">
        <v>18.989999999999998</v>
      </c>
      <c r="Q1141">
        <v>25.64</v>
      </c>
      <c r="R1141">
        <v>0</v>
      </c>
      <c r="S1141">
        <v>307.68</v>
      </c>
      <c r="T1141" t="s">
        <v>935</v>
      </c>
      <c r="U1141">
        <v>227.88</v>
      </c>
      <c r="V1141">
        <v>79.8</v>
      </c>
    </row>
    <row r="1142" spans="1:22" x14ac:dyDescent="0.35">
      <c r="A1142" t="s">
        <v>2613</v>
      </c>
      <c r="B1142" t="s">
        <v>2546</v>
      </c>
      <c r="C1142" t="s">
        <v>286</v>
      </c>
      <c r="D1142" t="s">
        <v>287</v>
      </c>
      <c r="E1142" t="s">
        <v>637</v>
      </c>
      <c r="F1142" t="s">
        <v>264</v>
      </c>
      <c r="G1142" t="s">
        <v>797</v>
      </c>
      <c r="H1142" t="s">
        <v>48</v>
      </c>
      <c r="I1142" t="s">
        <v>148</v>
      </c>
      <c r="J1142" t="s">
        <v>798</v>
      </c>
      <c r="K1142" t="s">
        <v>799</v>
      </c>
      <c r="L1142" t="s">
        <v>842</v>
      </c>
      <c r="M1142" s="5">
        <v>45302</v>
      </c>
      <c r="N1142" s="5">
        <v>45297</v>
      </c>
      <c r="O1142">
        <v>2</v>
      </c>
      <c r="P1142">
        <v>58.01</v>
      </c>
      <c r="Q1142">
        <v>72.510000000000005</v>
      </c>
      <c r="R1142">
        <v>0.1</v>
      </c>
      <c r="S1142">
        <v>130.52000000000001</v>
      </c>
      <c r="T1142" t="s">
        <v>790</v>
      </c>
      <c r="U1142">
        <v>116.02</v>
      </c>
      <c r="V1142">
        <v>14.5</v>
      </c>
    </row>
    <row r="1143" spans="1:22" x14ac:dyDescent="0.35">
      <c r="A1143" t="s">
        <v>2614</v>
      </c>
      <c r="B1143" t="s">
        <v>808</v>
      </c>
      <c r="C1143" t="s">
        <v>500</v>
      </c>
      <c r="D1143" t="s">
        <v>447</v>
      </c>
      <c r="E1143" t="s">
        <v>627</v>
      </c>
      <c r="F1143" t="s">
        <v>235</v>
      </c>
      <c r="G1143" t="s">
        <v>14</v>
      </c>
      <c r="H1143" t="s">
        <v>38</v>
      </c>
      <c r="I1143" t="s">
        <v>36</v>
      </c>
      <c r="J1143" t="s">
        <v>798</v>
      </c>
      <c r="K1143" t="s">
        <v>799</v>
      </c>
      <c r="L1143" t="s">
        <v>818</v>
      </c>
      <c r="M1143" s="5">
        <v>45319</v>
      </c>
      <c r="N1143" s="5">
        <v>45320</v>
      </c>
      <c r="O1143">
        <v>3</v>
      </c>
      <c r="P1143">
        <v>8.57</v>
      </c>
      <c r="Q1143">
        <v>11.14</v>
      </c>
      <c r="R1143">
        <v>0.15</v>
      </c>
      <c r="S1143">
        <v>28.41</v>
      </c>
      <c r="T1143" t="s">
        <v>794</v>
      </c>
      <c r="U1143">
        <v>25.71</v>
      </c>
      <c r="V1143">
        <v>2.7</v>
      </c>
    </row>
    <row r="1144" spans="1:22" x14ac:dyDescent="0.35">
      <c r="A1144" t="s">
        <v>2615</v>
      </c>
      <c r="B1144" t="s">
        <v>2382</v>
      </c>
      <c r="C1144" t="s">
        <v>444</v>
      </c>
      <c r="D1144" t="s">
        <v>445</v>
      </c>
      <c r="E1144" t="s">
        <v>681</v>
      </c>
      <c r="F1144" t="s">
        <v>264</v>
      </c>
      <c r="G1144" t="s">
        <v>14</v>
      </c>
      <c r="H1144" t="s">
        <v>43</v>
      </c>
      <c r="I1144" t="s">
        <v>171</v>
      </c>
      <c r="J1144" t="s">
        <v>786</v>
      </c>
      <c r="K1144" t="s">
        <v>787</v>
      </c>
      <c r="L1144" t="s">
        <v>800</v>
      </c>
      <c r="M1144" s="5">
        <v>45933</v>
      </c>
      <c r="O1144">
        <v>1</v>
      </c>
      <c r="P1144">
        <v>29.39</v>
      </c>
      <c r="Q1144">
        <v>39.68</v>
      </c>
      <c r="R1144">
        <v>0</v>
      </c>
      <c r="S1144">
        <v>39.68</v>
      </c>
      <c r="T1144" t="s">
        <v>888</v>
      </c>
      <c r="U1144">
        <v>29.39</v>
      </c>
      <c r="V1144">
        <v>10.29</v>
      </c>
    </row>
    <row r="1145" spans="1:22" x14ac:dyDescent="0.35">
      <c r="A1145" t="s">
        <v>2616</v>
      </c>
      <c r="B1145" t="s">
        <v>1176</v>
      </c>
      <c r="C1145" t="s">
        <v>599</v>
      </c>
      <c r="D1145" t="s">
        <v>600</v>
      </c>
      <c r="E1145" t="s">
        <v>674</v>
      </c>
      <c r="F1145" t="s">
        <v>243</v>
      </c>
      <c r="G1145" t="s">
        <v>48</v>
      </c>
      <c r="H1145" t="s">
        <v>8</v>
      </c>
      <c r="I1145" t="s">
        <v>95</v>
      </c>
      <c r="J1145" t="s">
        <v>798</v>
      </c>
      <c r="K1145" t="s">
        <v>793</v>
      </c>
      <c r="L1145" t="s">
        <v>788</v>
      </c>
      <c r="M1145" s="5">
        <v>45592</v>
      </c>
      <c r="O1145">
        <v>5</v>
      </c>
      <c r="P1145">
        <v>23.02</v>
      </c>
      <c r="Q1145">
        <v>28.77</v>
      </c>
      <c r="R1145">
        <v>0</v>
      </c>
      <c r="S1145">
        <v>143.85</v>
      </c>
      <c r="T1145" t="s">
        <v>839</v>
      </c>
      <c r="U1145">
        <v>115.1</v>
      </c>
      <c r="V1145">
        <v>28.75</v>
      </c>
    </row>
    <row r="1146" spans="1:22" x14ac:dyDescent="0.35">
      <c r="A1146" t="s">
        <v>2617</v>
      </c>
      <c r="B1146" t="s">
        <v>1643</v>
      </c>
      <c r="C1146" t="s">
        <v>347</v>
      </c>
      <c r="D1146" t="s">
        <v>348</v>
      </c>
      <c r="E1146" t="s">
        <v>254</v>
      </c>
      <c r="F1146" t="s">
        <v>243</v>
      </c>
      <c r="G1146" t="s">
        <v>14</v>
      </c>
      <c r="H1146" t="s">
        <v>8</v>
      </c>
      <c r="I1146" t="s">
        <v>181</v>
      </c>
      <c r="J1146" t="s">
        <v>798</v>
      </c>
      <c r="K1146" t="s">
        <v>799</v>
      </c>
      <c r="L1146" t="s">
        <v>788</v>
      </c>
      <c r="M1146" s="5">
        <v>45741</v>
      </c>
      <c r="N1146" s="5">
        <v>45740</v>
      </c>
      <c r="O1146">
        <v>1</v>
      </c>
      <c r="P1146">
        <v>20.49</v>
      </c>
      <c r="Q1146">
        <v>29.71</v>
      </c>
      <c r="R1146">
        <v>0.05</v>
      </c>
      <c r="S1146">
        <v>28.22</v>
      </c>
      <c r="T1146" t="s">
        <v>888</v>
      </c>
      <c r="U1146">
        <v>20.49</v>
      </c>
      <c r="V1146">
        <v>7.73</v>
      </c>
    </row>
    <row r="1147" spans="1:22" x14ac:dyDescent="0.35">
      <c r="A1147" t="s">
        <v>2618</v>
      </c>
      <c r="B1147" t="s">
        <v>1329</v>
      </c>
      <c r="C1147" t="s">
        <v>475</v>
      </c>
      <c r="D1147" t="s">
        <v>476</v>
      </c>
      <c r="E1147" t="s">
        <v>696</v>
      </c>
      <c r="F1147" t="s">
        <v>243</v>
      </c>
      <c r="G1147" t="s">
        <v>14</v>
      </c>
      <c r="H1147" t="s">
        <v>8</v>
      </c>
      <c r="I1147" t="s">
        <v>204</v>
      </c>
      <c r="J1147" t="s">
        <v>798</v>
      </c>
      <c r="K1147" t="s">
        <v>822</v>
      </c>
      <c r="L1147" t="s">
        <v>818</v>
      </c>
      <c r="M1147" s="5">
        <v>45512</v>
      </c>
      <c r="N1147" s="5">
        <v>45511</v>
      </c>
      <c r="O1147">
        <v>5</v>
      </c>
      <c r="P1147">
        <v>28.27</v>
      </c>
      <c r="Q1147">
        <v>40.99</v>
      </c>
      <c r="R1147">
        <v>0</v>
      </c>
      <c r="S1147">
        <v>204.95</v>
      </c>
      <c r="T1147" t="s">
        <v>1134</v>
      </c>
      <c r="U1147">
        <v>141.35</v>
      </c>
      <c r="V1147">
        <v>63.6</v>
      </c>
    </row>
    <row r="1148" spans="1:22" x14ac:dyDescent="0.35">
      <c r="A1148" t="s">
        <v>2619</v>
      </c>
      <c r="B1148" t="s">
        <v>997</v>
      </c>
      <c r="C1148" t="s">
        <v>343</v>
      </c>
      <c r="D1148" t="s">
        <v>344</v>
      </c>
      <c r="E1148" t="s">
        <v>681</v>
      </c>
      <c r="F1148" t="s">
        <v>235</v>
      </c>
      <c r="G1148" t="s">
        <v>14</v>
      </c>
      <c r="H1148" t="s">
        <v>14</v>
      </c>
      <c r="I1148" t="s">
        <v>128</v>
      </c>
      <c r="J1148" t="s">
        <v>798</v>
      </c>
      <c r="K1148" t="s">
        <v>799</v>
      </c>
      <c r="L1148" t="s">
        <v>788</v>
      </c>
      <c r="M1148" s="5">
        <v>45980</v>
      </c>
      <c r="N1148" s="5">
        <v>45983</v>
      </c>
      <c r="O1148">
        <v>3</v>
      </c>
      <c r="P1148">
        <v>18.850000000000001</v>
      </c>
      <c r="Q1148">
        <v>27.33</v>
      </c>
      <c r="R1148">
        <v>0.15</v>
      </c>
      <c r="S1148">
        <v>69.69</v>
      </c>
      <c r="T1148" t="s">
        <v>825</v>
      </c>
      <c r="U1148">
        <v>56.55</v>
      </c>
      <c r="V1148">
        <v>13.14</v>
      </c>
    </row>
    <row r="1149" spans="1:22" x14ac:dyDescent="0.35">
      <c r="A1149" t="s">
        <v>2620</v>
      </c>
      <c r="B1149" t="s">
        <v>1822</v>
      </c>
      <c r="C1149" t="s">
        <v>530</v>
      </c>
      <c r="D1149" t="s">
        <v>531</v>
      </c>
      <c r="E1149" t="s">
        <v>637</v>
      </c>
      <c r="F1149" t="s">
        <v>235</v>
      </c>
      <c r="G1149" t="s">
        <v>20</v>
      </c>
      <c r="H1149" t="s">
        <v>8</v>
      </c>
      <c r="I1149" t="s">
        <v>10</v>
      </c>
      <c r="J1149" t="s">
        <v>798</v>
      </c>
      <c r="K1149" t="s">
        <v>799</v>
      </c>
      <c r="L1149" t="s">
        <v>788</v>
      </c>
      <c r="M1149" s="5">
        <v>45671</v>
      </c>
      <c r="N1149" s="5">
        <v>45672</v>
      </c>
      <c r="O1149">
        <v>5</v>
      </c>
      <c r="P1149">
        <v>22.74</v>
      </c>
      <c r="Q1149">
        <v>28.42</v>
      </c>
      <c r="R1149">
        <v>0.05</v>
      </c>
      <c r="S1149">
        <v>135</v>
      </c>
      <c r="T1149" t="s">
        <v>888</v>
      </c>
      <c r="U1149">
        <v>113.7</v>
      </c>
      <c r="V1149">
        <v>21.3</v>
      </c>
    </row>
    <row r="1150" spans="1:22" x14ac:dyDescent="0.35">
      <c r="A1150" t="s">
        <v>2621</v>
      </c>
      <c r="B1150" t="s">
        <v>1080</v>
      </c>
      <c r="C1150" t="s">
        <v>570</v>
      </c>
      <c r="D1150" t="s">
        <v>435</v>
      </c>
      <c r="E1150" t="s">
        <v>696</v>
      </c>
      <c r="F1150" t="s">
        <v>264</v>
      </c>
      <c r="G1150" t="s">
        <v>797</v>
      </c>
      <c r="H1150" t="s">
        <v>29</v>
      </c>
      <c r="I1150" t="s">
        <v>49</v>
      </c>
      <c r="J1150" t="s">
        <v>786</v>
      </c>
      <c r="K1150" t="s">
        <v>799</v>
      </c>
      <c r="L1150" t="s">
        <v>818</v>
      </c>
      <c r="M1150" s="5">
        <v>45417</v>
      </c>
      <c r="N1150" s="5">
        <v>45407</v>
      </c>
      <c r="O1150">
        <v>2</v>
      </c>
      <c r="P1150">
        <v>14.89</v>
      </c>
      <c r="Q1150">
        <v>20.85</v>
      </c>
      <c r="R1150">
        <v>0</v>
      </c>
      <c r="S1150">
        <v>41.7</v>
      </c>
      <c r="T1150" t="s">
        <v>963</v>
      </c>
      <c r="U1150">
        <v>29.78</v>
      </c>
      <c r="V1150">
        <v>11.92</v>
      </c>
    </row>
    <row r="1151" spans="1:22" x14ac:dyDescent="0.35">
      <c r="A1151" t="s">
        <v>2622</v>
      </c>
      <c r="B1151" t="s">
        <v>1426</v>
      </c>
      <c r="C1151" t="s">
        <v>355</v>
      </c>
      <c r="D1151" t="s">
        <v>356</v>
      </c>
      <c r="E1151" t="s">
        <v>681</v>
      </c>
      <c r="F1151" t="s">
        <v>264</v>
      </c>
      <c r="G1151" t="s">
        <v>797</v>
      </c>
      <c r="H1151" t="s">
        <v>8</v>
      </c>
      <c r="I1151" t="s">
        <v>212</v>
      </c>
      <c r="J1151" t="s">
        <v>798</v>
      </c>
      <c r="K1151" t="s">
        <v>793</v>
      </c>
      <c r="L1151" t="s">
        <v>818</v>
      </c>
      <c r="M1151" s="5">
        <v>45644</v>
      </c>
      <c r="O1151">
        <v>10</v>
      </c>
      <c r="P1151">
        <v>95.09</v>
      </c>
      <c r="Q1151">
        <v>133.13</v>
      </c>
      <c r="R1151">
        <v>0</v>
      </c>
      <c r="S1151">
        <v>1331.3</v>
      </c>
      <c r="T1151" t="s">
        <v>1001</v>
      </c>
      <c r="U1151">
        <v>950.9</v>
      </c>
      <c r="V1151">
        <v>380.4</v>
      </c>
    </row>
    <row r="1152" spans="1:22" x14ac:dyDescent="0.35">
      <c r="A1152" t="s">
        <v>2623</v>
      </c>
      <c r="B1152" t="s">
        <v>1439</v>
      </c>
      <c r="C1152" t="s">
        <v>540</v>
      </c>
      <c r="D1152" t="s">
        <v>458</v>
      </c>
      <c r="E1152" t="s">
        <v>681</v>
      </c>
      <c r="F1152" t="s">
        <v>264</v>
      </c>
      <c r="G1152" t="s">
        <v>797</v>
      </c>
      <c r="H1152" t="s">
        <v>14</v>
      </c>
      <c r="I1152" t="s">
        <v>111</v>
      </c>
      <c r="J1152" t="s">
        <v>786</v>
      </c>
      <c r="K1152" t="s">
        <v>799</v>
      </c>
      <c r="L1152" t="s">
        <v>788</v>
      </c>
      <c r="M1152" s="5">
        <v>45517</v>
      </c>
      <c r="N1152" s="5">
        <v>45513</v>
      </c>
      <c r="O1152">
        <v>1</v>
      </c>
      <c r="P1152">
        <v>19.850000000000001</v>
      </c>
      <c r="Q1152">
        <v>28.78</v>
      </c>
      <c r="R1152">
        <v>0.15</v>
      </c>
      <c r="S1152">
        <v>24.46</v>
      </c>
      <c r="T1152" t="s">
        <v>935</v>
      </c>
      <c r="U1152">
        <v>19.850000000000001</v>
      </c>
      <c r="V1152">
        <v>4.6100000000000003</v>
      </c>
    </row>
    <row r="1153" spans="1:22" x14ac:dyDescent="0.35">
      <c r="A1153" t="s">
        <v>2624</v>
      </c>
      <c r="B1153" t="s">
        <v>1370</v>
      </c>
      <c r="C1153" t="s">
        <v>473</v>
      </c>
      <c r="D1153" t="s">
        <v>368</v>
      </c>
      <c r="E1153" t="s">
        <v>633</v>
      </c>
      <c r="F1153" t="s">
        <v>235</v>
      </c>
      <c r="G1153" t="s">
        <v>14</v>
      </c>
      <c r="H1153" t="s">
        <v>48</v>
      </c>
      <c r="I1153" t="s">
        <v>84</v>
      </c>
      <c r="J1153" t="s">
        <v>786</v>
      </c>
      <c r="K1153" t="s">
        <v>787</v>
      </c>
      <c r="L1153" t="s">
        <v>818</v>
      </c>
      <c r="M1153" s="5">
        <v>45508</v>
      </c>
      <c r="O1153">
        <v>5</v>
      </c>
      <c r="P1153">
        <v>27.52</v>
      </c>
      <c r="Q1153">
        <v>34.4</v>
      </c>
      <c r="R1153">
        <v>0</v>
      </c>
      <c r="S1153">
        <v>172</v>
      </c>
      <c r="T1153" t="s">
        <v>946</v>
      </c>
      <c r="U1153">
        <v>137.6</v>
      </c>
      <c r="V1153">
        <v>34.4</v>
      </c>
    </row>
    <row r="1154" spans="1:22" x14ac:dyDescent="0.35">
      <c r="A1154" t="s">
        <v>2625</v>
      </c>
      <c r="B1154" t="s">
        <v>2382</v>
      </c>
      <c r="C1154" t="s">
        <v>601</v>
      </c>
      <c r="D1154" t="s">
        <v>602</v>
      </c>
      <c r="E1154" t="s">
        <v>681</v>
      </c>
      <c r="F1154" t="s">
        <v>235</v>
      </c>
      <c r="G1154" t="s">
        <v>20</v>
      </c>
      <c r="H1154" t="s">
        <v>8</v>
      </c>
      <c r="I1154" t="s">
        <v>65</v>
      </c>
      <c r="J1154" t="s">
        <v>798</v>
      </c>
      <c r="K1154" t="s">
        <v>799</v>
      </c>
      <c r="L1154" t="s">
        <v>842</v>
      </c>
      <c r="M1154" s="5">
        <v>45926</v>
      </c>
      <c r="N1154" s="5">
        <v>45920</v>
      </c>
      <c r="O1154">
        <v>20</v>
      </c>
      <c r="P1154">
        <v>30.16</v>
      </c>
      <c r="Q1154">
        <v>40.72</v>
      </c>
      <c r="R1154">
        <v>0</v>
      </c>
      <c r="S1154">
        <v>814.4</v>
      </c>
      <c r="T1154" t="s">
        <v>839</v>
      </c>
      <c r="U1154">
        <v>603.20000000000005</v>
      </c>
      <c r="V1154">
        <v>211.2</v>
      </c>
    </row>
    <row r="1155" spans="1:22" x14ac:dyDescent="0.35">
      <c r="A1155" t="s">
        <v>2626</v>
      </c>
      <c r="B1155" t="s">
        <v>1670</v>
      </c>
      <c r="C1155" t="s">
        <v>430</v>
      </c>
      <c r="D1155" t="s">
        <v>431</v>
      </c>
      <c r="E1155" t="s">
        <v>633</v>
      </c>
      <c r="F1155" t="s">
        <v>264</v>
      </c>
      <c r="G1155" t="s">
        <v>797</v>
      </c>
      <c r="H1155" t="s">
        <v>48</v>
      </c>
      <c r="I1155" t="s">
        <v>46</v>
      </c>
      <c r="J1155" t="s">
        <v>813</v>
      </c>
      <c r="K1155" t="s">
        <v>793</v>
      </c>
      <c r="L1155" t="s">
        <v>842</v>
      </c>
      <c r="M1155" s="5">
        <v>45634</v>
      </c>
      <c r="O1155">
        <v>2</v>
      </c>
      <c r="P1155">
        <v>29.16</v>
      </c>
      <c r="Q1155">
        <v>36.450000000000003</v>
      </c>
      <c r="R1155">
        <v>0</v>
      </c>
      <c r="S1155">
        <v>72.900000000000006</v>
      </c>
      <c r="T1155" t="s">
        <v>946</v>
      </c>
      <c r="U1155">
        <v>58.32</v>
      </c>
      <c r="V1155">
        <v>14.58</v>
      </c>
    </row>
    <row r="1156" spans="1:22" x14ac:dyDescent="0.35">
      <c r="A1156" t="s">
        <v>2627</v>
      </c>
      <c r="B1156" t="s">
        <v>971</v>
      </c>
      <c r="C1156" t="s">
        <v>489</v>
      </c>
      <c r="D1156" t="s">
        <v>318</v>
      </c>
      <c r="E1156" t="s">
        <v>696</v>
      </c>
      <c r="F1156" t="s">
        <v>243</v>
      </c>
      <c r="G1156" t="s">
        <v>797</v>
      </c>
      <c r="H1156" t="s">
        <v>38</v>
      </c>
      <c r="I1156" t="s">
        <v>165</v>
      </c>
      <c r="J1156" t="s">
        <v>813</v>
      </c>
      <c r="K1156" t="s">
        <v>793</v>
      </c>
      <c r="L1156" t="s">
        <v>788</v>
      </c>
      <c r="M1156" s="5">
        <v>45618</v>
      </c>
      <c r="O1156">
        <v>5</v>
      </c>
      <c r="P1156">
        <v>18.45</v>
      </c>
      <c r="Q1156">
        <v>25.83</v>
      </c>
      <c r="R1156">
        <v>0</v>
      </c>
      <c r="S1156">
        <v>129.15</v>
      </c>
      <c r="T1156" t="s">
        <v>810</v>
      </c>
      <c r="U1156">
        <v>92.25</v>
      </c>
      <c r="V1156">
        <v>36.9</v>
      </c>
    </row>
    <row r="1157" spans="1:22" x14ac:dyDescent="0.35">
      <c r="A1157" t="s">
        <v>2628</v>
      </c>
      <c r="B1157" t="s">
        <v>913</v>
      </c>
      <c r="C1157" t="s">
        <v>525</v>
      </c>
      <c r="D1157" t="s">
        <v>526</v>
      </c>
      <c r="E1157" t="s">
        <v>627</v>
      </c>
      <c r="F1157" t="s">
        <v>243</v>
      </c>
      <c r="G1157" t="s">
        <v>797</v>
      </c>
      <c r="H1157" t="s">
        <v>29</v>
      </c>
      <c r="I1157" t="s">
        <v>191</v>
      </c>
      <c r="J1157" t="s">
        <v>798</v>
      </c>
      <c r="K1157" t="s">
        <v>799</v>
      </c>
      <c r="L1157" t="s">
        <v>800</v>
      </c>
      <c r="M1157" s="5">
        <v>45724</v>
      </c>
      <c r="N1157" s="5">
        <v>45719</v>
      </c>
      <c r="O1157">
        <v>1</v>
      </c>
      <c r="P1157">
        <v>11.26</v>
      </c>
      <c r="Q1157">
        <v>15.2</v>
      </c>
      <c r="R1157">
        <v>0.15</v>
      </c>
      <c r="S1157">
        <v>12.92</v>
      </c>
      <c r="T1157" t="s">
        <v>794</v>
      </c>
      <c r="U1157">
        <v>11.26</v>
      </c>
      <c r="V1157">
        <v>1.66</v>
      </c>
    </row>
    <row r="1158" spans="1:22" x14ac:dyDescent="0.35">
      <c r="A1158" t="s">
        <v>2629</v>
      </c>
      <c r="B1158" t="s">
        <v>1122</v>
      </c>
      <c r="C1158" t="s">
        <v>487</v>
      </c>
      <c r="D1158" t="s">
        <v>488</v>
      </c>
      <c r="E1158" t="s">
        <v>254</v>
      </c>
      <c r="F1158" t="s">
        <v>243</v>
      </c>
      <c r="G1158" t="s">
        <v>20</v>
      </c>
      <c r="H1158" t="s">
        <v>8</v>
      </c>
      <c r="I1158" t="s">
        <v>95</v>
      </c>
      <c r="J1158" t="s">
        <v>813</v>
      </c>
      <c r="K1158" t="s">
        <v>793</v>
      </c>
      <c r="L1158" t="s">
        <v>818</v>
      </c>
      <c r="M1158" s="5">
        <v>45974</v>
      </c>
      <c r="O1158">
        <v>3</v>
      </c>
      <c r="P1158">
        <v>23.02</v>
      </c>
      <c r="Q1158">
        <v>28.77</v>
      </c>
      <c r="R1158">
        <v>0.05</v>
      </c>
      <c r="S1158">
        <v>81.99</v>
      </c>
      <c r="T1158" t="s">
        <v>810</v>
      </c>
      <c r="U1158">
        <v>69.06</v>
      </c>
      <c r="V1158">
        <v>12.93</v>
      </c>
    </row>
    <row r="1159" spans="1:22" x14ac:dyDescent="0.35">
      <c r="A1159" t="s">
        <v>2630</v>
      </c>
      <c r="B1159" t="s">
        <v>808</v>
      </c>
      <c r="C1159" t="s">
        <v>584</v>
      </c>
      <c r="D1159" t="s">
        <v>562</v>
      </c>
      <c r="E1159" t="s">
        <v>637</v>
      </c>
      <c r="F1159" t="s">
        <v>264</v>
      </c>
      <c r="G1159" t="s">
        <v>797</v>
      </c>
      <c r="H1159" t="s">
        <v>38</v>
      </c>
      <c r="I1159" t="s">
        <v>80</v>
      </c>
      <c r="J1159" t="s">
        <v>798</v>
      </c>
      <c r="K1159" t="s">
        <v>799</v>
      </c>
      <c r="L1159" t="s">
        <v>818</v>
      </c>
      <c r="M1159" s="5">
        <v>45319</v>
      </c>
      <c r="N1159" s="5">
        <v>45322</v>
      </c>
      <c r="O1159">
        <v>12</v>
      </c>
      <c r="P1159">
        <v>38.57</v>
      </c>
      <c r="Q1159">
        <v>48.21</v>
      </c>
      <c r="R1159">
        <v>0</v>
      </c>
      <c r="S1159">
        <v>578.52</v>
      </c>
      <c r="T1159" t="s">
        <v>819</v>
      </c>
      <c r="U1159">
        <v>462.84</v>
      </c>
      <c r="V1159">
        <v>115.68</v>
      </c>
    </row>
    <row r="1160" spans="1:22" x14ac:dyDescent="0.35">
      <c r="A1160" t="s">
        <v>2631</v>
      </c>
      <c r="B1160" t="s">
        <v>1285</v>
      </c>
      <c r="C1160" t="s">
        <v>312</v>
      </c>
      <c r="D1160" t="s">
        <v>313</v>
      </c>
      <c r="E1160" t="s">
        <v>633</v>
      </c>
      <c r="F1160" t="s">
        <v>235</v>
      </c>
      <c r="G1160" t="s">
        <v>797</v>
      </c>
      <c r="H1160" t="s">
        <v>29</v>
      </c>
      <c r="I1160" t="s">
        <v>32</v>
      </c>
      <c r="J1160" t="s">
        <v>813</v>
      </c>
      <c r="K1160" t="s">
        <v>793</v>
      </c>
      <c r="L1160" t="s">
        <v>818</v>
      </c>
      <c r="M1160" s="5">
        <v>45647</v>
      </c>
      <c r="O1160">
        <v>2</v>
      </c>
      <c r="P1160">
        <v>18.989999999999998</v>
      </c>
      <c r="Q1160">
        <v>25.64</v>
      </c>
      <c r="R1160">
        <v>0</v>
      </c>
      <c r="S1160">
        <v>51.28</v>
      </c>
      <c r="T1160" t="s">
        <v>919</v>
      </c>
      <c r="U1160">
        <v>37.979999999999997</v>
      </c>
      <c r="V1160">
        <v>13.3</v>
      </c>
    </row>
    <row r="1161" spans="1:22" x14ac:dyDescent="0.35">
      <c r="A1161" t="s">
        <v>2632</v>
      </c>
      <c r="B1161" t="s">
        <v>1041</v>
      </c>
      <c r="C1161" t="s">
        <v>564</v>
      </c>
      <c r="D1161" t="s">
        <v>526</v>
      </c>
      <c r="E1161" t="s">
        <v>633</v>
      </c>
      <c r="F1161" t="s">
        <v>243</v>
      </c>
      <c r="G1161" t="s">
        <v>797</v>
      </c>
      <c r="H1161" t="s">
        <v>43</v>
      </c>
      <c r="I1161" t="s">
        <v>53</v>
      </c>
      <c r="J1161" t="s">
        <v>786</v>
      </c>
      <c r="K1161" t="s">
        <v>799</v>
      </c>
      <c r="L1161" t="s">
        <v>800</v>
      </c>
      <c r="M1161" s="5">
        <v>45990</v>
      </c>
      <c r="N1161" s="5">
        <v>45977</v>
      </c>
      <c r="O1161">
        <v>10</v>
      </c>
      <c r="P1161">
        <v>54.93</v>
      </c>
      <c r="Q1161">
        <v>79.650000000000006</v>
      </c>
      <c r="R1161">
        <v>0.1</v>
      </c>
      <c r="S1161">
        <v>716.85</v>
      </c>
      <c r="T1161" t="s">
        <v>819</v>
      </c>
      <c r="U1161">
        <v>549.29999999999995</v>
      </c>
      <c r="V1161">
        <v>167.55</v>
      </c>
    </row>
    <row r="1162" spans="1:22" x14ac:dyDescent="0.35">
      <c r="A1162" t="s">
        <v>2633</v>
      </c>
      <c r="B1162" t="s">
        <v>1016</v>
      </c>
      <c r="C1162" t="s">
        <v>474</v>
      </c>
      <c r="D1162" t="s">
        <v>330</v>
      </c>
      <c r="E1162" t="s">
        <v>674</v>
      </c>
      <c r="F1162" t="s">
        <v>235</v>
      </c>
      <c r="G1162" t="s">
        <v>797</v>
      </c>
      <c r="H1162" t="s">
        <v>14</v>
      </c>
      <c r="I1162" t="s">
        <v>67</v>
      </c>
      <c r="J1162" t="s">
        <v>798</v>
      </c>
      <c r="K1162" t="s">
        <v>799</v>
      </c>
      <c r="L1162" t="s">
        <v>842</v>
      </c>
      <c r="M1162" s="5">
        <v>45935</v>
      </c>
      <c r="N1162" s="5">
        <v>45931</v>
      </c>
      <c r="O1162">
        <v>10</v>
      </c>
      <c r="P1162">
        <v>17.63</v>
      </c>
      <c r="Q1162">
        <v>22.92</v>
      </c>
      <c r="R1162">
        <v>0.05</v>
      </c>
      <c r="S1162">
        <v>217.74</v>
      </c>
      <c r="T1162" t="s">
        <v>1134</v>
      </c>
      <c r="U1162">
        <v>176.3</v>
      </c>
      <c r="V1162">
        <v>41.44</v>
      </c>
    </row>
    <row r="1163" spans="1:22" x14ac:dyDescent="0.35">
      <c r="A1163" t="s">
        <v>2634</v>
      </c>
      <c r="B1163" t="s">
        <v>1627</v>
      </c>
      <c r="C1163" t="s">
        <v>397</v>
      </c>
      <c r="D1163" t="s">
        <v>360</v>
      </c>
      <c r="E1163" t="s">
        <v>681</v>
      </c>
      <c r="G1163" t="s">
        <v>797</v>
      </c>
      <c r="H1163" t="s">
        <v>14</v>
      </c>
      <c r="I1163" t="s">
        <v>138</v>
      </c>
      <c r="J1163" t="s">
        <v>798</v>
      </c>
      <c r="K1163" t="s">
        <v>799</v>
      </c>
      <c r="L1163" t="s">
        <v>842</v>
      </c>
      <c r="M1163" s="5">
        <v>45352</v>
      </c>
      <c r="N1163" s="5">
        <v>45353</v>
      </c>
      <c r="O1163">
        <v>20</v>
      </c>
      <c r="P1163">
        <v>42.6</v>
      </c>
      <c r="Q1163">
        <v>59.64</v>
      </c>
      <c r="R1163">
        <v>0</v>
      </c>
      <c r="S1163">
        <v>1192.8</v>
      </c>
      <c r="T1163" t="s">
        <v>825</v>
      </c>
      <c r="U1163">
        <v>852</v>
      </c>
      <c r="V1163">
        <v>340.8</v>
      </c>
    </row>
    <row r="1164" spans="1:22" x14ac:dyDescent="0.35">
      <c r="A1164" t="s">
        <v>2635</v>
      </c>
      <c r="B1164" t="s">
        <v>1386</v>
      </c>
      <c r="C1164" t="s">
        <v>438</v>
      </c>
      <c r="D1164" t="s">
        <v>439</v>
      </c>
      <c r="E1164" t="s">
        <v>627</v>
      </c>
      <c r="F1164" t="s">
        <v>264</v>
      </c>
      <c r="G1164" t="s">
        <v>797</v>
      </c>
      <c r="H1164" t="s">
        <v>14</v>
      </c>
      <c r="I1164" t="s">
        <v>25</v>
      </c>
      <c r="J1164" t="s">
        <v>786</v>
      </c>
      <c r="K1164" t="s">
        <v>822</v>
      </c>
      <c r="L1164" t="s">
        <v>842</v>
      </c>
      <c r="M1164" s="5">
        <v>45981</v>
      </c>
      <c r="N1164" s="5">
        <v>45968</v>
      </c>
      <c r="O1164">
        <v>1</v>
      </c>
      <c r="P1164">
        <v>18.95</v>
      </c>
      <c r="Q1164">
        <v>25.58</v>
      </c>
      <c r="R1164">
        <v>0.15</v>
      </c>
      <c r="S1164">
        <v>21.74</v>
      </c>
      <c r="T1164" t="s">
        <v>803</v>
      </c>
      <c r="U1164">
        <v>18.95</v>
      </c>
      <c r="V1164">
        <v>2.79</v>
      </c>
    </row>
    <row r="1165" spans="1:22" x14ac:dyDescent="0.35">
      <c r="A1165" t="s">
        <v>2636</v>
      </c>
      <c r="B1165" t="s">
        <v>1353</v>
      </c>
      <c r="C1165" t="s">
        <v>376</v>
      </c>
      <c r="D1165" t="s">
        <v>253</v>
      </c>
      <c r="E1165" t="s">
        <v>696</v>
      </c>
      <c r="F1165" t="s">
        <v>264</v>
      </c>
      <c r="G1165" t="s">
        <v>797</v>
      </c>
      <c r="H1165" t="s">
        <v>79</v>
      </c>
      <c r="I1165" t="s">
        <v>88</v>
      </c>
      <c r="J1165" t="s">
        <v>813</v>
      </c>
      <c r="K1165" t="s">
        <v>799</v>
      </c>
      <c r="L1165" t="s">
        <v>818</v>
      </c>
      <c r="M1165" s="5">
        <v>45604</v>
      </c>
      <c r="N1165" s="5">
        <v>45610</v>
      </c>
      <c r="O1165">
        <v>3</v>
      </c>
      <c r="P1165">
        <v>11.82</v>
      </c>
      <c r="Q1165">
        <v>17.14</v>
      </c>
      <c r="R1165">
        <v>0</v>
      </c>
      <c r="S1165">
        <v>51.42</v>
      </c>
      <c r="T1165" t="s">
        <v>814</v>
      </c>
      <c r="U1165">
        <v>35.46</v>
      </c>
      <c r="V1165">
        <v>15.96</v>
      </c>
    </row>
    <row r="1166" spans="1:22" x14ac:dyDescent="0.35">
      <c r="A1166" t="s">
        <v>2637</v>
      </c>
      <c r="B1166" t="s">
        <v>1989</v>
      </c>
      <c r="C1166" t="s">
        <v>590</v>
      </c>
      <c r="D1166" t="s">
        <v>591</v>
      </c>
      <c r="E1166" t="s">
        <v>633</v>
      </c>
      <c r="F1166" t="s">
        <v>235</v>
      </c>
      <c r="G1166" t="s">
        <v>797</v>
      </c>
      <c r="H1166" t="s">
        <v>8</v>
      </c>
      <c r="I1166" t="s">
        <v>6</v>
      </c>
      <c r="J1166" t="s">
        <v>798</v>
      </c>
      <c r="K1166" t="s">
        <v>793</v>
      </c>
      <c r="L1166" t="s">
        <v>788</v>
      </c>
      <c r="M1166" s="5">
        <v>45733</v>
      </c>
      <c r="O1166">
        <v>5</v>
      </c>
      <c r="P1166">
        <v>32.24</v>
      </c>
      <c r="Q1166">
        <v>41.91</v>
      </c>
      <c r="R1166">
        <v>0.05</v>
      </c>
      <c r="S1166">
        <v>199.07</v>
      </c>
      <c r="T1166" t="s">
        <v>859</v>
      </c>
      <c r="U1166">
        <v>161.19999999999999</v>
      </c>
      <c r="V1166">
        <v>37.869999999999997</v>
      </c>
    </row>
    <row r="1167" spans="1:22" x14ac:dyDescent="0.35">
      <c r="A1167" t="s">
        <v>2638</v>
      </c>
      <c r="B1167" t="s">
        <v>1732</v>
      </c>
      <c r="C1167" t="s">
        <v>491</v>
      </c>
      <c r="D1167" t="s">
        <v>492</v>
      </c>
      <c r="E1167" t="s">
        <v>681</v>
      </c>
      <c r="F1167" t="s">
        <v>264</v>
      </c>
      <c r="G1167" t="s">
        <v>797</v>
      </c>
      <c r="H1167" t="s">
        <v>38</v>
      </c>
      <c r="I1167" t="s">
        <v>36</v>
      </c>
      <c r="J1167" t="s">
        <v>798</v>
      </c>
      <c r="K1167" t="s">
        <v>793</v>
      </c>
      <c r="L1167" t="s">
        <v>842</v>
      </c>
      <c r="M1167" s="5">
        <v>45572</v>
      </c>
      <c r="O1167">
        <v>1</v>
      </c>
      <c r="P1167">
        <v>8.57</v>
      </c>
      <c r="Q1167">
        <v>11.14</v>
      </c>
      <c r="R1167">
        <v>0</v>
      </c>
      <c r="S1167">
        <v>11.14</v>
      </c>
      <c r="T1167" t="s">
        <v>888</v>
      </c>
      <c r="U1167">
        <v>8.57</v>
      </c>
      <c r="V1167">
        <v>2.57</v>
      </c>
    </row>
    <row r="1168" spans="1:22" x14ac:dyDescent="0.35">
      <c r="A1168" t="s">
        <v>2639</v>
      </c>
      <c r="B1168" t="s">
        <v>1081</v>
      </c>
      <c r="C1168" t="s">
        <v>306</v>
      </c>
      <c r="D1168" t="s">
        <v>307</v>
      </c>
      <c r="E1168" t="s">
        <v>674</v>
      </c>
      <c r="G1168" t="s">
        <v>797</v>
      </c>
      <c r="H1168" t="s">
        <v>29</v>
      </c>
      <c r="I1168" t="s">
        <v>32</v>
      </c>
      <c r="J1168" t="s">
        <v>813</v>
      </c>
      <c r="K1168" t="s">
        <v>799</v>
      </c>
      <c r="L1168" t="s">
        <v>842</v>
      </c>
      <c r="M1168" s="5">
        <v>45404</v>
      </c>
      <c r="N1168" s="5">
        <v>45402</v>
      </c>
      <c r="O1168">
        <v>12</v>
      </c>
      <c r="P1168">
        <v>18.989999999999998</v>
      </c>
      <c r="Q1168">
        <v>25.64</v>
      </c>
      <c r="R1168">
        <v>0</v>
      </c>
      <c r="S1168">
        <v>307.68</v>
      </c>
      <c r="T1168" t="s">
        <v>839</v>
      </c>
      <c r="U1168">
        <v>227.88</v>
      </c>
      <c r="V1168">
        <v>79.8</v>
      </c>
    </row>
    <row r="1169" spans="1:22" x14ac:dyDescent="0.35">
      <c r="A1169" t="s">
        <v>2640</v>
      </c>
      <c r="B1169" t="s">
        <v>792</v>
      </c>
      <c r="C1169" t="s">
        <v>559</v>
      </c>
      <c r="D1169" t="s">
        <v>311</v>
      </c>
      <c r="E1169" t="s">
        <v>254</v>
      </c>
      <c r="F1169" t="s">
        <v>235</v>
      </c>
      <c r="G1169" t="s">
        <v>797</v>
      </c>
      <c r="H1169" t="s">
        <v>20</v>
      </c>
      <c r="I1169" t="s">
        <v>18</v>
      </c>
      <c r="J1169" t="s">
        <v>798</v>
      </c>
      <c r="K1169" t="s">
        <v>799</v>
      </c>
      <c r="L1169" t="s">
        <v>818</v>
      </c>
      <c r="M1169" s="5">
        <v>46053</v>
      </c>
      <c r="N1169" s="5">
        <v>46048</v>
      </c>
      <c r="O1169">
        <v>10</v>
      </c>
      <c r="P1169">
        <v>21.57</v>
      </c>
      <c r="Q1169">
        <v>26.96</v>
      </c>
      <c r="R1169">
        <v>0.15</v>
      </c>
      <c r="S1169">
        <v>229.16</v>
      </c>
      <c r="T1169" t="s">
        <v>1134</v>
      </c>
      <c r="U1169">
        <v>215.7</v>
      </c>
      <c r="V1169">
        <v>13.46</v>
      </c>
    </row>
    <row r="1170" spans="1:22" x14ac:dyDescent="0.35">
      <c r="A1170" t="s">
        <v>2641</v>
      </c>
      <c r="B1170" t="s">
        <v>2382</v>
      </c>
      <c r="C1170" t="s">
        <v>286</v>
      </c>
      <c r="D1170" t="s">
        <v>287</v>
      </c>
      <c r="E1170" t="s">
        <v>681</v>
      </c>
      <c r="F1170" t="s">
        <v>264</v>
      </c>
      <c r="G1170" t="s">
        <v>797</v>
      </c>
      <c r="H1170" t="s">
        <v>43</v>
      </c>
      <c r="I1170" t="s">
        <v>146</v>
      </c>
      <c r="J1170" t="s">
        <v>786</v>
      </c>
      <c r="K1170" t="s">
        <v>822</v>
      </c>
      <c r="L1170" t="s">
        <v>788</v>
      </c>
      <c r="M1170" s="5">
        <v>45933</v>
      </c>
      <c r="N1170" s="5">
        <v>45921</v>
      </c>
      <c r="O1170">
        <v>10</v>
      </c>
      <c r="P1170">
        <v>24.05</v>
      </c>
      <c r="Q1170">
        <v>31.27</v>
      </c>
      <c r="R1170">
        <v>0</v>
      </c>
      <c r="S1170">
        <v>312.7</v>
      </c>
      <c r="T1170" t="s">
        <v>1001</v>
      </c>
      <c r="U1170">
        <v>240.5</v>
      </c>
      <c r="V1170">
        <v>72.2</v>
      </c>
    </row>
    <row r="1171" spans="1:22" x14ac:dyDescent="0.35">
      <c r="A1171" t="s">
        <v>2642</v>
      </c>
      <c r="B1171" t="s">
        <v>2546</v>
      </c>
      <c r="C1171" t="s">
        <v>582</v>
      </c>
      <c r="D1171" t="s">
        <v>583</v>
      </c>
      <c r="E1171" t="s">
        <v>674</v>
      </c>
      <c r="F1171" t="s">
        <v>264</v>
      </c>
      <c r="G1171" t="s">
        <v>797</v>
      </c>
      <c r="H1171" t="s">
        <v>48</v>
      </c>
      <c r="I1171" t="s">
        <v>143</v>
      </c>
      <c r="J1171" t="s">
        <v>798</v>
      </c>
      <c r="K1171" t="s">
        <v>793</v>
      </c>
      <c r="L1171" t="s">
        <v>788</v>
      </c>
      <c r="M1171" s="5">
        <v>45302</v>
      </c>
      <c r="O1171">
        <v>3</v>
      </c>
      <c r="P1171">
        <v>29.93</v>
      </c>
      <c r="Q1171">
        <v>38.909999999999997</v>
      </c>
      <c r="R1171">
        <v>0.05</v>
      </c>
      <c r="S1171">
        <v>110.89</v>
      </c>
      <c r="T1171" t="s">
        <v>963</v>
      </c>
      <c r="U1171">
        <v>89.79</v>
      </c>
      <c r="V1171">
        <v>21.1</v>
      </c>
    </row>
    <row r="1172" spans="1:22" x14ac:dyDescent="0.35">
      <c r="A1172" t="s">
        <v>2643</v>
      </c>
      <c r="B1172" t="s">
        <v>1478</v>
      </c>
      <c r="C1172" t="s">
        <v>554</v>
      </c>
      <c r="D1172" t="s">
        <v>445</v>
      </c>
      <c r="E1172" t="s">
        <v>681</v>
      </c>
      <c r="F1172" t="s">
        <v>235</v>
      </c>
      <c r="G1172" t="s">
        <v>797</v>
      </c>
      <c r="H1172" t="s">
        <v>38</v>
      </c>
      <c r="I1172" t="s">
        <v>165</v>
      </c>
      <c r="J1172" t="s">
        <v>798</v>
      </c>
      <c r="K1172" t="s">
        <v>799</v>
      </c>
      <c r="L1172" t="s">
        <v>842</v>
      </c>
      <c r="M1172" s="5">
        <v>46024</v>
      </c>
      <c r="N1172" s="5">
        <v>46026</v>
      </c>
      <c r="O1172">
        <v>1</v>
      </c>
      <c r="P1172">
        <v>18.45</v>
      </c>
      <c r="Q1172">
        <v>25.83</v>
      </c>
      <c r="R1172">
        <v>0.05</v>
      </c>
      <c r="S1172">
        <v>24.54</v>
      </c>
      <c r="T1172" t="s">
        <v>810</v>
      </c>
      <c r="U1172">
        <v>18.45</v>
      </c>
      <c r="V1172">
        <v>6.09</v>
      </c>
    </row>
    <row r="1173" spans="1:22" x14ac:dyDescent="0.35">
      <c r="A1173" t="s">
        <v>2644</v>
      </c>
      <c r="B1173" t="s">
        <v>2645</v>
      </c>
      <c r="C1173" t="s">
        <v>366</v>
      </c>
      <c r="D1173" t="s">
        <v>245</v>
      </c>
      <c r="E1173" t="s">
        <v>674</v>
      </c>
      <c r="F1173" t="s">
        <v>243</v>
      </c>
      <c r="G1173" t="s">
        <v>797</v>
      </c>
      <c r="H1173" t="s">
        <v>43</v>
      </c>
      <c r="I1173" t="s">
        <v>200</v>
      </c>
      <c r="J1173" t="s">
        <v>786</v>
      </c>
      <c r="K1173" t="s">
        <v>799</v>
      </c>
      <c r="L1173" t="s">
        <v>788</v>
      </c>
      <c r="M1173" s="5">
        <v>45312</v>
      </c>
      <c r="N1173" s="5">
        <v>45300</v>
      </c>
      <c r="O1173">
        <v>3</v>
      </c>
      <c r="P1173">
        <v>69.23</v>
      </c>
      <c r="Q1173">
        <v>86.54</v>
      </c>
      <c r="R1173">
        <v>0.15</v>
      </c>
      <c r="S1173">
        <v>220.68</v>
      </c>
      <c r="T1173" t="s">
        <v>919</v>
      </c>
      <c r="U1173">
        <v>207.69</v>
      </c>
      <c r="V1173">
        <v>12.99</v>
      </c>
    </row>
    <row r="1174" spans="1:22" x14ac:dyDescent="0.35">
      <c r="A1174" t="s">
        <v>2646</v>
      </c>
      <c r="B1174" t="s">
        <v>984</v>
      </c>
      <c r="C1174" t="s">
        <v>434</v>
      </c>
      <c r="D1174" t="s">
        <v>435</v>
      </c>
      <c r="E1174" t="s">
        <v>637</v>
      </c>
      <c r="F1174" t="s">
        <v>264</v>
      </c>
      <c r="G1174" t="s">
        <v>48</v>
      </c>
      <c r="H1174" t="s">
        <v>20</v>
      </c>
      <c r="I1174" t="s">
        <v>197</v>
      </c>
      <c r="J1174" t="s">
        <v>813</v>
      </c>
      <c r="K1174" t="s">
        <v>799</v>
      </c>
      <c r="L1174" t="s">
        <v>800</v>
      </c>
      <c r="M1174" s="5">
        <v>45487</v>
      </c>
      <c r="N1174" s="5">
        <v>45493</v>
      </c>
      <c r="O1174">
        <v>10</v>
      </c>
      <c r="P1174">
        <v>22.45</v>
      </c>
      <c r="Q1174">
        <v>29.18</v>
      </c>
      <c r="R1174">
        <v>0.1</v>
      </c>
      <c r="S1174">
        <v>262.62</v>
      </c>
      <c r="T1174" t="s">
        <v>876</v>
      </c>
      <c r="U1174">
        <v>224.5</v>
      </c>
      <c r="V1174">
        <v>38.119999999999997</v>
      </c>
    </row>
    <row r="1175" spans="1:22" x14ac:dyDescent="0.35">
      <c r="A1175" t="s">
        <v>2647</v>
      </c>
      <c r="B1175" t="s">
        <v>1052</v>
      </c>
      <c r="C1175" t="s">
        <v>384</v>
      </c>
      <c r="D1175" t="s">
        <v>385</v>
      </c>
      <c r="E1175" t="s">
        <v>696</v>
      </c>
      <c r="F1175" t="s">
        <v>264</v>
      </c>
      <c r="G1175" t="s">
        <v>797</v>
      </c>
      <c r="H1175" t="s">
        <v>14</v>
      </c>
      <c r="I1175" t="s">
        <v>167</v>
      </c>
      <c r="J1175" t="s">
        <v>798</v>
      </c>
      <c r="K1175" t="s">
        <v>793</v>
      </c>
      <c r="L1175" t="s">
        <v>842</v>
      </c>
      <c r="M1175" s="5">
        <v>45954</v>
      </c>
      <c r="O1175">
        <v>3</v>
      </c>
      <c r="P1175">
        <v>18.62</v>
      </c>
      <c r="Q1175">
        <v>26.07</v>
      </c>
      <c r="R1175">
        <v>0.15</v>
      </c>
      <c r="S1175">
        <v>66.48</v>
      </c>
      <c r="T1175" t="s">
        <v>825</v>
      </c>
      <c r="U1175">
        <v>55.86</v>
      </c>
      <c r="V1175">
        <v>10.62</v>
      </c>
    </row>
    <row r="1176" spans="1:22" x14ac:dyDescent="0.35">
      <c r="A1176" t="s">
        <v>2648</v>
      </c>
      <c r="B1176" t="s">
        <v>1779</v>
      </c>
      <c r="C1176" t="s">
        <v>607</v>
      </c>
      <c r="D1176" t="s">
        <v>608</v>
      </c>
      <c r="E1176" t="s">
        <v>674</v>
      </c>
      <c r="F1176" t="s">
        <v>264</v>
      </c>
      <c r="G1176" t="s">
        <v>797</v>
      </c>
      <c r="H1176" t="s">
        <v>38</v>
      </c>
      <c r="I1176" t="s">
        <v>36</v>
      </c>
      <c r="J1176" t="s">
        <v>813</v>
      </c>
      <c r="K1176" t="s">
        <v>793</v>
      </c>
      <c r="L1176" t="s">
        <v>842</v>
      </c>
      <c r="M1176" s="5">
        <v>45552</v>
      </c>
      <c r="O1176">
        <v>2</v>
      </c>
      <c r="P1176">
        <v>8.57</v>
      </c>
      <c r="Q1176">
        <v>11.14</v>
      </c>
      <c r="R1176">
        <v>0.1</v>
      </c>
      <c r="S1176">
        <v>20.05</v>
      </c>
      <c r="T1176" t="s">
        <v>876</v>
      </c>
      <c r="U1176">
        <v>17.14</v>
      </c>
      <c r="V1176">
        <v>2.91</v>
      </c>
    </row>
    <row r="1177" spans="1:22" x14ac:dyDescent="0.35">
      <c r="A1177" t="s">
        <v>2649</v>
      </c>
      <c r="B1177" t="s">
        <v>1096</v>
      </c>
      <c r="C1177" t="s">
        <v>248</v>
      </c>
      <c r="D1177" t="s">
        <v>249</v>
      </c>
      <c r="E1177" t="s">
        <v>681</v>
      </c>
      <c r="G1177" t="s">
        <v>14</v>
      </c>
      <c r="H1177" t="s">
        <v>8</v>
      </c>
      <c r="I1177" t="s">
        <v>207</v>
      </c>
      <c r="J1177" t="s">
        <v>798</v>
      </c>
      <c r="K1177" t="s">
        <v>799</v>
      </c>
      <c r="L1177" t="s">
        <v>800</v>
      </c>
      <c r="M1177" s="5">
        <v>45380</v>
      </c>
      <c r="N1177" s="5">
        <v>45383</v>
      </c>
      <c r="O1177">
        <v>3</v>
      </c>
      <c r="P1177">
        <v>8.5399999999999991</v>
      </c>
      <c r="Q1177">
        <v>10.67</v>
      </c>
      <c r="R1177">
        <v>0.15</v>
      </c>
      <c r="S1177">
        <v>27.21</v>
      </c>
      <c r="T1177" t="s">
        <v>825</v>
      </c>
      <c r="U1177">
        <v>25.62</v>
      </c>
      <c r="V1177">
        <v>1.59</v>
      </c>
    </row>
    <row r="1178" spans="1:22" x14ac:dyDescent="0.35">
      <c r="A1178" t="s">
        <v>2650</v>
      </c>
      <c r="B1178" t="s">
        <v>1645</v>
      </c>
      <c r="C1178" t="s">
        <v>540</v>
      </c>
      <c r="D1178" t="s">
        <v>458</v>
      </c>
      <c r="E1178" t="s">
        <v>633</v>
      </c>
      <c r="F1178" t="s">
        <v>264</v>
      </c>
      <c r="G1178" t="s">
        <v>20</v>
      </c>
      <c r="H1178" t="s">
        <v>48</v>
      </c>
      <c r="I1178" t="s">
        <v>202</v>
      </c>
      <c r="J1178" t="s">
        <v>798</v>
      </c>
      <c r="K1178" t="s">
        <v>793</v>
      </c>
      <c r="L1178" t="s">
        <v>818</v>
      </c>
      <c r="M1178" s="5">
        <v>45993</v>
      </c>
      <c r="O1178">
        <v>5</v>
      </c>
      <c r="P1178">
        <v>27</v>
      </c>
      <c r="Q1178">
        <v>39.15</v>
      </c>
      <c r="R1178">
        <v>0</v>
      </c>
      <c r="S1178">
        <v>195.75</v>
      </c>
      <c r="T1178" t="s">
        <v>819</v>
      </c>
      <c r="U1178">
        <v>135</v>
      </c>
      <c r="V1178">
        <v>60.75</v>
      </c>
    </row>
    <row r="1179" spans="1:22" x14ac:dyDescent="0.35">
      <c r="A1179" t="s">
        <v>2651</v>
      </c>
      <c r="B1179" t="s">
        <v>1543</v>
      </c>
      <c r="C1179" t="s">
        <v>430</v>
      </c>
      <c r="D1179" t="s">
        <v>431</v>
      </c>
      <c r="E1179" t="s">
        <v>627</v>
      </c>
      <c r="F1179" t="s">
        <v>264</v>
      </c>
      <c r="G1179" t="s">
        <v>48</v>
      </c>
      <c r="H1179" t="s">
        <v>14</v>
      </c>
      <c r="I1179" t="s">
        <v>56</v>
      </c>
      <c r="J1179" t="s">
        <v>813</v>
      </c>
      <c r="K1179" t="s">
        <v>799</v>
      </c>
      <c r="L1179" t="s">
        <v>842</v>
      </c>
      <c r="M1179" s="5">
        <v>45602</v>
      </c>
      <c r="N1179" s="5">
        <v>45606</v>
      </c>
      <c r="O1179">
        <v>20</v>
      </c>
      <c r="P1179">
        <v>25.46</v>
      </c>
      <c r="Q1179">
        <v>31.83</v>
      </c>
      <c r="R1179">
        <v>0.15</v>
      </c>
      <c r="S1179">
        <v>541.11</v>
      </c>
      <c r="T1179" t="s">
        <v>814</v>
      </c>
      <c r="U1179">
        <v>509.2</v>
      </c>
      <c r="V1179">
        <v>31.91</v>
      </c>
    </row>
    <row r="1180" spans="1:22" x14ac:dyDescent="0.35">
      <c r="A1180" t="s">
        <v>2652</v>
      </c>
      <c r="B1180" t="s">
        <v>939</v>
      </c>
      <c r="C1180" t="s">
        <v>436</v>
      </c>
      <c r="D1180" t="s">
        <v>396</v>
      </c>
      <c r="E1180" t="s">
        <v>637</v>
      </c>
      <c r="F1180" t="s">
        <v>235</v>
      </c>
      <c r="G1180" t="s">
        <v>20</v>
      </c>
      <c r="H1180" t="s">
        <v>8</v>
      </c>
      <c r="I1180" t="s">
        <v>91</v>
      </c>
      <c r="J1180" t="s">
        <v>786</v>
      </c>
      <c r="K1180" t="s">
        <v>799</v>
      </c>
      <c r="L1180" t="s">
        <v>818</v>
      </c>
      <c r="M1180" s="5">
        <v>45782</v>
      </c>
      <c r="N1180" s="5">
        <v>45771</v>
      </c>
      <c r="O1180">
        <v>10</v>
      </c>
      <c r="P1180">
        <v>36.82</v>
      </c>
      <c r="Q1180">
        <v>47.87</v>
      </c>
      <c r="R1180">
        <v>0.05</v>
      </c>
      <c r="S1180">
        <v>454.76</v>
      </c>
      <c r="T1180" t="s">
        <v>888</v>
      </c>
      <c r="U1180">
        <v>368.2</v>
      </c>
      <c r="V1180">
        <v>86.56</v>
      </c>
    </row>
    <row r="1181" spans="1:22" x14ac:dyDescent="0.35">
      <c r="A1181" t="s">
        <v>2653</v>
      </c>
      <c r="B1181" t="s">
        <v>976</v>
      </c>
      <c r="C1181" t="s">
        <v>475</v>
      </c>
      <c r="D1181" t="s">
        <v>476</v>
      </c>
      <c r="E1181" t="s">
        <v>254</v>
      </c>
      <c r="F1181" t="s">
        <v>243</v>
      </c>
      <c r="G1181" t="s">
        <v>20</v>
      </c>
      <c r="H1181" t="s">
        <v>48</v>
      </c>
      <c r="I1181" t="s">
        <v>179</v>
      </c>
      <c r="J1181" t="s">
        <v>786</v>
      </c>
      <c r="K1181" t="s">
        <v>793</v>
      </c>
      <c r="L1181" t="s">
        <v>788</v>
      </c>
      <c r="M1181" s="5">
        <v>46061</v>
      </c>
      <c r="O1181">
        <v>2</v>
      </c>
      <c r="P1181">
        <v>16.670000000000002</v>
      </c>
      <c r="Q1181">
        <v>22.5</v>
      </c>
      <c r="R1181">
        <v>0.05</v>
      </c>
      <c r="S1181">
        <v>42.75</v>
      </c>
      <c r="T1181" t="s">
        <v>814</v>
      </c>
      <c r="U1181">
        <v>33.340000000000003</v>
      </c>
      <c r="V1181">
        <v>9.41</v>
      </c>
    </row>
    <row r="1182" spans="1:22" x14ac:dyDescent="0.35">
      <c r="A1182" t="s">
        <v>2654</v>
      </c>
      <c r="B1182" t="s">
        <v>2090</v>
      </c>
      <c r="C1182" t="s">
        <v>574</v>
      </c>
      <c r="D1182" t="s">
        <v>458</v>
      </c>
      <c r="E1182" t="s">
        <v>674</v>
      </c>
      <c r="G1182" t="s">
        <v>797</v>
      </c>
      <c r="H1182" t="s">
        <v>14</v>
      </c>
      <c r="I1182" t="s">
        <v>60</v>
      </c>
      <c r="J1182" t="s">
        <v>786</v>
      </c>
      <c r="K1182" t="s">
        <v>793</v>
      </c>
      <c r="L1182" t="s">
        <v>842</v>
      </c>
      <c r="M1182" s="5">
        <v>45320</v>
      </c>
      <c r="O1182">
        <v>3</v>
      </c>
      <c r="P1182">
        <v>18.18</v>
      </c>
      <c r="Q1182">
        <v>24.54</v>
      </c>
      <c r="R1182">
        <v>0.05</v>
      </c>
      <c r="S1182">
        <v>69.94</v>
      </c>
      <c r="T1182" t="s">
        <v>819</v>
      </c>
      <c r="U1182">
        <v>54.54</v>
      </c>
      <c r="V1182">
        <v>15.4</v>
      </c>
    </row>
    <row r="1183" spans="1:22" x14ac:dyDescent="0.35">
      <c r="A1183" t="s">
        <v>2655</v>
      </c>
      <c r="B1183" t="s">
        <v>2266</v>
      </c>
      <c r="C1183" t="s">
        <v>440</v>
      </c>
      <c r="D1183" t="s">
        <v>441</v>
      </c>
      <c r="E1183" t="s">
        <v>674</v>
      </c>
      <c r="F1183" t="s">
        <v>264</v>
      </c>
      <c r="G1183" t="s">
        <v>797</v>
      </c>
      <c r="H1183" t="s">
        <v>48</v>
      </c>
      <c r="I1183" t="s">
        <v>190</v>
      </c>
      <c r="J1183" t="s">
        <v>798</v>
      </c>
      <c r="K1183" t="s">
        <v>793</v>
      </c>
      <c r="L1183" t="s">
        <v>800</v>
      </c>
      <c r="M1183" s="5">
        <v>45452</v>
      </c>
      <c r="O1183">
        <v>12</v>
      </c>
      <c r="P1183">
        <v>21.56</v>
      </c>
      <c r="Q1183">
        <v>31.26</v>
      </c>
      <c r="R1183">
        <v>0</v>
      </c>
      <c r="S1183">
        <v>375.12</v>
      </c>
      <c r="T1183" t="s">
        <v>963</v>
      </c>
      <c r="U1183">
        <v>258.72000000000003</v>
      </c>
      <c r="V1183">
        <v>116.4</v>
      </c>
    </row>
    <row r="1184" spans="1:22" x14ac:dyDescent="0.35">
      <c r="A1184" t="s">
        <v>2656</v>
      </c>
      <c r="B1184" t="s">
        <v>1829</v>
      </c>
      <c r="C1184" t="s">
        <v>596</v>
      </c>
      <c r="D1184" t="s">
        <v>443</v>
      </c>
      <c r="E1184" t="s">
        <v>696</v>
      </c>
      <c r="F1184" t="s">
        <v>264</v>
      </c>
      <c r="G1184" t="s">
        <v>797</v>
      </c>
      <c r="H1184" t="s">
        <v>20</v>
      </c>
      <c r="I1184" t="s">
        <v>102</v>
      </c>
      <c r="J1184" t="s">
        <v>786</v>
      </c>
      <c r="K1184" t="s">
        <v>787</v>
      </c>
      <c r="L1184" t="s">
        <v>842</v>
      </c>
      <c r="M1184" s="5">
        <v>45804</v>
      </c>
      <c r="O1184">
        <v>10</v>
      </c>
      <c r="P1184">
        <v>19.04</v>
      </c>
      <c r="Q1184">
        <v>25.7</v>
      </c>
      <c r="R1184">
        <v>0</v>
      </c>
      <c r="S1184">
        <v>257</v>
      </c>
      <c r="T1184" t="s">
        <v>919</v>
      </c>
      <c r="U1184">
        <v>190.4</v>
      </c>
      <c r="V1184">
        <v>66.599999999999994</v>
      </c>
    </row>
    <row r="1185" spans="1:22" x14ac:dyDescent="0.35">
      <c r="A1185" t="s">
        <v>2657</v>
      </c>
      <c r="B1185" t="s">
        <v>1748</v>
      </c>
      <c r="C1185" t="s">
        <v>589</v>
      </c>
      <c r="D1185" t="s">
        <v>484</v>
      </c>
      <c r="E1185" t="s">
        <v>696</v>
      </c>
      <c r="F1185" t="s">
        <v>264</v>
      </c>
      <c r="G1185" t="s">
        <v>14</v>
      </c>
      <c r="H1185" t="s">
        <v>14</v>
      </c>
      <c r="I1185" t="s">
        <v>150</v>
      </c>
      <c r="J1185" t="s">
        <v>813</v>
      </c>
      <c r="K1185" t="s">
        <v>799</v>
      </c>
      <c r="L1185" t="s">
        <v>818</v>
      </c>
      <c r="M1185" s="5">
        <v>45363</v>
      </c>
      <c r="N1185" s="5">
        <v>45368</v>
      </c>
      <c r="O1185">
        <v>10</v>
      </c>
      <c r="P1185">
        <v>5.81</v>
      </c>
      <c r="Q1185">
        <v>7.55</v>
      </c>
      <c r="R1185">
        <v>0</v>
      </c>
      <c r="S1185">
        <v>75.5</v>
      </c>
      <c r="T1185" t="s">
        <v>876</v>
      </c>
      <c r="U1185">
        <v>58.1</v>
      </c>
      <c r="V1185">
        <v>17.399999999999999</v>
      </c>
    </row>
    <row r="1186" spans="1:22" x14ac:dyDescent="0.35">
      <c r="A1186" t="s">
        <v>2658</v>
      </c>
      <c r="B1186" t="s">
        <v>1006</v>
      </c>
      <c r="C1186" t="s">
        <v>563</v>
      </c>
      <c r="D1186" t="s">
        <v>311</v>
      </c>
      <c r="E1186" t="s">
        <v>674</v>
      </c>
      <c r="F1186" t="s">
        <v>264</v>
      </c>
      <c r="G1186" t="s">
        <v>797</v>
      </c>
      <c r="H1186" t="s">
        <v>38</v>
      </c>
      <c r="I1186" t="s">
        <v>117</v>
      </c>
      <c r="J1186" t="s">
        <v>798</v>
      </c>
      <c r="K1186" t="s">
        <v>799</v>
      </c>
      <c r="L1186" t="s">
        <v>842</v>
      </c>
      <c r="M1186" s="5">
        <v>45312</v>
      </c>
      <c r="N1186" s="5">
        <v>45314</v>
      </c>
      <c r="O1186">
        <v>20</v>
      </c>
      <c r="P1186">
        <v>43.25</v>
      </c>
      <c r="Q1186">
        <v>60.55</v>
      </c>
      <c r="R1186">
        <v>0.1</v>
      </c>
      <c r="S1186">
        <v>1089.9000000000001</v>
      </c>
      <c r="T1186" t="s">
        <v>888</v>
      </c>
      <c r="U1186">
        <v>865</v>
      </c>
      <c r="V1186">
        <v>224.9</v>
      </c>
    </row>
    <row r="1187" spans="1:22" x14ac:dyDescent="0.35">
      <c r="A1187" t="s">
        <v>2659</v>
      </c>
      <c r="B1187" t="s">
        <v>1704</v>
      </c>
      <c r="C1187" t="s">
        <v>596</v>
      </c>
      <c r="D1187" t="s">
        <v>443</v>
      </c>
      <c r="E1187" t="s">
        <v>633</v>
      </c>
      <c r="F1187" t="s">
        <v>264</v>
      </c>
      <c r="G1187" t="s">
        <v>20</v>
      </c>
      <c r="H1187" t="s">
        <v>14</v>
      </c>
      <c r="I1187" t="s">
        <v>25</v>
      </c>
      <c r="J1187" t="s">
        <v>786</v>
      </c>
      <c r="K1187" t="s">
        <v>793</v>
      </c>
      <c r="L1187" t="s">
        <v>818</v>
      </c>
      <c r="M1187" s="5">
        <v>45594</v>
      </c>
      <c r="O1187">
        <v>1</v>
      </c>
      <c r="P1187">
        <v>18.95</v>
      </c>
      <c r="Q1187">
        <v>25.58</v>
      </c>
      <c r="R1187">
        <v>0</v>
      </c>
      <c r="S1187">
        <v>25.58</v>
      </c>
      <c r="T1187" t="s">
        <v>839</v>
      </c>
      <c r="U1187">
        <v>18.95</v>
      </c>
      <c r="V1187">
        <v>6.63</v>
      </c>
    </row>
    <row r="1188" spans="1:22" x14ac:dyDescent="0.35">
      <c r="A1188" t="s">
        <v>2660</v>
      </c>
      <c r="B1188" t="s">
        <v>1203</v>
      </c>
      <c r="C1188" t="s">
        <v>474</v>
      </c>
      <c r="D1188" t="s">
        <v>330</v>
      </c>
      <c r="E1188" t="s">
        <v>674</v>
      </c>
      <c r="F1188" t="s">
        <v>235</v>
      </c>
      <c r="G1188" t="s">
        <v>797</v>
      </c>
      <c r="H1188" t="s">
        <v>8</v>
      </c>
      <c r="I1188" t="s">
        <v>207</v>
      </c>
      <c r="J1188" t="s">
        <v>798</v>
      </c>
      <c r="K1188" t="s">
        <v>793</v>
      </c>
      <c r="L1188" t="s">
        <v>800</v>
      </c>
      <c r="M1188" s="5">
        <v>45756</v>
      </c>
      <c r="O1188">
        <v>20</v>
      </c>
      <c r="P1188">
        <v>8.5399999999999991</v>
      </c>
      <c r="Q1188">
        <v>10.67</v>
      </c>
      <c r="R1188">
        <v>0.15</v>
      </c>
      <c r="S1188">
        <v>181.39</v>
      </c>
      <c r="T1188" t="s">
        <v>819</v>
      </c>
      <c r="U1188">
        <v>170.8</v>
      </c>
      <c r="V1188">
        <v>10.59</v>
      </c>
    </row>
    <row r="1189" spans="1:22" x14ac:dyDescent="0.35">
      <c r="A1189" t="s">
        <v>2661</v>
      </c>
      <c r="B1189" t="s">
        <v>1545</v>
      </c>
      <c r="C1189" t="s">
        <v>442</v>
      </c>
      <c r="D1189" t="s">
        <v>443</v>
      </c>
      <c r="E1189" t="s">
        <v>627</v>
      </c>
      <c r="F1189" t="s">
        <v>235</v>
      </c>
      <c r="G1189" t="s">
        <v>20</v>
      </c>
      <c r="H1189" t="s">
        <v>8</v>
      </c>
      <c r="I1189" t="s">
        <v>192</v>
      </c>
      <c r="J1189" t="s">
        <v>798</v>
      </c>
      <c r="K1189" t="s">
        <v>822</v>
      </c>
      <c r="L1189" t="s">
        <v>800</v>
      </c>
      <c r="M1189" s="5">
        <v>45586</v>
      </c>
      <c r="N1189" s="5">
        <v>45583</v>
      </c>
      <c r="O1189">
        <v>3</v>
      </c>
      <c r="P1189">
        <v>19.47</v>
      </c>
      <c r="Q1189">
        <v>28.23</v>
      </c>
      <c r="R1189">
        <v>0.15</v>
      </c>
      <c r="S1189">
        <v>71.989999999999995</v>
      </c>
      <c r="T1189" t="s">
        <v>803</v>
      </c>
      <c r="U1189">
        <v>58.41</v>
      </c>
      <c r="V1189">
        <v>13.58</v>
      </c>
    </row>
    <row r="1190" spans="1:22" x14ac:dyDescent="0.35">
      <c r="A1190" t="s">
        <v>2662</v>
      </c>
      <c r="B1190" t="s">
        <v>1478</v>
      </c>
      <c r="C1190" t="s">
        <v>556</v>
      </c>
      <c r="D1190" t="s">
        <v>472</v>
      </c>
      <c r="E1190" t="s">
        <v>674</v>
      </c>
      <c r="F1190" t="s">
        <v>235</v>
      </c>
      <c r="G1190" t="s">
        <v>20</v>
      </c>
      <c r="H1190" t="s">
        <v>48</v>
      </c>
      <c r="I1190" t="s">
        <v>217</v>
      </c>
      <c r="J1190" t="s">
        <v>798</v>
      </c>
      <c r="K1190" t="s">
        <v>799</v>
      </c>
      <c r="L1190" t="s">
        <v>842</v>
      </c>
      <c r="M1190" s="5">
        <v>46024</v>
      </c>
      <c r="N1190" s="5">
        <v>46019</v>
      </c>
      <c r="O1190">
        <v>12</v>
      </c>
      <c r="P1190">
        <v>24.07</v>
      </c>
      <c r="Q1190">
        <v>34.9</v>
      </c>
      <c r="R1190">
        <v>0</v>
      </c>
      <c r="S1190">
        <v>418.8</v>
      </c>
      <c r="T1190" t="s">
        <v>892</v>
      </c>
      <c r="U1190">
        <v>288.83999999999997</v>
      </c>
      <c r="V1190">
        <v>129.96</v>
      </c>
    </row>
    <row r="1191" spans="1:22" x14ac:dyDescent="0.35">
      <c r="A1191" t="s">
        <v>2663</v>
      </c>
      <c r="B1191" t="s">
        <v>1920</v>
      </c>
      <c r="C1191" t="s">
        <v>560</v>
      </c>
      <c r="D1191" t="s">
        <v>292</v>
      </c>
      <c r="E1191" t="s">
        <v>633</v>
      </c>
      <c r="F1191" t="s">
        <v>264</v>
      </c>
      <c r="G1191" t="s">
        <v>797</v>
      </c>
      <c r="H1191" t="s">
        <v>79</v>
      </c>
      <c r="I1191" t="s">
        <v>166</v>
      </c>
      <c r="J1191" t="s">
        <v>798</v>
      </c>
      <c r="K1191" t="s">
        <v>799</v>
      </c>
      <c r="L1191" t="s">
        <v>800</v>
      </c>
      <c r="M1191" s="5">
        <v>45692</v>
      </c>
      <c r="N1191" s="5">
        <v>45692</v>
      </c>
      <c r="O1191">
        <v>1</v>
      </c>
      <c r="P1191">
        <v>15.73</v>
      </c>
      <c r="Q1191">
        <v>19.66</v>
      </c>
      <c r="R1191">
        <v>0</v>
      </c>
      <c r="S1191">
        <v>19.66</v>
      </c>
      <c r="T1191" t="s">
        <v>845</v>
      </c>
      <c r="U1191">
        <v>15.73</v>
      </c>
      <c r="V1191">
        <v>3.93</v>
      </c>
    </row>
    <row r="1192" spans="1:22" x14ac:dyDescent="0.35">
      <c r="A1192" t="s">
        <v>2664</v>
      </c>
      <c r="B1192" t="s">
        <v>1391</v>
      </c>
      <c r="C1192" t="s">
        <v>592</v>
      </c>
      <c r="D1192" t="s">
        <v>478</v>
      </c>
      <c r="E1192" t="s">
        <v>674</v>
      </c>
      <c r="F1192" t="s">
        <v>243</v>
      </c>
      <c r="G1192" t="s">
        <v>797</v>
      </c>
      <c r="H1192" t="s">
        <v>14</v>
      </c>
      <c r="I1192" t="s">
        <v>111</v>
      </c>
      <c r="J1192" t="s">
        <v>786</v>
      </c>
      <c r="K1192" t="s">
        <v>799</v>
      </c>
      <c r="L1192" t="s">
        <v>788</v>
      </c>
      <c r="M1192" s="5">
        <v>45503</v>
      </c>
      <c r="N1192" s="5">
        <v>45495</v>
      </c>
      <c r="O1192">
        <v>3</v>
      </c>
      <c r="P1192">
        <v>19.850000000000001</v>
      </c>
      <c r="Q1192">
        <v>28.78</v>
      </c>
      <c r="R1192">
        <v>0.15</v>
      </c>
      <c r="S1192">
        <v>73.39</v>
      </c>
      <c r="T1192" t="s">
        <v>839</v>
      </c>
      <c r="U1192">
        <v>59.55</v>
      </c>
      <c r="V1192">
        <v>13.84</v>
      </c>
    </row>
    <row r="1193" spans="1:22" x14ac:dyDescent="0.35">
      <c r="A1193" t="s">
        <v>2665</v>
      </c>
      <c r="B1193" t="s">
        <v>1215</v>
      </c>
      <c r="C1193" t="s">
        <v>502</v>
      </c>
      <c r="D1193" t="s">
        <v>503</v>
      </c>
      <c r="E1193" t="s">
        <v>627</v>
      </c>
      <c r="F1193" t="s">
        <v>235</v>
      </c>
      <c r="G1193" t="s">
        <v>797</v>
      </c>
      <c r="H1193" t="s">
        <v>8</v>
      </c>
      <c r="I1193" t="s">
        <v>198</v>
      </c>
      <c r="J1193" t="s">
        <v>798</v>
      </c>
      <c r="K1193" t="s">
        <v>793</v>
      </c>
      <c r="L1193" t="s">
        <v>800</v>
      </c>
      <c r="M1193" s="5">
        <v>45663</v>
      </c>
      <c r="O1193">
        <v>10</v>
      </c>
      <c r="P1193">
        <v>30.64</v>
      </c>
      <c r="Q1193">
        <v>42.9</v>
      </c>
      <c r="R1193">
        <v>0.1</v>
      </c>
      <c r="S1193">
        <v>386.1</v>
      </c>
      <c r="T1193" t="s">
        <v>790</v>
      </c>
      <c r="U1193">
        <v>306.39999999999998</v>
      </c>
      <c r="V1193">
        <v>79.7</v>
      </c>
    </row>
    <row r="1194" spans="1:22" x14ac:dyDescent="0.35">
      <c r="A1194" t="s">
        <v>2666</v>
      </c>
      <c r="B1194" t="s">
        <v>1144</v>
      </c>
      <c r="C1194" t="s">
        <v>370</v>
      </c>
      <c r="D1194" t="s">
        <v>371</v>
      </c>
      <c r="E1194" t="s">
        <v>627</v>
      </c>
      <c r="F1194" t="s">
        <v>264</v>
      </c>
      <c r="G1194" t="s">
        <v>14</v>
      </c>
      <c r="H1194" t="s">
        <v>14</v>
      </c>
      <c r="I1194" t="s">
        <v>60</v>
      </c>
      <c r="J1194" t="s">
        <v>798</v>
      </c>
      <c r="K1194" t="s">
        <v>787</v>
      </c>
      <c r="L1194" t="s">
        <v>788</v>
      </c>
      <c r="M1194" s="5">
        <v>45503</v>
      </c>
      <c r="O1194">
        <v>1</v>
      </c>
      <c r="P1194">
        <v>18.18</v>
      </c>
      <c r="Q1194">
        <v>24.54</v>
      </c>
      <c r="R1194">
        <v>0.1</v>
      </c>
      <c r="S1194">
        <v>22.09</v>
      </c>
      <c r="T1194" t="s">
        <v>892</v>
      </c>
      <c r="U1194">
        <v>18.18</v>
      </c>
      <c r="V1194">
        <v>3.91</v>
      </c>
    </row>
    <row r="1195" spans="1:22" x14ac:dyDescent="0.35">
      <c r="A1195" t="s">
        <v>2667</v>
      </c>
      <c r="B1195" t="s">
        <v>1000</v>
      </c>
      <c r="C1195" t="s">
        <v>457</v>
      </c>
      <c r="D1195" t="s">
        <v>458</v>
      </c>
      <c r="E1195" t="s">
        <v>696</v>
      </c>
      <c r="F1195" t="s">
        <v>243</v>
      </c>
      <c r="G1195" t="s">
        <v>20</v>
      </c>
      <c r="H1195" t="s">
        <v>8</v>
      </c>
      <c r="I1195" t="s">
        <v>91</v>
      </c>
      <c r="J1195" t="s">
        <v>786</v>
      </c>
      <c r="K1195" t="s">
        <v>793</v>
      </c>
      <c r="L1195" t="s">
        <v>788</v>
      </c>
      <c r="M1195" s="5">
        <v>45595</v>
      </c>
      <c r="O1195">
        <v>2</v>
      </c>
      <c r="P1195">
        <v>36.82</v>
      </c>
      <c r="Q1195">
        <v>47.87</v>
      </c>
      <c r="R1195">
        <v>0</v>
      </c>
      <c r="S1195">
        <v>95.74</v>
      </c>
      <c r="T1195" t="s">
        <v>859</v>
      </c>
      <c r="U1195">
        <v>73.64</v>
      </c>
      <c r="V1195">
        <v>22.1</v>
      </c>
    </row>
    <row r="1196" spans="1:22" x14ac:dyDescent="0.35">
      <c r="A1196" t="s">
        <v>2668</v>
      </c>
      <c r="B1196" t="s">
        <v>1483</v>
      </c>
      <c r="C1196" t="s">
        <v>570</v>
      </c>
      <c r="D1196" t="s">
        <v>435</v>
      </c>
      <c r="E1196" t="s">
        <v>681</v>
      </c>
      <c r="F1196" t="s">
        <v>264</v>
      </c>
      <c r="G1196" t="s">
        <v>20</v>
      </c>
      <c r="H1196" t="s">
        <v>43</v>
      </c>
      <c r="I1196" t="s">
        <v>41</v>
      </c>
      <c r="J1196" t="s">
        <v>813</v>
      </c>
      <c r="K1196" t="s">
        <v>799</v>
      </c>
      <c r="L1196" t="s">
        <v>788</v>
      </c>
      <c r="M1196" s="5">
        <v>45320</v>
      </c>
      <c r="N1196" s="5">
        <v>45324</v>
      </c>
      <c r="O1196">
        <v>5</v>
      </c>
      <c r="P1196">
        <v>18.010000000000002</v>
      </c>
      <c r="Q1196">
        <v>22.51</v>
      </c>
      <c r="R1196">
        <v>0.05</v>
      </c>
      <c r="S1196">
        <v>106.92</v>
      </c>
      <c r="T1196" t="s">
        <v>869</v>
      </c>
      <c r="U1196">
        <v>90.05</v>
      </c>
      <c r="V1196">
        <v>16.87</v>
      </c>
    </row>
    <row r="1197" spans="1:22" x14ac:dyDescent="0.35">
      <c r="A1197" t="s">
        <v>2669</v>
      </c>
      <c r="B1197" t="s">
        <v>1891</v>
      </c>
      <c r="C1197" t="s">
        <v>551</v>
      </c>
      <c r="D1197" t="s">
        <v>304</v>
      </c>
      <c r="E1197" t="s">
        <v>696</v>
      </c>
      <c r="F1197" t="s">
        <v>264</v>
      </c>
      <c r="G1197" t="s">
        <v>20</v>
      </c>
      <c r="H1197" t="s">
        <v>20</v>
      </c>
      <c r="I1197" t="s">
        <v>51</v>
      </c>
      <c r="J1197" t="s">
        <v>813</v>
      </c>
      <c r="K1197" t="s">
        <v>793</v>
      </c>
      <c r="L1197" t="s">
        <v>800</v>
      </c>
      <c r="M1197" s="5">
        <v>45863</v>
      </c>
      <c r="O1197">
        <v>2</v>
      </c>
      <c r="P1197">
        <v>11.28</v>
      </c>
      <c r="Q1197">
        <v>15.23</v>
      </c>
      <c r="R1197">
        <v>0</v>
      </c>
      <c r="S1197">
        <v>30.46</v>
      </c>
      <c r="T1197" t="s">
        <v>1001</v>
      </c>
      <c r="U1197">
        <v>22.56</v>
      </c>
      <c r="V1197">
        <v>7.9</v>
      </c>
    </row>
    <row r="1198" spans="1:22" x14ac:dyDescent="0.35">
      <c r="A1198" t="s">
        <v>2670</v>
      </c>
      <c r="B1198" t="s">
        <v>934</v>
      </c>
      <c r="C1198" t="s">
        <v>416</v>
      </c>
      <c r="D1198" t="s">
        <v>417</v>
      </c>
      <c r="E1198" t="s">
        <v>674</v>
      </c>
      <c r="F1198" t="s">
        <v>264</v>
      </c>
      <c r="G1198" t="s">
        <v>14</v>
      </c>
      <c r="H1198" t="s">
        <v>48</v>
      </c>
      <c r="I1198" t="s">
        <v>148</v>
      </c>
      <c r="J1198" t="s">
        <v>798</v>
      </c>
      <c r="K1198" t="s">
        <v>787</v>
      </c>
      <c r="L1198" t="s">
        <v>842</v>
      </c>
      <c r="M1198" s="5">
        <v>45920</v>
      </c>
      <c r="O1198">
        <v>20</v>
      </c>
      <c r="P1198">
        <v>58.01</v>
      </c>
      <c r="Q1198">
        <v>72.510000000000005</v>
      </c>
      <c r="R1198">
        <v>0</v>
      </c>
      <c r="S1198">
        <v>1450.2</v>
      </c>
      <c r="T1198" t="s">
        <v>790</v>
      </c>
      <c r="U1198">
        <v>1160.2</v>
      </c>
      <c r="V1198">
        <v>290</v>
      </c>
    </row>
    <row r="1199" spans="1:22" x14ac:dyDescent="0.35">
      <c r="A1199" t="s">
        <v>2671</v>
      </c>
      <c r="B1199" t="s">
        <v>1190</v>
      </c>
      <c r="C1199" t="s">
        <v>347</v>
      </c>
      <c r="D1199" t="s">
        <v>348</v>
      </c>
      <c r="E1199" t="s">
        <v>633</v>
      </c>
      <c r="F1199" t="s">
        <v>243</v>
      </c>
      <c r="G1199" t="s">
        <v>20</v>
      </c>
      <c r="H1199" t="s">
        <v>38</v>
      </c>
      <c r="I1199" t="s">
        <v>80</v>
      </c>
      <c r="J1199" t="s">
        <v>798</v>
      </c>
      <c r="K1199" t="s">
        <v>787</v>
      </c>
      <c r="L1199" t="s">
        <v>818</v>
      </c>
      <c r="M1199" s="5">
        <v>45787</v>
      </c>
      <c r="O1199">
        <v>3</v>
      </c>
      <c r="P1199">
        <v>38.57</v>
      </c>
      <c r="Q1199">
        <v>48.21</v>
      </c>
      <c r="R1199">
        <v>0.15</v>
      </c>
      <c r="S1199">
        <v>122.94</v>
      </c>
      <c r="T1199" t="s">
        <v>1134</v>
      </c>
      <c r="U1199">
        <v>115.71</v>
      </c>
      <c r="V1199">
        <v>7.23</v>
      </c>
    </row>
    <row r="1200" spans="1:22" x14ac:dyDescent="0.35">
      <c r="A1200" t="s">
        <v>2672</v>
      </c>
      <c r="B1200" t="s">
        <v>1729</v>
      </c>
      <c r="C1200" t="s">
        <v>436</v>
      </c>
      <c r="D1200" t="s">
        <v>396</v>
      </c>
      <c r="E1200" t="s">
        <v>627</v>
      </c>
      <c r="F1200" t="s">
        <v>235</v>
      </c>
      <c r="G1200" t="s">
        <v>20</v>
      </c>
      <c r="H1200" t="s">
        <v>29</v>
      </c>
      <c r="I1200" t="s">
        <v>115</v>
      </c>
      <c r="J1200" t="s">
        <v>813</v>
      </c>
      <c r="K1200" t="s">
        <v>793</v>
      </c>
      <c r="L1200" t="s">
        <v>842</v>
      </c>
      <c r="M1200" s="5">
        <v>45700</v>
      </c>
      <c r="O1200">
        <v>2</v>
      </c>
      <c r="P1200">
        <v>34.340000000000003</v>
      </c>
      <c r="Q1200">
        <v>44.64</v>
      </c>
      <c r="R1200">
        <v>0.1</v>
      </c>
      <c r="S1200">
        <v>80.349999999999994</v>
      </c>
      <c r="T1200" t="s">
        <v>829</v>
      </c>
      <c r="U1200">
        <v>68.680000000000007</v>
      </c>
      <c r="V1200">
        <v>11.67</v>
      </c>
    </row>
    <row r="1201" spans="1:22" x14ac:dyDescent="0.35">
      <c r="A1201" t="s">
        <v>2673</v>
      </c>
      <c r="B1201" t="s">
        <v>1955</v>
      </c>
      <c r="C1201" t="s">
        <v>509</v>
      </c>
      <c r="D1201" t="s">
        <v>510</v>
      </c>
      <c r="E1201" t="s">
        <v>254</v>
      </c>
      <c r="F1201" t="s">
        <v>235</v>
      </c>
      <c r="G1201" t="s">
        <v>48</v>
      </c>
      <c r="H1201" t="s">
        <v>38</v>
      </c>
      <c r="I1201" t="s">
        <v>69</v>
      </c>
      <c r="J1201" t="s">
        <v>813</v>
      </c>
      <c r="K1201" t="s">
        <v>787</v>
      </c>
      <c r="L1201" t="s">
        <v>788</v>
      </c>
      <c r="M1201" s="5">
        <v>46035</v>
      </c>
      <c r="O1201">
        <v>2</v>
      </c>
      <c r="P1201">
        <v>20.9</v>
      </c>
      <c r="Q1201">
        <v>28.21</v>
      </c>
      <c r="R1201">
        <v>0.15</v>
      </c>
      <c r="S1201">
        <v>47.96</v>
      </c>
      <c r="T1201" t="s">
        <v>794</v>
      </c>
      <c r="U1201">
        <v>41.8</v>
      </c>
      <c r="V1201">
        <v>6.16</v>
      </c>
    </row>
    <row r="1202" spans="1:22" x14ac:dyDescent="0.35">
      <c r="A1202" t="s">
        <v>2674</v>
      </c>
      <c r="B1202" t="s">
        <v>1432</v>
      </c>
      <c r="C1202" t="s">
        <v>449</v>
      </c>
      <c r="D1202" t="s">
        <v>450</v>
      </c>
      <c r="E1202" t="s">
        <v>633</v>
      </c>
      <c r="F1202" t="s">
        <v>235</v>
      </c>
      <c r="G1202" t="s">
        <v>797</v>
      </c>
      <c r="H1202" t="s">
        <v>20</v>
      </c>
      <c r="I1202" t="s">
        <v>196</v>
      </c>
      <c r="J1202" t="s">
        <v>798</v>
      </c>
      <c r="K1202" t="s">
        <v>787</v>
      </c>
      <c r="L1202" t="s">
        <v>818</v>
      </c>
      <c r="M1202" s="5">
        <v>45393</v>
      </c>
      <c r="O1202">
        <v>3</v>
      </c>
      <c r="P1202">
        <v>15.78</v>
      </c>
      <c r="Q1202">
        <v>19.72</v>
      </c>
      <c r="R1202">
        <v>0.1</v>
      </c>
      <c r="S1202">
        <v>53.24</v>
      </c>
      <c r="T1202" t="s">
        <v>829</v>
      </c>
      <c r="U1202">
        <v>47.34</v>
      </c>
      <c r="V1202">
        <v>5.9</v>
      </c>
    </row>
    <row r="1203" spans="1:22" x14ac:dyDescent="0.35">
      <c r="A1203" t="s">
        <v>2675</v>
      </c>
      <c r="B1203" t="s">
        <v>1480</v>
      </c>
      <c r="C1203" t="s">
        <v>568</v>
      </c>
      <c r="D1203" t="s">
        <v>360</v>
      </c>
      <c r="E1203" t="s">
        <v>637</v>
      </c>
      <c r="G1203" t="s">
        <v>797</v>
      </c>
      <c r="H1203" t="s">
        <v>8</v>
      </c>
      <c r="I1203" t="s">
        <v>192</v>
      </c>
      <c r="J1203" t="s">
        <v>813</v>
      </c>
      <c r="K1203" t="s">
        <v>799</v>
      </c>
      <c r="L1203" t="s">
        <v>788</v>
      </c>
      <c r="M1203" s="5">
        <v>45832</v>
      </c>
      <c r="N1203" s="5">
        <v>45831</v>
      </c>
      <c r="O1203">
        <v>10</v>
      </c>
      <c r="P1203">
        <v>19.47</v>
      </c>
      <c r="Q1203">
        <v>28.23</v>
      </c>
      <c r="R1203">
        <v>0.05</v>
      </c>
      <c r="S1203">
        <v>268.19</v>
      </c>
      <c r="T1203" t="s">
        <v>810</v>
      </c>
      <c r="U1203">
        <v>194.7</v>
      </c>
      <c r="V1203">
        <v>73.489999999999995</v>
      </c>
    </row>
    <row r="1204" spans="1:22" x14ac:dyDescent="0.35">
      <c r="A1204" t="s">
        <v>2676</v>
      </c>
      <c r="B1204" t="s">
        <v>1219</v>
      </c>
      <c r="C1204" t="s">
        <v>397</v>
      </c>
      <c r="D1204" t="s">
        <v>360</v>
      </c>
      <c r="E1204" t="s">
        <v>254</v>
      </c>
      <c r="G1204" t="s">
        <v>14</v>
      </c>
      <c r="H1204" t="s">
        <v>38</v>
      </c>
      <c r="I1204" t="s">
        <v>82</v>
      </c>
      <c r="J1204" t="s">
        <v>798</v>
      </c>
      <c r="K1204" t="s">
        <v>787</v>
      </c>
      <c r="L1204" t="s">
        <v>788</v>
      </c>
      <c r="M1204" s="5">
        <v>45566</v>
      </c>
      <c r="O1204">
        <v>10</v>
      </c>
      <c r="P1204">
        <v>12.54</v>
      </c>
      <c r="Q1204">
        <v>16.93</v>
      </c>
      <c r="R1204">
        <v>0.05</v>
      </c>
      <c r="S1204">
        <v>160.84</v>
      </c>
      <c r="T1204" t="s">
        <v>829</v>
      </c>
      <c r="U1204">
        <v>125.4</v>
      </c>
      <c r="V1204">
        <v>35.44</v>
      </c>
    </row>
    <row r="1205" spans="1:22" x14ac:dyDescent="0.35">
      <c r="A1205" t="s">
        <v>2677</v>
      </c>
      <c r="B1205" t="s">
        <v>1233</v>
      </c>
      <c r="C1205" t="s">
        <v>609</v>
      </c>
      <c r="D1205" t="s">
        <v>610</v>
      </c>
      <c r="E1205" t="s">
        <v>674</v>
      </c>
      <c r="G1205" t="s">
        <v>48</v>
      </c>
      <c r="H1205" t="s">
        <v>48</v>
      </c>
      <c r="I1205" t="s">
        <v>139</v>
      </c>
      <c r="J1205" t="s">
        <v>786</v>
      </c>
      <c r="K1205" t="s">
        <v>787</v>
      </c>
      <c r="L1205" t="s">
        <v>800</v>
      </c>
      <c r="M1205" s="5">
        <v>45349</v>
      </c>
      <c r="O1205">
        <v>2</v>
      </c>
      <c r="P1205">
        <v>29.93</v>
      </c>
      <c r="Q1205">
        <v>41.9</v>
      </c>
      <c r="R1205">
        <v>0</v>
      </c>
      <c r="S1205">
        <v>83.8</v>
      </c>
      <c r="T1205" t="s">
        <v>935</v>
      </c>
      <c r="U1205">
        <v>59.86</v>
      </c>
      <c r="V1205">
        <v>23.94</v>
      </c>
    </row>
    <row r="1206" spans="1:22" x14ac:dyDescent="0.35">
      <c r="A1206" t="s">
        <v>2678</v>
      </c>
      <c r="B1206" t="s">
        <v>1381</v>
      </c>
      <c r="C1206" t="s">
        <v>252</v>
      </c>
      <c r="D1206" t="s">
        <v>253</v>
      </c>
      <c r="E1206" t="s">
        <v>627</v>
      </c>
      <c r="F1206" t="s">
        <v>243</v>
      </c>
      <c r="G1206" t="s">
        <v>20</v>
      </c>
      <c r="H1206" t="s">
        <v>38</v>
      </c>
      <c r="I1206" t="s">
        <v>71</v>
      </c>
      <c r="J1206" t="s">
        <v>798</v>
      </c>
      <c r="K1206" t="s">
        <v>799</v>
      </c>
      <c r="L1206" t="s">
        <v>818</v>
      </c>
      <c r="M1206" s="5">
        <v>45948</v>
      </c>
      <c r="N1206" s="5">
        <v>45942</v>
      </c>
      <c r="O1206">
        <v>3</v>
      </c>
      <c r="P1206">
        <v>17.62</v>
      </c>
      <c r="Q1206">
        <v>24.67</v>
      </c>
      <c r="R1206">
        <v>0.1</v>
      </c>
      <c r="S1206">
        <v>66.61</v>
      </c>
      <c r="T1206" t="s">
        <v>834</v>
      </c>
      <c r="U1206">
        <v>52.86</v>
      </c>
      <c r="V1206">
        <v>13.75</v>
      </c>
    </row>
    <row r="1207" spans="1:22" x14ac:dyDescent="0.35">
      <c r="A1207" t="s">
        <v>2679</v>
      </c>
      <c r="B1207" t="s">
        <v>1144</v>
      </c>
      <c r="C1207" t="s">
        <v>272</v>
      </c>
      <c r="D1207" t="s">
        <v>273</v>
      </c>
      <c r="E1207" t="s">
        <v>674</v>
      </c>
      <c r="F1207" t="s">
        <v>243</v>
      </c>
      <c r="G1207" t="s">
        <v>797</v>
      </c>
      <c r="H1207" t="s">
        <v>8</v>
      </c>
      <c r="I1207" t="s">
        <v>65</v>
      </c>
      <c r="J1207" t="s">
        <v>798</v>
      </c>
      <c r="K1207" t="s">
        <v>793</v>
      </c>
      <c r="L1207" t="s">
        <v>842</v>
      </c>
      <c r="M1207" s="5">
        <v>45503</v>
      </c>
      <c r="O1207">
        <v>1</v>
      </c>
      <c r="P1207">
        <v>30.16</v>
      </c>
      <c r="Q1207">
        <v>40.72</v>
      </c>
      <c r="R1207">
        <v>0.1</v>
      </c>
      <c r="S1207">
        <v>36.65</v>
      </c>
      <c r="T1207" t="s">
        <v>814</v>
      </c>
      <c r="U1207">
        <v>30.16</v>
      </c>
      <c r="V1207">
        <v>6.49</v>
      </c>
    </row>
    <row r="1208" spans="1:22" x14ac:dyDescent="0.35">
      <c r="A1208" t="s">
        <v>2680</v>
      </c>
      <c r="B1208" t="s">
        <v>1119</v>
      </c>
      <c r="C1208" t="s">
        <v>466</v>
      </c>
      <c r="D1208" t="s">
        <v>441</v>
      </c>
      <c r="E1208" t="s">
        <v>674</v>
      </c>
      <c r="F1208" t="s">
        <v>235</v>
      </c>
      <c r="G1208" t="s">
        <v>797</v>
      </c>
      <c r="H1208" t="s">
        <v>14</v>
      </c>
      <c r="I1208" t="s">
        <v>16</v>
      </c>
      <c r="J1208" t="s">
        <v>813</v>
      </c>
      <c r="K1208" t="s">
        <v>799</v>
      </c>
      <c r="L1208" t="s">
        <v>800</v>
      </c>
      <c r="M1208" s="5">
        <v>45816</v>
      </c>
      <c r="N1208" s="5">
        <v>45819</v>
      </c>
      <c r="O1208">
        <v>2</v>
      </c>
      <c r="P1208">
        <v>56.69</v>
      </c>
      <c r="Q1208">
        <v>79.37</v>
      </c>
      <c r="R1208">
        <v>0</v>
      </c>
      <c r="S1208">
        <v>158.74</v>
      </c>
      <c r="T1208" t="s">
        <v>790</v>
      </c>
      <c r="U1208">
        <v>113.38</v>
      </c>
      <c r="V1208">
        <v>45.36</v>
      </c>
    </row>
    <row r="1209" spans="1:22" x14ac:dyDescent="0.35">
      <c r="A1209" t="s">
        <v>2681</v>
      </c>
      <c r="B1209" t="s">
        <v>1367</v>
      </c>
      <c r="C1209" t="s">
        <v>355</v>
      </c>
      <c r="D1209" t="s">
        <v>356</v>
      </c>
      <c r="E1209" t="s">
        <v>637</v>
      </c>
      <c r="F1209" t="s">
        <v>264</v>
      </c>
      <c r="G1209" t="s">
        <v>797</v>
      </c>
      <c r="H1209" t="s">
        <v>79</v>
      </c>
      <c r="I1209" t="s">
        <v>108</v>
      </c>
      <c r="J1209" t="s">
        <v>798</v>
      </c>
      <c r="K1209" t="s">
        <v>793</v>
      </c>
      <c r="L1209" t="s">
        <v>800</v>
      </c>
      <c r="M1209" s="5">
        <v>45822</v>
      </c>
      <c r="O1209">
        <v>5</v>
      </c>
      <c r="P1209">
        <v>9.3000000000000007</v>
      </c>
      <c r="Q1209">
        <v>12.56</v>
      </c>
      <c r="R1209">
        <v>0</v>
      </c>
      <c r="S1209">
        <v>62.8</v>
      </c>
      <c r="T1209" t="s">
        <v>935</v>
      </c>
      <c r="U1209">
        <v>46.5</v>
      </c>
      <c r="V1209">
        <v>16.3</v>
      </c>
    </row>
    <row r="1210" spans="1:22" x14ac:dyDescent="0.35">
      <c r="A1210" t="s">
        <v>2682</v>
      </c>
      <c r="B1210" t="s">
        <v>965</v>
      </c>
      <c r="C1210" t="s">
        <v>418</v>
      </c>
      <c r="D1210" t="s">
        <v>253</v>
      </c>
      <c r="E1210" t="s">
        <v>696</v>
      </c>
      <c r="F1210" t="s">
        <v>264</v>
      </c>
      <c r="G1210" t="s">
        <v>797</v>
      </c>
      <c r="H1210" t="s">
        <v>8</v>
      </c>
      <c r="I1210" t="s">
        <v>207</v>
      </c>
      <c r="J1210" t="s">
        <v>798</v>
      </c>
      <c r="K1210" t="s">
        <v>799</v>
      </c>
      <c r="L1210" t="s">
        <v>818</v>
      </c>
      <c r="M1210" s="5">
        <v>45421</v>
      </c>
      <c r="N1210" s="5">
        <v>45416</v>
      </c>
      <c r="O1210">
        <v>2</v>
      </c>
      <c r="P1210">
        <v>8.5399999999999991</v>
      </c>
      <c r="Q1210">
        <v>10.67</v>
      </c>
      <c r="R1210">
        <v>0</v>
      </c>
      <c r="S1210">
        <v>21.34</v>
      </c>
      <c r="T1210" t="s">
        <v>810</v>
      </c>
      <c r="U1210">
        <v>17.079999999999998</v>
      </c>
      <c r="V1210">
        <v>4.26</v>
      </c>
    </row>
    <row r="1211" spans="1:22" x14ac:dyDescent="0.35">
      <c r="A1211" t="s">
        <v>2683</v>
      </c>
      <c r="B1211" t="s">
        <v>1601</v>
      </c>
      <c r="C1211" t="s">
        <v>327</v>
      </c>
      <c r="D1211" t="s">
        <v>328</v>
      </c>
      <c r="E1211" t="s">
        <v>681</v>
      </c>
      <c r="F1211" t="s">
        <v>264</v>
      </c>
      <c r="G1211" t="s">
        <v>48</v>
      </c>
      <c r="H1211" t="s">
        <v>29</v>
      </c>
      <c r="I1211" t="s">
        <v>182</v>
      </c>
      <c r="J1211" t="s">
        <v>798</v>
      </c>
      <c r="K1211" t="s">
        <v>799</v>
      </c>
      <c r="L1211" t="s">
        <v>800</v>
      </c>
      <c r="M1211" s="5">
        <v>45341</v>
      </c>
      <c r="N1211" s="5">
        <v>45338</v>
      </c>
      <c r="O1211">
        <v>10</v>
      </c>
      <c r="P1211">
        <v>19.77</v>
      </c>
      <c r="Q1211">
        <v>27.68</v>
      </c>
      <c r="R1211">
        <v>0.15</v>
      </c>
      <c r="S1211">
        <v>235.28</v>
      </c>
      <c r="T1211" t="s">
        <v>825</v>
      </c>
      <c r="U1211">
        <v>197.7</v>
      </c>
      <c r="V1211">
        <v>37.58</v>
      </c>
    </row>
    <row r="1212" spans="1:22" x14ac:dyDescent="0.35">
      <c r="A1212" t="s">
        <v>2684</v>
      </c>
      <c r="B1212" t="s">
        <v>1224</v>
      </c>
      <c r="C1212" t="s">
        <v>451</v>
      </c>
      <c r="D1212" t="s">
        <v>368</v>
      </c>
      <c r="E1212" t="s">
        <v>696</v>
      </c>
      <c r="F1212" t="s">
        <v>264</v>
      </c>
      <c r="G1212" t="s">
        <v>797</v>
      </c>
      <c r="H1212" t="s">
        <v>29</v>
      </c>
      <c r="I1212" t="s">
        <v>86</v>
      </c>
      <c r="J1212" t="s">
        <v>798</v>
      </c>
      <c r="K1212" t="s">
        <v>799</v>
      </c>
      <c r="L1212" t="s">
        <v>800</v>
      </c>
      <c r="M1212" s="5">
        <v>45906</v>
      </c>
      <c r="N1212" s="5">
        <v>45900</v>
      </c>
      <c r="O1212">
        <v>10</v>
      </c>
      <c r="P1212">
        <v>8.35</v>
      </c>
      <c r="Q1212">
        <v>12.11</v>
      </c>
      <c r="R1212">
        <v>0</v>
      </c>
      <c r="S1212">
        <v>121.1</v>
      </c>
      <c r="T1212" t="s">
        <v>892</v>
      </c>
      <c r="U1212">
        <v>83.5</v>
      </c>
      <c r="V1212">
        <v>37.6</v>
      </c>
    </row>
    <row r="1213" spans="1:22" x14ac:dyDescent="0.35">
      <c r="A1213" t="s">
        <v>2685</v>
      </c>
      <c r="B1213" t="s">
        <v>1967</v>
      </c>
      <c r="C1213" t="s">
        <v>384</v>
      </c>
      <c r="D1213" t="s">
        <v>385</v>
      </c>
      <c r="E1213" t="s">
        <v>637</v>
      </c>
      <c r="F1213" t="s">
        <v>264</v>
      </c>
      <c r="G1213" t="s">
        <v>797</v>
      </c>
      <c r="H1213" t="s">
        <v>43</v>
      </c>
      <c r="I1213" t="s">
        <v>44</v>
      </c>
      <c r="J1213" t="s">
        <v>798</v>
      </c>
      <c r="K1213" t="s">
        <v>799</v>
      </c>
      <c r="L1213" t="s">
        <v>818</v>
      </c>
      <c r="M1213" s="5">
        <v>45616</v>
      </c>
      <c r="N1213" s="5">
        <v>45617</v>
      </c>
      <c r="O1213">
        <v>12</v>
      </c>
      <c r="P1213">
        <v>14.05</v>
      </c>
      <c r="Q1213">
        <v>19.670000000000002</v>
      </c>
      <c r="R1213">
        <v>0.15</v>
      </c>
      <c r="S1213">
        <v>200.63</v>
      </c>
      <c r="T1213" t="s">
        <v>1134</v>
      </c>
      <c r="U1213">
        <v>168.6</v>
      </c>
      <c r="V1213">
        <v>32.03</v>
      </c>
    </row>
    <row r="1214" spans="1:22" x14ac:dyDescent="0.35">
      <c r="A1214" t="s">
        <v>2686</v>
      </c>
      <c r="B1214" t="s">
        <v>1873</v>
      </c>
      <c r="C1214" t="s">
        <v>606</v>
      </c>
      <c r="D1214" t="s">
        <v>600</v>
      </c>
      <c r="E1214" t="s">
        <v>674</v>
      </c>
      <c r="G1214" t="s">
        <v>48</v>
      </c>
      <c r="H1214" t="s">
        <v>79</v>
      </c>
      <c r="I1214" t="s">
        <v>108</v>
      </c>
      <c r="J1214" t="s">
        <v>798</v>
      </c>
      <c r="K1214" t="s">
        <v>799</v>
      </c>
      <c r="L1214" t="s">
        <v>788</v>
      </c>
      <c r="M1214" s="5">
        <v>45699</v>
      </c>
      <c r="N1214" s="5">
        <v>45694</v>
      </c>
      <c r="O1214">
        <v>3</v>
      </c>
      <c r="P1214">
        <v>9.3000000000000007</v>
      </c>
      <c r="Q1214">
        <v>12.56</v>
      </c>
      <c r="R1214">
        <v>0</v>
      </c>
      <c r="S1214">
        <v>37.68</v>
      </c>
      <c r="T1214" t="s">
        <v>946</v>
      </c>
      <c r="U1214">
        <v>27.9</v>
      </c>
      <c r="V1214">
        <v>9.7799999999999994</v>
      </c>
    </row>
    <row r="1215" spans="1:22" x14ac:dyDescent="0.35">
      <c r="A1215" t="s">
        <v>2687</v>
      </c>
      <c r="B1215" t="s">
        <v>2545</v>
      </c>
      <c r="C1215" t="s">
        <v>559</v>
      </c>
      <c r="D1215" t="s">
        <v>311</v>
      </c>
      <c r="E1215" t="s">
        <v>254</v>
      </c>
      <c r="F1215" t="s">
        <v>235</v>
      </c>
      <c r="G1215" t="s">
        <v>20</v>
      </c>
      <c r="H1215" t="s">
        <v>48</v>
      </c>
      <c r="I1215" t="s">
        <v>135</v>
      </c>
      <c r="J1215" t="s">
        <v>786</v>
      </c>
      <c r="K1215" t="s">
        <v>822</v>
      </c>
      <c r="L1215" t="s">
        <v>800</v>
      </c>
      <c r="M1215" s="5">
        <v>45306</v>
      </c>
      <c r="N1215" s="5">
        <v>45302</v>
      </c>
      <c r="O1215">
        <v>2</v>
      </c>
      <c r="P1215">
        <v>51.72</v>
      </c>
      <c r="Q1215">
        <v>67.239999999999995</v>
      </c>
      <c r="R1215">
        <v>0.05</v>
      </c>
      <c r="S1215">
        <v>127.76</v>
      </c>
      <c r="T1215" t="s">
        <v>935</v>
      </c>
      <c r="U1215">
        <v>103.44</v>
      </c>
      <c r="V1215">
        <v>24.32</v>
      </c>
    </row>
    <row r="1216" spans="1:22" x14ac:dyDescent="0.35">
      <c r="A1216" t="s">
        <v>2688</v>
      </c>
      <c r="B1216" t="s">
        <v>1154</v>
      </c>
      <c r="C1216" t="s">
        <v>283</v>
      </c>
      <c r="D1216" t="s">
        <v>284</v>
      </c>
      <c r="E1216" t="s">
        <v>633</v>
      </c>
      <c r="F1216" t="s">
        <v>264</v>
      </c>
      <c r="G1216" t="s">
        <v>797</v>
      </c>
      <c r="H1216" t="s">
        <v>38</v>
      </c>
      <c r="I1216" t="s">
        <v>172</v>
      </c>
      <c r="J1216" t="s">
        <v>813</v>
      </c>
      <c r="K1216" t="s">
        <v>793</v>
      </c>
      <c r="L1216" t="s">
        <v>800</v>
      </c>
      <c r="M1216" s="5">
        <v>45458</v>
      </c>
      <c r="O1216">
        <v>20</v>
      </c>
      <c r="P1216">
        <v>18.329999999999998</v>
      </c>
      <c r="Q1216">
        <v>22.91</v>
      </c>
      <c r="R1216">
        <v>0</v>
      </c>
      <c r="S1216">
        <v>458.2</v>
      </c>
      <c r="T1216" t="s">
        <v>1017</v>
      </c>
      <c r="U1216">
        <v>366.6</v>
      </c>
      <c r="V1216">
        <v>91.6</v>
      </c>
    </row>
    <row r="1217" spans="1:22" x14ac:dyDescent="0.35">
      <c r="A1217" t="s">
        <v>2689</v>
      </c>
      <c r="B1217" t="s">
        <v>900</v>
      </c>
      <c r="C1217" t="s">
        <v>257</v>
      </c>
      <c r="D1217" t="s">
        <v>258</v>
      </c>
      <c r="E1217" t="s">
        <v>633</v>
      </c>
      <c r="F1217" t="s">
        <v>235</v>
      </c>
      <c r="G1217" t="s">
        <v>20</v>
      </c>
      <c r="H1217" t="s">
        <v>43</v>
      </c>
      <c r="I1217" t="s">
        <v>53</v>
      </c>
      <c r="J1217" t="s">
        <v>786</v>
      </c>
      <c r="K1217" t="s">
        <v>793</v>
      </c>
      <c r="L1217" t="s">
        <v>800</v>
      </c>
      <c r="M1217" s="5">
        <v>45733</v>
      </c>
      <c r="O1217">
        <v>10</v>
      </c>
      <c r="P1217">
        <v>54.93</v>
      </c>
      <c r="Q1217">
        <v>79.650000000000006</v>
      </c>
      <c r="R1217">
        <v>0.05</v>
      </c>
      <c r="S1217">
        <v>756.67</v>
      </c>
      <c r="T1217" t="s">
        <v>963</v>
      </c>
      <c r="U1217">
        <v>549.29999999999995</v>
      </c>
      <c r="V1217">
        <v>207.37</v>
      </c>
    </row>
    <row r="1218" spans="1:22" x14ac:dyDescent="0.35">
      <c r="A1218" t="s">
        <v>2690</v>
      </c>
      <c r="B1218" t="s">
        <v>1878</v>
      </c>
      <c r="C1218" t="s">
        <v>604</v>
      </c>
      <c r="D1218" t="s">
        <v>431</v>
      </c>
      <c r="E1218" t="s">
        <v>681</v>
      </c>
      <c r="F1218" t="s">
        <v>243</v>
      </c>
      <c r="G1218" t="s">
        <v>20</v>
      </c>
      <c r="H1218" t="s">
        <v>79</v>
      </c>
      <c r="I1218" t="s">
        <v>184</v>
      </c>
      <c r="J1218" t="s">
        <v>786</v>
      </c>
      <c r="K1218" t="s">
        <v>822</v>
      </c>
      <c r="L1218" t="s">
        <v>788</v>
      </c>
      <c r="M1218" s="5">
        <v>45429</v>
      </c>
      <c r="N1218" s="5">
        <v>45417</v>
      </c>
      <c r="O1218">
        <v>1</v>
      </c>
      <c r="P1218">
        <v>28.87</v>
      </c>
      <c r="Q1218">
        <v>40.42</v>
      </c>
      <c r="R1218">
        <v>0</v>
      </c>
      <c r="S1218">
        <v>40.42</v>
      </c>
      <c r="T1218" t="s">
        <v>919</v>
      </c>
      <c r="U1218">
        <v>28.87</v>
      </c>
      <c r="V1218">
        <v>11.55</v>
      </c>
    </row>
    <row r="1219" spans="1:22" x14ac:dyDescent="0.35">
      <c r="A1219" t="s">
        <v>2691</v>
      </c>
      <c r="B1219" t="s">
        <v>2030</v>
      </c>
      <c r="C1219" t="s">
        <v>493</v>
      </c>
      <c r="D1219" t="s">
        <v>311</v>
      </c>
      <c r="E1219" t="s">
        <v>637</v>
      </c>
      <c r="F1219" t="s">
        <v>243</v>
      </c>
      <c r="G1219" t="s">
        <v>20</v>
      </c>
      <c r="H1219" t="s">
        <v>14</v>
      </c>
      <c r="I1219" t="s">
        <v>167</v>
      </c>
      <c r="J1219" t="s">
        <v>798</v>
      </c>
      <c r="K1219" t="s">
        <v>793</v>
      </c>
      <c r="L1219" t="s">
        <v>842</v>
      </c>
      <c r="M1219" s="5">
        <v>46041</v>
      </c>
      <c r="O1219">
        <v>12</v>
      </c>
      <c r="P1219">
        <v>18.62</v>
      </c>
      <c r="Q1219">
        <v>26.07</v>
      </c>
      <c r="R1219">
        <v>0.15</v>
      </c>
      <c r="S1219">
        <v>265.91000000000003</v>
      </c>
      <c r="T1219" t="s">
        <v>803</v>
      </c>
      <c r="U1219">
        <v>223.44</v>
      </c>
      <c r="V1219">
        <v>42.47</v>
      </c>
    </row>
    <row r="1220" spans="1:22" x14ac:dyDescent="0.35">
      <c r="A1220" t="s">
        <v>2692</v>
      </c>
      <c r="B1220" t="s">
        <v>1864</v>
      </c>
      <c r="C1220" t="s">
        <v>599</v>
      </c>
      <c r="D1220" t="s">
        <v>600</v>
      </c>
      <c r="E1220" t="s">
        <v>681</v>
      </c>
      <c r="F1220" t="s">
        <v>243</v>
      </c>
      <c r="G1220" t="s">
        <v>797</v>
      </c>
      <c r="H1220" t="s">
        <v>43</v>
      </c>
      <c r="I1220" t="s">
        <v>75</v>
      </c>
      <c r="J1220" t="s">
        <v>813</v>
      </c>
      <c r="K1220" t="s">
        <v>799</v>
      </c>
      <c r="L1220" t="s">
        <v>842</v>
      </c>
      <c r="M1220" s="5">
        <v>45786</v>
      </c>
      <c r="N1220" s="5">
        <v>45790</v>
      </c>
      <c r="O1220">
        <v>1</v>
      </c>
      <c r="P1220">
        <v>24.35</v>
      </c>
      <c r="Q1220">
        <v>34.090000000000003</v>
      </c>
      <c r="R1220">
        <v>0</v>
      </c>
      <c r="S1220">
        <v>34.090000000000003</v>
      </c>
      <c r="T1220" t="s">
        <v>819</v>
      </c>
      <c r="U1220">
        <v>24.35</v>
      </c>
      <c r="V1220">
        <v>9.74</v>
      </c>
    </row>
    <row r="1221" spans="1:22" x14ac:dyDescent="0.35">
      <c r="A1221" t="s">
        <v>2693</v>
      </c>
      <c r="B1221" t="s">
        <v>939</v>
      </c>
      <c r="C1221" t="s">
        <v>364</v>
      </c>
      <c r="D1221" t="s">
        <v>365</v>
      </c>
      <c r="E1221" t="s">
        <v>254</v>
      </c>
      <c r="F1221" t="s">
        <v>243</v>
      </c>
      <c r="G1221" t="s">
        <v>14</v>
      </c>
      <c r="H1221" t="s">
        <v>43</v>
      </c>
      <c r="I1221" t="s">
        <v>58</v>
      </c>
      <c r="J1221" t="s">
        <v>813</v>
      </c>
      <c r="K1221" t="s">
        <v>787</v>
      </c>
      <c r="L1221" t="s">
        <v>800</v>
      </c>
      <c r="M1221" s="5">
        <v>45771</v>
      </c>
      <c r="O1221">
        <v>5</v>
      </c>
      <c r="P1221">
        <v>11.21</v>
      </c>
      <c r="Q1221">
        <v>15.13</v>
      </c>
      <c r="R1221">
        <v>0.15</v>
      </c>
      <c r="S1221">
        <v>64.3</v>
      </c>
      <c r="T1221" t="s">
        <v>859</v>
      </c>
      <c r="U1221">
        <v>56.05</v>
      </c>
      <c r="V1221">
        <v>8.25</v>
      </c>
    </row>
    <row r="1222" spans="1:22" x14ac:dyDescent="0.35">
      <c r="A1222" t="s">
        <v>2694</v>
      </c>
      <c r="B1222" t="s">
        <v>1402</v>
      </c>
      <c r="C1222" t="s">
        <v>376</v>
      </c>
      <c r="D1222" t="s">
        <v>253</v>
      </c>
      <c r="E1222" t="s">
        <v>637</v>
      </c>
      <c r="F1222" t="s">
        <v>264</v>
      </c>
      <c r="G1222" t="s">
        <v>797</v>
      </c>
      <c r="H1222" t="s">
        <v>20</v>
      </c>
      <c r="I1222" t="s">
        <v>159</v>
      </c>
      <c r="J1222" t="s">
        <v>798</v>
      </c>
      <c r="K1222" t="s">
        <v>817</v>
      </c>
      <c r="L1222" t="s">
        <v>788</v>
      </c>
      <c r="M1222" s="5">
        <v>46035</v>
      </c>
      <c r="O1222">
        <v>12</v>
      </c>
      <c r="P1222">
        <v>8.2200000000000006</v>
      </c>
      <c r="Q1222">
        <v>11.1</v>
      </c>
      <c r="R1222">
        <v>0</v>
      </c>
      <c r="S1222">
        <v>133.19999999999999</v>
      </c>
      <c r="T1222" t="s">
        <v>1001</v>
      </c>
      <c r="U1222">
        <v>98.64</v>
      </c>
      <c r="V1222">
        <v>34.56</v>
      </c>
    </row>
    <row r="1223" spans="1:22" x14ac:dyDescent="0.35">
      <c r="A1223" t="s">
        <v>2695</v>
      </c>
      <c r="B1223" t="s">
        <v>858</v>
      </c>
      <c r="C1223" t="s">
        <v>570</v>
      </c>
      <c r="D1223" t="s">
        <v>435</v>
      </c>
      <c r="E1223" t="s">
        <v>254</v>
      </c>
      <c r="F1223" t="s">
        <v>264</v>
      </c>
      <c r="G1223" t="s">
        <v>20</v>
      </c>
      <c r="H1223" t="s">
        <v>48</v>
      </c>
      <c r="I1223" t="s">
        <v>202</v>
      </c>
      <c r="J1223" t="s">
        <v>786</v>
      </c>
      <c r="K1223" t="s">
        <v>799</v>
      </c>
      <c r="L1223" t="s">
        <v>818</v>
      </c>
      <c r="M1223" s="5">
        <v>45764</v>
      </c>
      <c r="N1223" s="5">
        <v>45751</v>
      </c>
      <c r="O1223">
        <v>12</v>
      </c>
      <c r="P1223">
        <v>27</v>
      </c>
      <c r="Q1223">
        <v>39.15</v>
      </c>
      <c r="R1223">
        <v>0</v>
      </c>
      <c r="S1223">
        <v>469.8</v>
      </c>
      <c r="T1223" t="s">
        <v>1001</v>
      </c>
      <c r="U1223">
        <v>324</v>
      </c>
      <c r="V1223">
        <v>145.80000000000001</v>
      </c>
    </row>
    <row r="1224" spans="1:22" x14ac:dyDescent="0.35">
      <c r="A1224" t="s">
        <v>2696</v>
      </c>
      <c r="B1224" t="s">
        <v>1176</v>
      </c>
      <c r="C1224" t="s">
        <v>315</v>
      </c>
      <c r="D1224" t="s">
        <v>316</v>
      </c>
      <c r="E1224" t="s">
        <v>627</v>
      </c>
      <c r="F1224" t="s">
        <v>235</v>
      </c>
      <c r="G1224" t="s">
        <v>797</v>
      </c>
      <c r="H1224" t="s">
        <v>43</v>
      </c>
      <c r="I1224" t="s">
        <v>215</v>
      </c>
      <c r="J1224" t="s">
        <v>786</v>
      </c>
      <c r="K1224" t="s">
        <v>799</v>
      </c>
      <c r="L1224" t="s">
        <v>800</v>
      </c>
      <c r="M1224" s="5">
        <v>45599</v>
      </c>
      <c r="N1224" s="5">
        <v>45594</v>
      </c>
      <c r="O1224">
        <v>5</v>
      </c>
      <c r="P1224">
        <v>28.96</v>
      </c>
      <c r="Q1224">
        <v>40.54</v>
      </c>
      <c r="R1224">
        <v>0.15</v>
      </c>
      <c r="S1224">
        <v>172.29</v>
      </c>
      <c r="T1224" t="s">
        <v>814</v>
      </c>
      <c r="U1224">
        <v>144.80000000000001</v>
      </c>
      <c r="V1224">
        <v>27.49</v>
      </c>
    </row>
    <row r="1225" spans="1:22" x14ac:dyDescent="0.35">
      <c r="A1225" t="s">
        <v>2697</v>
      </c>
      <c r="B1225" t="s">
        <v>1103</v>
      </c>
      <c r="C1225" t="s">
        <v>434</v>
      </c>
      <c r="D1225" t="s">
        <v>435</v>
      </c>
      <c r="E1225" t="s">
        <v>681</v>
      </c>
      <c r="F1225" t="s">
        <v>264</v>
      </c>
      <c r="G1225" t="s">
        <v>14</v>
      </c>
      <c r="H1225" t="s">
        <v>29</v>
      </c>
      <c r="I1225" t="s">
        <v>49</v>
      </c>
      <c r="J1225" t="s">
        <v>798</v>
      </c>
      <c r="K1225" t="s">
        <v>799</v>
      </c>
      <c r="L1225" t="s">
        <v>800</v>
      </c>
      <c r="M1225" s="5">
        <v>45852</v>
      </c>
      <c r="N1225" s="5">
        <v>45850</v>
      </c>
      <c r="O1225">
        <v>12</v>
      </c>
      <c r="P1225">
        <v>14.89</v>
      </c>
      <c r="Q1225">
        <v>20.85</v>
      </c>
      <c r="R1225">
        <v>0.05</v>
      </c>
      <c r="S1225">
        <v>237.69</v>
      </c>
      <c r="T1225" t="s">
        <v>814</v>
      </c>
      <c r="U1225">
        <v>178.68</v>
      </c>
      <c r="V1225">
        <v>59.01</v>
      </c>
    </row>
    <row r="1226" spans="1:22" x14ac:dyDescent="0.35">
      <c r="A1226" t="s">
        <v>2698</v>
      </c>
      <c r="B1226" t="s">
        <v>1264</v>
      </c>
      <c r="C1226" t="s">
        <v>578</v>
      </c>
      <c r="D1226" t="s">
        <v>368</v>
      </c>
      <c r="E1226" t="s">
        <v>627</v>
      </c>
      <c r="F1226" t="s">
        <v>235</v>
      </c>
      <c r="G1226" t="s">
        <v>797</v>
      </c>
      <c r="H1226" t="s">
        <v>14</v>
      </c>
      <c r="I1226" t="s">
        <v>169</v>
      </c>
      <c r="J1226" t="s">
        <v>786</v>
      </c>
      <c r="K1226" t="s">
        <v>787</v>
      </c>
      <c r="L1226" t="s">
        <v>800</v>
      </c>
      <c r="M1226" s="5">
        <v>45457</v>
      </c>
      <c r="O1226">
        <v>2</v>
      </c>
      <c r="P1226">
        <v>40.590000000000003</v>
      </c>
      <c r="Q1226">
        <v>58.86</v>
      </c>
      <c r="R1226">
        <v>0</v>
      </c>
      <c r="S1226">
        <v>117.72</v>
      </c>
      <c r="T1226" t="s">
        <v>1134</v>
      </c>
      <c r="U1226">
        <v>81.180000000000007</v>
      </c>
      <c r="V1226">
        <v>36.54</v>
      </c>
    </row>
    <row r="1227" spans="1:22" x14ac:dyDescent="0.35">
      <c r="A1227" t="s">
        <v>2699</v>
      </c>
      <c r="B1227" t="s">
        <v>1313</v>
      </c>
      <c r="C1227" t="s">
        <v>497</v>
      </c>
      <c r="D1227" t="s">
        <v>296</v>
      </c>
      <c r="E1227" t="s">
        <v>696</v>
      </c>
      <c r="F1227" t="s">
        <v>235</v>
      </c>
      <c r="G1227" t="s">
        <v>20</v>
      </c>
      <c r="H1227" t="s">
        <v>14</v>
      </c>
      <c r="I1227" t="s">
        <v>63</v>
      </c>
      <c r="J1227" t="s">
        <v>786</v>
      </c>
      <c r="K1227" t="s">
        <v>787</v>
      </c>
      <c r="L1227" t="s">
        <v>842</v>
      </c>
      <c r="M1227" s="5">
        <v>45673</v>
      </c>
      <c r="O1227">
        <v>12</v>
      </c>
      <c r="P1227">
        <v>13.03</v>
      </c>
      <c r="Q1227">
        <v>16.29</v>
      </c>
      <c r="R1227">
        <v>0</v>
      </c>
      <c r="S1227">
        <v>195.48</v>
      </c>
      <c r="T1227" t="s">
        <v>892</v>
      </c>
      <c r="U1227">
        <v>156.36000000000001</v>
      </c>
      <c r="V1227">
        <v>39.119999999999997</v>
      </c>
    </row>
    <row r="1228" spans="1:22" x14ac:dyDescent="0.35">
      <c r="A1228" t="s">
        <v>2700</v>
      </c>
      <c r="B1228" t="s">
        <v>903</v>
      </c>
      <c r="C1228" t="s">
        <v>552</v>
      </c>
      <c r="D1228" t="s">
        <v>553</v>
      </c>
      <c r="E1228" t="s">
        <v>633</v>
      </c>
      <c r="F1228" t="s">
        <v>235</v>
      </c>
      <c r="G1228" t="s">
        <v>14</v>
      </c>
      <c r="H1228" t="s">
        <v>8</v>
      </c>
      <c r="I1228" t="s">
        <v>174</v>
      </c>
      <c r="J1228" t="s">
        <v>786</v>
      </c>
      <c r="K1228" t="s">
        <v>787</v>
      </c>
      <c r="L1228" t="s">
        <v>788</v>
      </c>
      <c r="M1228" s="5">
        <v>45946</v>
      </c>
      <c r="O1228">
        <v>3</v>
      </c>
      <c r="P1228">
        <v>32.53</v>
      </c>
      <c r="Q1228">
        <v>43.92</v>
      </c>
      <c r="R1228">
        <v>0</v>
      </c>
      <c r="S1228">
        <v>131.76</v>
      </c>
      <c r="T1228" t="s">
        <v>1001</v>
      </c>
      <c r="U1228">
        <v>97.59</v>
      </c>
      <c r="V1228">
        <v>34.17</v>
      </c>
    </row>
    <row r="1229" spans="1:22" x14ac:dyDescent="0.35">
      <c r="A1229" t="s">
        <v>2701</v>
      </c>
      <c r="B1229" t="s">
        <v>1729</v>
      </c>
      <c r="C1229" t="s">
        <v>475</v>
      </c>
      <c r="D1229" t="s">
        <v>476</v>
      </c>
      <c r="E1229" t="s">
        <v>254</v>
      </c>
      <c r="F1229" t="s">
        <v>243</v>
      </c>
      <c r="G1229" t="s">
        <v>48</v>
      </c>
      <c r="H1229" t="s">
        <v>43</v>
      </c>
      <c r="I1229" t="s">
        <v>99</v>
      </c>
      <c r="J1229" t="s">
        <v>798</v>
      </c>
      <c r="K1229" t="s">
        <v>799</v>
      </c>
      <c r="L1229" t="s">
        <v>842</v>
      </c>
      <c r="M1229" s="5">
        <v>45704</v>
      </c>
      <c r="N1229" s="5">
        <v>45700</v>
      </c>
      <c r="O1229">
        <v>5</v>
      </c>
      <c r="P1229">
        <v>10.88</v>
      </c>
      <c r="Q1229">
        <v>15.78</v>
      </c>
      <c r="R1229">
        <v>0</v>
      </c>
      <c r="S1229">
        <v>78.900000000000006</v>
      </c>
      <c r="T1229" t="s">
        <v>790</v>
      </c>
      <c r="U1229">
        <v>54.4</v>
      </c>
      <c r="V1229">
        <v>24.5</v>
      </c>
    </row>
    <row r="1230" spans="1:22" x14ac:dyDescent="0.35">
      <c r="A1230" t="s">
        <v>2702</v>
      </c>
      <c r="B1230" t="s">
        <v>2703</v>
      </c>
      <c r="C1230" t="s">
        <v>582</v>
      </c>
      <c r="D1230" t="s">
        <v>583</v>
      </c>
      <c r="E1230" t="s">
        <v>681</v>
      </c>
      <c r="F1230" t="s">
        <v>264</v>
      </c>
      <c r="G1230" t="s">
        <v>20</v>
      </c>
      <c r="H1230" t="s">
        <v>8</v>
      </c>
      <c r="I1230" t="s">
        <v>10</v>
      </c>
      <c r="J1230" t="s">
        <v>798</v>
      </c>
      <c r="K1230" t="s">
        <v>793</v>
      </c>
      <c r="L1230" t="s">
        <v>800</v>
      </c>
      <c r="M1230" s="5">
        <v>46056</v>
      </c>
      <c r="O1230">
        <v>1</v>
      </c>
      <c r="P1230">
        <v>22.74</v>
      </c>
      <c r="Q1230">
        <v>28.42</v>
      </c>
      <c r="R1230">
        <v>0.1</v>
      </c>
      <c r="S1230">
        <v>25.58</v>
      </c>
      <c r="T1230" t="s">
        <v>935</v>
      </c>
      <c r="U1230">
        <v>22.74</v>
      </c>
      <c r="V1230">
        <v>2.84</v>
      </c>
    </row>
    <row r="1231" spans="1:22" x14ac:dyDescent="0.35">
      <c r="A1231" t="s">
        <v>2704</v>
      </c>
      <c r="B1231" t="s">
        <v>1212</v>
      </c>
      <c r="C1231" t="s">
        <v>465</v>
      </c>
      <c r="D1231" t="s">
        <v>348</v>
      </c>
      <c r="E1231" t="s">
        <v>674</v>
      </c>
      <c r="F1231" t="s">
        <v>264</v>
      </c>
      <c r="G1231" t="s">
        <v>14</v>
      </c>
      <c r="H1231" t="s">
        <v>43</v>
      </c>
      <c r="I1231" t="s">
        <v>99</v>
      </c>
      <c r="J1231" t="s">
        <v>798</v>
      </c>
      <c r="K1231" t="s">
        <v>799</v>
      </c>
      <c r="L1231" t="s">
        <v>842</v>
      </c>
      <c r="M1231" s="5">
        <v>45834</v>
      </c>
      <c r="N1231" s="5">
        <v>45835</v>
      </c>
      <c r="O1231">
        <v>20</v>
      </c>
      <c r="P1231">
        <v>10.88</v>
      </c>
      <c r="Q1231">
        <v>15.78</v>
      </c>
      <c r="R1231">
        <v>0</v>
      </c>
      <c r="S1231">
        <v>315.60000000000002</v>
      </c>
      <c r="T1231" t="s">
        <v>869</v>
      </c>
      <c r="U1231">
        <v>217.6</v>
      </c>
      <c r="V1231">
        <v>98</v>
      </c>
    </row>
    <row r="1232" spans="1:22" x14ac:dyDescent="0.35">
      <c r="A1232" t="s">
        <v>2705</v>
      </c>
      <c r="B1232" t="s">
        <v>1311</v>
      </c>
      <c r="C1232" t="s">
        <v>593</v>
      </c>
      <c r="D1232" t="s">
        <v>594</v>
      </c>
      <c r="E1232" t="s">
        <v>254</v>
      </c>
      <c r="F1232" t="s">
        <v>243</v>
      </c>
      <c r="G1232" t="s">
        <v>20</v>
      </c>
      <c r="H1232" t="s">
        <v>29</v>
      </c>
      <c r="I1232" t="s">
        <v>191</v>
      </c>
      <c r="J1232" t="s">
        <v>786</v>
      </c>
      <c r="K1232" t="s">
        <v>799</v>
      </c>
      <c r="L1232" t="s">
        <v>818</v>
      </c>
      <c r="M1232" s="5">
        <v>45465</v>
      </c>
      <c r="N1232" s="5">
        <v>45456</v>
      </c>
      <c r="O1232">
        <v>2</v>
      </c>
      <c r="P1232">
        <v>11.26</v>
      </c>
      <c r="Q1232">
        <v>15.2</v>
      </c>
      <c r="R1232">
        <v>0</v>
      </c>
      <c r="S1232">
        <v>30.4</v>
      </c>
      <c r="T1232" t="s">
        <v>834</v>
      </c>
      <c r="U1232">
        <v>22.52</v>
      </c>
      <c r="V1232">
        <v>7.88</v>
      </c>
    </row>
    <row r="1233" spans="1:22" x14ac:dyDescent="0.35">
      <c r="A1233" t="s">
        <v>2706</v>
      </c>
      <c r="B1233" t="s">
        <v>921</v>
      </c>
      <c r="C1233" t="s">
        <v>425</v>
      </c>
      <c r="D1233" t="s">
        <v>404</v>
      </c>
      <c r="E1233" t="s">
        <v>637</v>
      </c>
      <c r="F1233" t="s">
        <v>264</v>
      </c>
      <c r="G1233" t="s">
        <v>797</v>
      </c>
      <c r="H1233" t="s">
        <v>8</v>
      </c>
      <c r="I1233" t="s">
        <v>65</v>
      </c>
      <c r="J1233" t="s">
        <v>798</v>
      </c>
      <c r="K1233" t="s">
        <v>822</v>
      </c>
      <c r="L1233" t="s">
        <v>788</v>
      </c>
      <c r="M1233" s="5">
        <v>45546</v>
      </c>
      <c r="N1233" s="5">
        <v>45540</v>
      </c>
      <c r="O1233">
        <v>3</v>
      </c>
      <c r="P1233">
        <v>30.16</v>
      </c>
      <c r="Q1233">
        <v>40.72</v>
      </c>
      <c r="R1233">
        <v>0</v>
      </c>
      <c r="S1233">
        <v>122.16</v>
      </c>
      <c r="T1233" t="s">
        <v>839</v>
      </c>
      <c r="U1233">
        <v>90.48</v>
      </c>
      <c r="V1233">
        <v>31.68</v>
      </c>
    </row>
    <row r="1234" spans="1:22" x14ac:dyDescent="0.35">
      <c r="A1234" t="s">
        <v>2707</v>
      </c>
      <c r="B1234" t="s">
        <v>1630</v>
      </c>
      <c r="C1234" t="s">
        <v>379</v>
      </c>
      <c r="D1234" t="s">
        <v>380</v>
      </c>
      <c r="E1234" t="s">
        <v>674</v>
      </c>
      <c r="F1234" t="s">
        <v>264</v>
      </c>
      <c r="G1234" t="s">
        <v>20</v>
      </c>
      <c r="H1234" t="s">
        <v>43</v>
      </c>
      <c r="I1234" t="s">
        <v>75</v>
      </c>
      <c r="J1234" t="s">
        <v>798</v>
      </c>
      <c r="K1234" t="s">
        <v>787</v>
      </c>
      <c r="L1234" t="s">
        <v>818</v>
      </c>
      <c r="M1234" s="5">
        <v>45601</v>
      </c>
      <c r="O1234">
        <v>2</v>
      </c>
      <c r="P1234">
        <v>24.35</v>
      </c>
      <c r="Q1234">
        <v>34.090000000000003</v>
      </c>
      <c r="R1234">
        <v>0</v>
      </c>
      <c r="S1234">
        <v>68.180000000000007</v>
      </c>
      <c r="T1234" t="s">
        <v>876</v>
      </c>
      <c r="U1234">
        <v>48.7</v>
      </c>
      <c r="V1234">
        <v>19.48</v>
      </c>
    </row>
    <row r="1235" spans="1:22" x14ac:dyDescent="0.35">
      <c r="A1235" t="s">
        <v>2708</v>
      </c>
      <c r="B1235" t="s">
        <v>1286</v>
      </c>
      <c r="C1235" t="s">
        <v>244</v>
      </c>
      <c r="D1235" t="s">
        <v>245</v>
      </c>
      <c r="E1235" t="s">
        <v>681</v>
      </c>
      <c r="F1235" t="s">
        <v>235</v>
      </c>
      <c r="G1235" t="s">
        <v>14</v>
      </c>
      <c r="H1235" t="s">
        <v>20</v>
      </c>
      <c r="I1235" t="s">
        <v>188</v>
      </c>
      <c r="J1235" t="s">
        <v>798</v>
      </c>
      <c r="K1235" t="s">
        <v>793</v>
      </c>
      <c r="L1235" t="s">
        <v>800</v>
      </c>
      <c r="M1235" s="5">
        <v>45665</v>
      </c>
      <c r="O1235">
        <v>5</v>
      </c>
      <c r="P1235">
        <v>24.6</v>
      </c>
      <c r="Q1235">
        <v>35.67</v>
      </c>
      <c r="R1235">
        <v>0.05</v>
      </c>
      <c r="S1235">
        <v>169.43</v>
      </c>
      <c r="T1235" t="s">
        <v>946</v>
      </c>
      <c r="U1235">
        <v>123</v>
      </c>
      <c r="V1235">
        <v>46.43</v>
      </c>
    </row>
    <row r="1236" spans="1:22" x14ac:dyDescent="0.35">
      <c r="A1236" t="s">
        <v>2709</v>
      </c>
      <c r="B1236" t="s">
        <v>878</v>
      </c>
      <c r="C1236" t="s">
        <v>564</v>
      </c>
      <c r="D1236" t="s">
        <v>526</v>
      </c>
      <c r="E1236" t="s">
        <v>627</v>
      </c>
      <c r="F1236" t="s">
        <v>243</v>
      </c>
      <c r="G1236" t="s">
        <v>14</v>
      </c>
      <c r="H1236" t="s">
        <v>48</v>
      </c>
      <c r="I1236" t="s">
        <v>219</v>
      </c>
      <c r="J1236" t="s">
        <v>798</v>
      </c>
      <c r="K1236" t="s">
        <v>817</v>
      </c>
      <c r="L1236" t="s">
        <v>818</v>
      </c>
      <c r="M1236" s="5">
        <v>45902</v>
      </c>
      <c r="O1236">
        <v>2</v>
      </c>
      <c r="P1236">
        <v>12.9</v>
      </c>
      <c r="Q1236">
        <v>18.7</v>
      </c>
      <c r="R1236">
        <v>0</v>
      </c>
      <c r="S1236">
        <v>37.4</v>
      </c>
      <c r="T1236" t="s">
        <v>814</v>
      </c>
      <c r="U1236">
        <v>25.8</v>
      </c>
      <c r="V1236">
        <v>11.6</v>
      </c>
    </row>
    <row r="1237" spans="1:22" x14ac:dyDescent="0.35">
      <c r="A1237" t="s">
        <v>2710</v>
      </c>
      <c r="B1237" t="s">
        <v>1475</v>
      </c>
      <c r="C1237" t="s">
        <v>588</v>
      </c>
      <c r="D1237" t="s">
        <v>435</v>
      </c>
      <c r="E1237" t="s">
        <v>696</v>
      </c>
      <c r="F1237" t="s">
        <v>264</v>
      </c>
      <c r="G1237" t="s">
        <v>20</v>
      </c>
      <c r="H1237" t="s">
        <v>8</v>
      </c>
      <c r="I1237" t="s">
        <v>198</v>
      </c>
      <c r="J1237" t="s">
        <v>798</v>
      </c>
      <c r="K1237" t="s">
        <v>799</v>
      </c>
      <c r="L1237" t="s">
        <v>842</v>
      </c>
      <c r="M1237" s="5">
        <v>45330</v>
      </c>
      <c r="N1237" s="5">
        <v>45333</v>
      </c>
      <c r="O1237">
        <v>12</v>
      </c>
      <c r="P1237">
        <v>30.64</v>
      </c>
      <c r="Q1237">
        <v>42.9</v>
      </c>
      <c r="R1237">
        <v>0.05</v>
      </c>
      <c r="S1237">
        <v>489.06</v>
      </c>
      <c r="T1237" t="s">
        <v>1001</v>
      </c>
      <c r="U1237">
        <v>367.68</v>
      </c>
      <c r="V1237">
        <v>121.38</v>
      </c>
    </row>
    <row r="1238" spans="1:22" x14ac:dyDescent="0.35">
      <c r="A1238" t="s">
        <v>2711</v>
      </c>
      <c r="B1238" t="s">
        <v>1084</v>
      </c>
      <c r="C1238" t="s">
        <v>582</v>
      </c>
      <c r="D1238" t="s">
        <v>583</v>
      </c>
      <c r="E1238" t="s">
        <v>696</v>
      </c>
      <c r="F1238" t="s">
        <v>264</v>
      </c>
      <c r="G1238" t="s">
        <v>48</v>
      </c>
      <c r="H1238" t="s">
        <v>29</v>
      </c>
      <c r="I1238" t="s">
        <v>121</v>
      </c>
      <c r="J1238" t="s">
        <v>798</v>
      </c>
      <c r="K1238" t="s">
        <v>817</v>
      </c>
      <c r="L1238" t="s">
        <v>842</v>
      </c>
      <c r="M1238" s="5">
        <v>45934</v>
      </c>
      <c r="O1238">
        <v>3</v>
      </c>
      <c r="P1238">
        <v>15.46</v>
      </c>
      <c r="Q1238">
        <v>22.42</v>
      </c>
      <c r="R1238">
        <v>0.05</v>
      </c>
      <c r="S1238">
        <v>63.9</v>
      </c>
      <c r="T1238" t="s">
        <v>1017</v>
      </c>
      <c r="U1238">
        <v>46.38</v>
      </c>
      <c r="V1238">
        <v>17.52</v>
      </c>
    </row>
    <row r="1239" spans="1:22" x14ac:dyDescent="0.35">
      <c r="A1239" t="s">
        <v>2712</v>
      </c>
      <c r="B1239" t="s">
        <v>789</v>
      </c>
      <c r="C1239" t="s">
        <v>312</v>
      </c>
      <c r="D1239" t="s">
        <v>313</v>
      </c>
      <c r="E1239" t="s">
        <v>674</v>
      </c>
      <c r="F1239" t="s">
        <v>235</v>
      </c>
      <c r="G1239" t="s">
        <v>20</v>
      </c>
      <c r="H1239" t="s">
        <v>43</v>
      </c>
      <c r="I1239" t="s">
        <v>200</v>
      </c>
      <c r="J1239" t="s">
        <v>798</v>
      </c>
      <c r="K1239" t="s">
        <v>822</v>
      </c>
      <c r="L1239" t="s">
        <v>818</v>
      </c>
      <c r="M1239" s="5">
        <v>45855</v>
      </c>
      <c r="N1239" s="5">
        <v>45852</v>
      </c>
      <c r="O1239">
        <v>12</v>
      </c>
      <c r="P1239">
        <v>69.23</v>
      </c>
      <c r="Q1239">
        <v>86.54</v>
      </c>
      <c r="R1239">
        <v>0.05</v>
      </c>
      <c r="S1239">
        <v>986.56</v>
      </c>
      <c r="T1239" t="s">
        <v>1134</v>
      </c>
      <c r="U1239">
        <v>830.76</v>
      </c>
      <c r="V1239">
        <v>155.80000000000001</v>
      </c>
    </row>
    <row r="1240" spans="1:22" x14ac:dyDescent="0.35">
      <c r="A1240" t="s">
        <v>2713</v>
      </c>
      <c r="B1240" t="s">
        <v>2072</v>
      </c>
      <c r="C1240" t="s">
        <v>270</v>
      </c>
      <c r="D1240" t="s">
        <v>231</v>
      </c>
      <c r="E1240" t="s">
        <v>633</v>
      </c>
      <c r="F1240" t="s">
        <v>235</v>
      </c>
      <c r="G1240" t="s">
        <v>797</v>
      </c>
      <c r="H1240" t="s">
        <v>43</v>
      </c>
      <c r="I1240" t="s">
        <v>44</v>
      </c>
      <c r="J1240" t="s">
        <v>786</v>
      </c>
      <c r="K1240" t="s">
        <v>799</v>
      </c>
      <c r="L1240" t="s">
        <v>788</v>
      </c>
      <c r="M1240" s="5">
        <v>45924</v>
      </c>
      <c r="N1240" s="5">
        <v>45912</v>
      </c>
      <c r="O1240">
        <v>5</v>
      </c>
      <c r="P1240">
        <v>14.05</v>
      </c>
      <c r="Q1240">
        <v>19.670000000000002</v>
      </c>
      <c r="R1240">
        <v>0.1</v>
      </c>
      <c r="S1240">
        <v>88.52</v>
      </c>
      <c r="T1240" t="s">
        <v>876</v>
      </c>
      <c r="U1240">
        <v>70.25</v>
      </c>
      <c r="V1240">
        <v>18.27</v>
      </c>
    </row>
    <row r="1241" spans="1:22" x14ac:dyDescent="0.35">
      <c r="A1241" t="s">
        <v>2714</v>
      </c>
      <c r="B1241" t="s">
        <v>1662</v>
      </c>
      <c r="C1241" t="s">
        <v>550</v>
      </c>
      <c r="D1241" t="s">
        <v>408</v>
      </c>
      <c r="E1241" t="s">
        <v>637</v>
      </c>
      <c r="F1241" t="s">
        <v>243</v>
      </c>
      <c r="G1241" t="s">
        <v>14</v>
      </c>
      <c r="H1241" t="s">
        <v>48</v>
      </c>
      <c r="I1241" t="s">
        <v>177</v>
      </c>
      <c r="J1241" t="s">
        <v>813</v>
      </c>
      <c r="K1241" t="s">
        <v>799</v>
      </c>
      <c r="L1241" t="s">
        <v>842</v>
      </c>
      <c r="M1241" s="5">
        <v>45305</v>
      </c>
      <c r="N1241" s="5">
        <v>45310</v>
      </c>
      <c r="O1241">
        <v>2</v>
      </c>
      <c r="P1241">
        <v>41.79</v>
      </c>
      <c r="Q1241">
        <v>60.6</v>
      </c>
      <c r="R1241">
        <v>0.1</v>
      </c>
      <c r="S1241">
        <v>109.08</v>
      </c>
      <c r="T1241" t="s">
        <v>810</v>
      </c>
      <c r="U1241">
        <v>83.58</v>
      </c>
      <c r="V1241">
        <v>25.5</v>
      </c>
    </row>
    <row r="1242" spans="1:22" x14ac:dyDescent="0.35">
      <c r="A1242" t="s">
        <v>2715</v>
      </c>
      <c r="B1242" t="s">
        <v>1320</v>
      </c>
      <c r="C1242" t="s">
        <v>463</v>
      </c>
      <c r="D1242" t="s">
        <v>464</v>
      </c>
      <c r="E1242" t="s">
        <v>637</v>
      </c>
      <c r="F1242" t="s">
        <v>264</v>
      </c>
      <c r="G1242" t="s">
        <v>48</v>
      </c>
      <c r="H1242" t="s">
        <v>48</v>
      </c>
      <c r="I1242" t="s">
        <v>135</v>
      </c>
      <c r="J1242" t="s">
        <v>798</v>
      </c>
      <c r="K1242" t="s">
        <v>787</v>
      </c>
      <c r="L1242" t="s">
        <v>842</v>
      </c>
      <c r="M1242" s="5">
        <v>45580</v>
      </c>
      <c r="O1242">
        <v>1</v>
      </c>
      <c r="P1242">
        <v>51.72</v>
      </c>
      <c r="Q1242">
        <v>67.239999999999995</v>
      </c>
      <c r="R1242">
        <v>0.15</v>
      </c>
      <c r="S1242">
        <v>57.15</v>
      </c>
      <c r="T1242" t="s">
        <v>892</v>
      </c>
      <c r="U1242">
        <v>51.72</v>
      </c>
      <c r="V1242">
        <v>5.43</v>
      </c>
    </row>
    <row r="1243" spans="1:22" x14ac:dyDescent="0.35">
      <c r="A1243" t="s">
        <v>2716</v>
      </c>
      <c r="B1243" t="s">
        <v>1158</v>
      </c>
      <c r="C1243" t="s">
        <v>491</v>
      </c>
      <c r="D1243" t="s">
        <v>492</v>
      </c>
      <c r="E1243" t="s">
        <v>633</v>
      </c>
      <c r="F1243" t="s">
        <v>264</v>
      </c>
      <c r="G1243" t="s">
        <v>20</v>
      </c>
      <c r="H1243" t="s">
        <v>38</v>
      </c>
      <c r="I1243" t="s">
        <v>130</v>
      </c>
      <c r="J1243" t="s">
        <v>813</v>
      </c>
      <c r="K1243" t="s">
        <v>799</v>
      </c>
      <c r="L1243" t="s">
        <v>818</v>
      </c>
      <c r="M1243" s="5">
        <v>45797</v>
      </c>
      <c r="N1243" s="5">
        <v>45797</v>
      </c>
      <c r="O1243">
        <v>2</v>
      </c>
      <c r="P1243">
        <v>13.35</v>
      </c>
      <c r="Q1243">
        <v>17.36</v>
      </c>
      <c r="R1243">
        <v>0</v>
      </c>
      <c r="S1243">
        <v>34.72</v>
      </c>
      <c r="T1243" t="s">
        <v>825</v>
      </c>
      <c r="U1243">
        <v>26.7</v>
      </c>
      <c r="V1243">
        <v>8.02</v>
      </c>
    </row>
    <row r="1244" spans="1:22" x14ac:dyDescent="0.35">
      <c r="A1244" t="s">
        <v>2717</v>
      </c>
      <c r="B1244" t="s">
        <v>1815</v>
      </c>
      <c r="C1244" t="s">
        <v>502</v>
      </c>
      <c r="D1244" t="s">
        <v>503</v>
      </c>
      <c r="E1244" t="s">
        <v>696</v>
      </c>
      <c r="F1244" t="s">
        <v>235</v>
      </c>
      <c r="G1244" t="s">
        <v>797</v>
      </c>
      <c r="H1244" t="s">
        <v>43</v>
      </c>
      <c r="I1244" t="s">
        <v>75</v>
      </c>
      <c r="J1244" t="s">
        <v>798</v>
      </c>
      <c r="K1244" t="s">
        <v>799</v>
      </c>
      <c r="L1244" t="s">
        <v>788</v>
      </c>
      <c r="M1244" s="5">
        <v>45377</v>
      </c>
      <c r="N1244" s="5">
        <v>45375</v>
      </c>
      <c r="O1244">
        <v>5</v>
      </c>
      <c r="P1244">
        <v>24.35</v>
      </c>
      <c r="Q1244">
        <v>34.090000000000003</v>
      </c>
      <c r="R1244">
        <v>0.05</v>
      </c>
      <c r="S1244">
        <v>161.93</v>
      </c>
      <c r="T1244" t="s">
        <v>829</v>
      </c>
      <c r="U1244">
        <v>121.75</v>
      </c>
      <c r="V1244">
        <v>40.18</v>
      </c>
    </row>
    <row r="1245" spans="1:22" x14ac:dyDescent="0.35">
      <c r="A1245" t="s">
        <v>2718</v>
      </c>
      <c r="B1245" t="s">
        <v>754</v>
      </c>
      <c r="C1245" t="s">
        <v>442</v>
      </c>
      <c r="D1245" t="s">
        <v>443</v>
      </c>
      <c r="E1245" t="s">
        <v>637</v>
      </c>
      <c r="F1245" t="s">
        <v>235</v>
      </c>
      <c r="G1245" t="s">
        <v>14</v>
      </c>
      <c r="H1245" t="s">
        <v>8</v>
      </c>
      <c r="I1245" t="s">
        <v>212</v>
      </c>
      <c r="J1245" t="s">
        <v>786</v>
      </c>
      <c r="K1245" t="s">
        <v>793</v>
      </c>
      <c r="L1245" t="s">
        <v>818</v>
      </c>
      <c r="M1245" s="5">
        <v>45493</v>
      </c>
      <c r="O1245">
        <v>5</v>
      </c>
      <c r="P1245">
        <v>95.09</v>
      </c>
      <c r="Q1245">
        <v>133.13</v>
      </c>
      <c r="R1245">
        <v>0.15</v>
      </c>
      <c r="S1245">
        <v>565.79999999999995</v>
      </c>
      <c r="T1245" t="s">
        <v>919</v>
      </c>
      <c r="U1245">
        <v>475.45</v>
      </c>
      <c r="V1245">
        <v>90.35</v>
      </c>
    </row>
    <row r="1246" spans="1:22" x14ac:dyDescent="0.35">
      <c r="A1246" t="s">
        <v>2719</v>
      </c>
      <c r="B1246" t="s">
        <v>1339</v>
      </c>
      <c r="C1246" t="s">
        <v>345</v>
      </c>
      <c r="D1246" t="s">
        <v>346</v>
      </c>
      <c r="E1246" t="s">
        <v>674</v>
      </c>
      <c r="F1246" t="s">
        <v>264</v>
      </c>
      <c r="G1246" t="s">
        <v>20</v>
      </c>
      <c r="H1246" t="s">
        <v>38</v>
      </c>
      <c r="I1246" t="s">
        <v>71</v>
      </c>
      <c r="J1246" t="s">
        <v>786</v>
      </c>
      <c r="K1246" t="s">
        <v>799</v>
      </c>
      <c r="L1246" t="s">
        <v>818</v>
      </c>
      <c r="M1246" s="5">
        <v>45409</v>
      </c>
      <c r="N1246" s="5">
        <v>45402</v>
      </c>
      <c r="O1246">
        <v>12</v>
      </c>
      <c r="P1246">
        <v>17.62</v>
      </c>
      <c r="Q1246">
        <v>24.67</v>
      </c>
      <c r="R1246">
        <v>0.05</v>
      </c>
      <c r="S1246">
        <v>281.24</v>
      </c>
      <c r="T1246" t="s">
        <v>814</v>
      </c>
      <c r="U1246">
        <v>211.44</v>
      </c>
      <c r="V1246">
        <v>69.8</v>
      </c>
    </row>
    <row r="1247" spans="1:22" x14ac:dyDescent="0.35">
      <c r="A1247" t="s">
        <v>2720</v>
      </c>
      <c r="B1247" t="s">
        <v>1603</v>
      </c>
      <c r="C1247" t="s">
        <v>585</v>
      </c>
      <c r="D1247" t="s">
        <v>586</v>
      </c>
      <c r="E1247" t="s">
        <v>633</v>
      </c>
      <c r="F1247" t="s">
        <v>235</v>
      </c>
      <c r="G1247" t="s">
        <v>14</v>
      </c>
      <c r="H1247" t="s">
        <v>20</v>
      </c>
      <c r="I1247" t="s">
        <v>39</v>
      </c>
      <c r="J1247" t="s">
        <v>813</v>
      </c>
      <c r="K1247" t="s">
        <v>799</v>
      </c>
      <c r="L1247" t="s">
        <v>800</v>
      </c>
      <c r="M1247" s="5">
        <v>45316</v>
      </c>
      <c r="N1247" s="5">
        <v>45320</v>
      </c>
      <c r="O1247">
        <v>10</v>
      </c>
      <c r="P1247">
        <v>9.5</v>
      </c>
      <c r="Q1247">
        <v>12.83</v>
      </c>
      <c r="R1247">
        <v>0.05</v>
      </c>
      <c r="S1247">
        <v>121.89</v>
      </c>
      <c r="T1247" t="s">
        <v>790</v>
      </c>
      <c r="U1247">
        <v>95</v>
      </c>
      <c r="V1247">
        <v>26.89</v>
      </c>
    </row>
    <row r="1248" spans="1:22" x14ac:dyDescent="0.35">
      <c r="A1248" t="s">
        <v>2721</v>
      </c>
      <c r="B1248" t="s">
        <v>1748</v>
      </c>
      <c r="C1248" t="s">
        <v>315</v>
      </c>
      <c r="D1248" t="s">
        <v>316</v>
      </c>
      <c r="E1248" t="s">
        <v>633</v>
      </c>
      <c r="F1248" t="s">
        <v>235</v>
      </c>
      <c r="G1248" t="s">
        <v>20</v>
      </c>
      <c r="H1248" t="s">
        <v>29</v>
      </c>
      <c r="I1248" t="s">
        <v>27</v>
      </c>
      <c r="J1248" t="s">
        <v>798</v>
      </c>
      <c r="K1248" t="s">
        <v>799</v>
      </c>
      <c r="L1248" t="s">
        <v>788</v>
      </c>
      <c r="M1248" s="5">
        <v>45367</v>
      </c>
      <c r="N1248" s="5">
        <v>45361</v>
      </c>
      <c r="O1248">
        <v>20</v>
      </c>
      <c r="P1248">
        <v>33.06</v>
      </c>
      <c r="Q1248">
        <v>47.94</v>
      </c>
      <c r="R1248">
        <v>0</v>
      </c>
      <c r="S1248">
        <v>958.8</v>
      </c>
      <c r="T1248" t="s">
        <v>919</v>
      </c>
      <c r="U1248">
        <v>661.2</v>
      </c>
      <c r="V1248">
        <v>297.60000000000002</v>
      </c>
    </row>
    <row r="1249" spans="1:22" x14ac:dyDescent="0.35">
      <c r="A1249" t="s">
        <v>2722</v>
      </c>
      <c r="B1249" t="s">
        <v>1310</v>
      </c>
      <c r="C1249" t="s">
        <v>541</v>
      </c>
      <c r="D1249" t="s">
        <v>542</v>
      </c>
      <c r="E1249" t="s">
        <v>674</v>
      </c>
      <c r="F1249" t="s">
        <v>235</v>
      </c>
      <c r="G1249" t="s">
        <v>14</v>
      </c>
      <c r="H1249" t="s">
        <v>79</v>
      </c>
      <c r="I1249" t="s">
        <v>108</v>
      </c>
      <c r="J1249" t="s">
        <v>798</v>
      </c>
      <c r="K1249" t="s">
        <v>817</v>
      </c>
      <c r="L1249" t="s">
        <v>800</v>
      </c>
      <c r="M1249" s="5">
        <v>45464</v>
      </c>
      <c r="O1249">
        <v>12</v>
      </c>
      <c r="P1249">
        <v>9.3000000000000007</v>
      </c>
      <c r="Q1249">
        <v>12.56</v>
      </c>
      <c r="R1249">
        <v>0.1</v>
      </c>
      <c r="S1249">
        <v>135.65</v>
      </c>
      <c r="T1249" t="s">
        <v>1017</v>
      </c>
      <c r="U1249">
        <v>111.6</v>
      </c>
      <c r="V1249">
        <v>24.05</v>
      </c>
    </row>
    <row r="1250" spans="1:22" x14ac:dyDescent="0.35">
      <c r="A1250" t="s">
        <v>2723</v>
      </c>
      <c r="B1250" t="s">
        <v>1044</v>
      </c>
      <c r="C1250" t="s">
        <v>573</v>
      </c>
      <c r="D1250" t="s">
        <v>277</v>
      </c>
      <c r="E1250" t="s">
        <v>674</v>
      </c>
      <c r="F1250" t="s">
        <v>235</v>
      </c>
      <c r="G1250" t="s">
        <v>14</v>
      </c>
      <c r="H1250" t="s">
        <v>48</v>
      </c>
      <c r="I1250" t="s">
        <v>139</v>
      </c>
      <c r="J1250" t="s">
        <v>813</v>
      </c>
      <c r="K1250" t="s">
        <v>787</v>
      </c>
      <c r="L1250" t="s">
        <v>788</v>
      </c>
      <c r="M1250" s="5">
        <v>45784</v>
      </c>
      <c r="O1250">
        <v>12</v>
      </c>
      <c r="P1250">
        <v>29.93</v>
      </c>
      <c r="Q1250">
        <v>41.9</v>
      </c>
      <c r="R1250">
        <v>0</v>
      </c>
      <c r="S1250">
        <v>502.8</v>
      </c>
      <c r="T1250" t="s">
        <v>859</v>
      </c>
      <c r="U1250">
        <v>359.16</v>
      </c>
      <c r="V1250">
        <v>143.63999999999999</v>
      </c>
    </row>
    <row r="1251" spans="1:22" x14ac:dyDescent="0.35">
      <c r="A1251" t="s">
        <v>2724</v>
      </c>
      <c r="B1251" t="s">
        <v>966</v>
      </c>
      <c r="C1251" t="s">
        <v>244</v>
      </c>
      <c r="D1251" t="s">
        <v>245</v>
      </c>
      <c r="E1251" t="s">
        <v>633</v>
      </c>
      <c r="F1251" t="s">
        <v>235</v>
      </c>
      <c r="G1251" t="s">
        <v>797</v>
      </c>
      <c r="H1251" t="s">
        <v>14</v>
      </c>
      <c r="I1251" t="s">
        <v>111</v>
      </c>
      <c r="J1251" t="s">
        <v>786</v>
      </c>
      <c r="K1251" t="s">
        <v>787</v>
      </c>
      <c r="L1251" t="s">
        <v>800</v>
      </c>
      <c r="M1251" s="5">
        <v>45442</v>
      </c>
      <c r="O1251">
        <v>3</v>
      </c>
      <c r="P1251">
        <v>19.850000000000001</v>
      </c>
      <c r="Q1251">
        <v>28.78</v>
      </c>
      <c r="R1251">
        <v>0.1</v>
      </c>
      <c r="S1251">
        <v>77.709999999999994</v>
      </c>
      <c r="T1251" t="s">
        <v>892</v>
      </c>
      <c r="U1251">
        <v>59.55</v>
      </c>
      <c r="V1251">
        <v>18.16</v>
      </c>
    </row>
    <row r="1252" spans="1:22" x14ac:dyDescent="0.35">
      <c r="A1252" t="s">
        <v>2725</v>
      </c>
      <c r="B1252" t="s">
        <v>2052</v>
      </c>
      <c r="C1252" t="s">
        <v>345</v>
      </c>
      <c r="D1252" t="s">
        <v>346</v>
      </c>
      <c r="E1252" t="s">
        <v>633</v>
      </c>
      <c r="F1252" t="s">
        <v>264</v>
      </c>
      <c r="G1252" t="s">
        <v>48</v>
      </c>
      <c r="H1252" t="s">
        <v>48</v>
      </c>
      <c r="I1252" t="s">
        <v>54</v>
      </c>
      <c r="J1252" t="s">
        <v>786</v>
      </c>
      <c r="K1252" t="s">
        <v>799</v>
      </c>
      <c r="L1252" t="s">
        <v>788</v>
      </c>
      <c r="M1252" s="5">
        <v>45315</v>
      </c>
      <c r="N1252" s="5">
        <v>45309</v>
      </c>
      <c r="O1252">
        <v>3</v>
      </c>
      <c r="P1252">
        <v>21.67</v>
      </c>
      <c r="Q1252">
        <v>28.17</v>
      </c>
      <c r="R1252">
        <v>0.15</v>
      </c>
      <c r="S1252">
        <v>71.83</v>
      </c>
      <c r="T1252" t="s">
        <v>819</v>
      </c>
      <c r="U1252">
        <v>65.010000000000005</v>
      </c>
      <c r="V1252">
        <v>6.82</v>
      </c>
    </row>
    <row r="1253" spans="1:22" x14ac:dyDescent="0.35">
      <c r="A1253" t="s">
        <v>2726</v>
      </c>
      <c r="B1253" t="s">
        <v>883</v>
      </c>
      <c r="C1253" t="s">
        <v>322</v>
      </c>
      <c r="D1253" t="s">
        <v>245</v>
      </c>
      <c r="E1253" t="s">
        <v>674</v>
      </c>
      <c r="F1253" t="s">
        <v>243</v>
      </c>
      <c r="G1253" t="s">
        <v>797</v>
      </c>
      <c r="H1253" t="s">
        <v>8</v>
      </c>
      <c r="I1253" t="s">
        <v>101</v>
      </c>
      <c r="J1253" t="s">
        <v>798</v>
      </c>
      <c r="K1253" t="s">
        <v>799</v>
      </c>
      <c r="L1253" t="s">
        <v>842</v>
      </c>
      <c r="M1253" s="5">
        <v>45789</v>
      </c>
      <c r="N1253" s="5">
        <v>45785</v>
      </c>
      <c r="O1253">
        <v>10</v>
      </c>
      <c r="P1253">
        <v>16.510000000000002</v>
      </c>
      <c r="Q1253">
        <v>23.94</v>
      </c>
      <c r="R1253">
        <v>0</v>
      </c>
      <c r="S1253">
        <v>239.4</v>
      </c>
      <c r="T1253" t="s">
        <v>825</v>
      </c>
      <c r="U1253">
        <v>165.1</v>
      </c>
      <c r="V1253">
        <v>74.3</v>
      </c>
    </row>
    <row r="1254" spans="1:22" x14ac:dyDescent="0.35">
      <c r="A1254" t="s">
        <v>2727</v>
      </c>
      <c r="B1254" t="s">
        <v>1152</v>
      </c>
      <c r="C1254" t="s">
        <v>609</v>
      </c>
      <c r="D1254" t="s">
        <v>610</v>
      </c>
      <c r="E1254" t="s">
        <v>254</v>
      </c>
      <c r="G1254" t="s">
        <v>14</v>
      </c>
      <c r="H1254" t="s">
        <v>48</v>
      </c>
      <c r="I1254" t="s">
        <v>143</v>
      </c>
      <c r="J1254" t="s">
        <v>786</v>
      </c>
      <c r="K1254" t="s">
        <v>787</v>
      </c>
      <c r="L1254" t="s">
        <v>788</v>
      </c>
      <c r="M1254" s="5">
        <v>45828</v>
      </c>
      <c r="O1254">
        <v>12</v>
      </c>
      <c r="P1254">
        <v>29.93</v>
      </c>
      <c r="Q1254">
        <v>38.909999999999997</v>
      </c>
      <c r="R1254">
        <v>0</v>
      </c>
      <c r="S1254">
        <v>466.92</v>
      </c>
      <c r="T1254" t="s">
        <v>869</v>
      </c>
      <c r="U1254">
        <v>359.16</v>
      </c>
      <c r="V1254">
        <v>107.76</v>
      </c>
    </row>
    <row r="1255" spans="1:22" x14ac:dyDescent="0.35">
      <c r="A1255" t="s">
        <v>2728</v>
      </c>
      <c r="B1255" t="s">
        <v>1533</v>
      </c>
      <c r="C1255" t="s">
        <v>451</v>
      </c>
      <c r="D1255" t="s">
        <v>368</v>
      </c>
      <c r="E1255" t="s">
        <v>674</v>
      </c>
      <c r="F1255" t="s">
        <v>264</v>
      </c>
      <c r="G1255" t="s">
        <v>20</v>
      </c>
      <c r="H1255" t="s">
        <v>14</v>
      </c>
      <c r="I1255" t="s">
        <v>56</v>
      </c>
      <c r="J1255" t="s">
        <v>798</v>
      </c>
      <c r="K1255" t="s">
        <v>799</v>
      </c>
      <c r="L1255" t="s">
        <v>842</v>
      </c>
      <c r="M1255" s="5">
        <v>45722</v>
      </c>
      <c r="N1255" s="5">
        <v>45716</v>
      </c>
      <c r="O1255">
        <v>1</v>
      </c>
      <c r="P1255">
        <v>25.46</v>
      </c>
      <c r="Q1255">
        <v>31.83</v>
      </c>
      <c r="R1255">
        <v>0</v>
      </c>
      <c r="S1255">
        <v>31.83</v>
      </c>
      <c r="T1255" t="s">
        <v>935</v>
      </c>
      <c r="U1255">
        <v>25.46</v>
      </c>
      <c r="V1255">
        <v>6.37</v>
      </c>
    </row>
    <row r="1256" spans="1:22" x14ac:dyDescent="0.35">
      <c r="A1256" t="s">
        <v>2729</v>
      </c>
      <c r="B1256" t="s">
        <v>1391</v>
      </c>
      <c r="C1256" t="s">
        <v>465</v>
      </c>
      <c r="D1256" t="s">
        <v>348</v>
      </c>
      <c r="E1256" t="s">
        <v>696</v>
      </c>
      <c r="F1256" t="s">
        <v>264</v>
      </c>
      <c r="G1256" t="s">
        <v>14</v>
      </c>
      <c r="H1256" t="s">
        <v>29</v>
      </c>
      <c r="I1256" t="s">
        <v>121</v>
      </c>
      <c r="J1256" t="s">
        <v>786</v>
      </c>
      <c r="K1256" t="s">
        <v>799</v>
      </c>
      <c r="L1256" t="s">
        <v>788</v>
      </c>
      <c r="M1256" s="5">
        <v>45503</v>
      </c>
      <c r="N1256" s="5">
        <v>45498</v>
      </c>
      <c r="O1256">
        <v>12</v>
      </c>
      <c r="P1256">
        <v>15.46</v>
      </c>
      <c r="Q1256">
        <v>22.42</v>
      </c>
      <c r="R1256">
        <v>0.05</v>
      </c>
      <c r="S1256">
        <v>255.59</v>
      </c>
      <c r="T1256" t="s">
        <v>946</v>
      </c>
      <c r="U1256">
        <v>185.52</v>
      </c>
      <c r="V1256">
        <v>70.069999999999993</v>
      </c>
    </row>
    <row r="1257" spans="1:22" x14ac:dyDescent="0.35">
      <c r="A1257" t="s">
        <v>2730</v>
      </c>
      <c r="B1257" t="s">
        <v>911</v>
      </c>
      <c r="C1257" t="s">
        <v>607</v>
      </c>
      <c r="D1257" t="s">
        <v>608</v>
      </c>
      <c r="E1257" t="s">
        <v>681</v>
      </c>
      <c r="F1257" t="s">
        <v>264</v>
      </c>
      <c r="G1257" t="s">
        <v>797</v>
      </c>
      <c r="H1257" t="s">
        <v>48</v>
      </c>
      <c r="I1257" t="s">
        <v>143</v>
      </c>
      <c r="J1257" t="s">
        <v>798</v>
      </c>
      <c r="K1257" t="s">
        <v>793</v>
      </c>
      <c r="L1257" t="s">
        <v>842</v>
      </c>
      <c r="M1257" s="5">
        <v>45715</v>
      </c>
      <c r="O1257">
        <v>1</v>
      </c>
      <c r="P1257">
        <v>29.93</v>
      </c>
      <c r="Q1257">
        <v>38.909999999999997</v>
      </c>
      <c r="R1257">
        <v>0.05</v>
      </c>
      <c r="S1257">
        <v>36.96</v>
      </c>
      <c r="T1257" t="s">
        <v>946</v>
      </c>
      <c r="U1257">
        <v>29.93</v>
      </c>
      <c r="V1257">
        <v>7.03</v>
      </c>
    </row>
    <row r="1258" spans="1:22" x14ac:dyDescent="0.35">
      <c r="A1258" t="s">
        <v>2731</v>
      </c>
      <c r="B1258" t="s">
        <v>1475</v>
      </c>
      <c r="C1258" t="s">
        <v>295</v>
      </c>
      <c r="D1258" t="s">
        <v>296</v>
      </c>
      <c r="E1258" t="s">
        <v>627</v>
      </c>
      <c r="F1258" t="s">
        <v>264</v>
      </c>
      <c r="G1258" t="s">
        <v>797</v>
      </c>
      <c r="H1258" t="s">
        <v>20</v>
      </c>
      <c r="I1258" t="s">
        <v>104</v>
      </c>
      <c r="J1258" t="s">
        <v>786</v>
      </c>
      <c r="K1258" t="s">
        <v>787</v>
      </c>
      <c r="L1258" t="s">
        <v>842</v>
      </c>
      <c r="M1258" s="5">
        <v>45337</v>
      </c>
      <c r="O1258">
        <v>3</v>
      </c>
      <c r="P1258">
        <v>43.88</v>
      </c>
      <c r="Q1258">
        <v>54.85</v>
      </c>
      <c r="R1258">
        <v>0</v>
      </c>
      <c r="S1258">
        <v>164.55</v>
      </c>
      <c r="T1258" t="s">
        <v>1017</v>
      </c>
      <c r="U1258">
        <v>131.63999999999999</v>
      </c>
      <c r="V1258">
        <v>32.909999999999997</v>
      </c>
    </row>
    <row r="1259" spans="1:22" x14ac:dyDescent="0.35">
      <c r="A1259" t="s">
        <v>2732</v>
      </c>
      <c r="B1259" t="s">
        <v>1393</v>
      </c>
      <c r="C1259" t="s">
        <v>495</v>
      </c>
      <c r="D1259" t="s">
        <v>496</v>
      </c>
      <c r="E1259" t="s">
        <v>681</v>
      </c>
      <c r="F1259" t="s">
        <v>264</v>
      </c>
      <c r="G1259" t="s">
        <v>20</v>
      </c>
      <c r="H1259" t="s">
        <v>48</v>
      </c>
      <c r="I1259" t="s">
        <v>202</v>
      </c>
      <c r="J1259" t="s">
        <v>786</v>
      </c>
      <c r="K1259" t="s">
        <v>793</v>
      </c>
      <c r="L1259" t="s">
        <v>800</v>
      </c>
      <c r="M1259" s="5">
        <v>45708</v>
      </c>
      <c r="O1259">
        <v>12</v>
      </c>
      <c r="P1259">
        <v>27</v>
      </c>
      <c r="Q1259">
        <v>39.15</v>
      </c>
      <c r="R1259">
        <v>0</v>
      </c>
      <c r="S1259">
        <v>469.8</v>
      </c>
      <c r="T1259" t="s">
        <v>819</v>
      </c>
      <c r="U1259">
        <v>324</v>
      </c>
      <c r="V1259">
        <v>145.80000000000001</v>
      </c>
    </row>
    <row r="1260" spans="1:22" x14ac:dyDescent="0.35">
      <c r="A1260" t="s">
        <v>2733</v>
      </c>
      <c r="B1260" t="s">
        <v>1367</v>
      </c>
      <c r="C1260" t="s">
        <v>462</v>
      </c>
      <c r="D1260" t="s">
        <v>396</v>
      </c>
      <c r="E1260" t="s">
        <v>637</v>
      </c>
      <c r="F1260" t="s">
        <v>264</v>
      </c>
      <c r="G1260" t="s">
        <v>20</v>
      </c>
      <c r="H1260" t="s">
        <v>29</v>
      </c>
      <c r="I1260" t="s">
        <v>106</v>
      </c>
      <c r="J1260" t="s">
        <v>798</v>
      </c>
      <c r="K1260" t="s">
        <v>799</v>
      </c>
      <c r="L1260" t="s">
        <v>788</v>
      </c>
      <c r="M1260" s="5">
        <v>45822</v>
      </c>
      <c r="N1260" s="5">
        <v>45817</v>
      </c>
      <c r="O1260">
        <v>2</v>
      </c>
      <c r="P1260">
        <v>29.64</v>
      </c>
      <c r="Q1260">
        <v>41.5</v>
      </c>
      <c r="R1260">
        <v>0.05</v>
      </c>
      <c r="S1260">
        <v>78.849999999999994</v>
      </c>
      <c r="T1260" t="s">
        <v>1134</v>
      </c>
      <c r="U1260">
        <v>59.28</v>
      </c>
      <c r="V1260">
        <v>19.57</v>
      </c>
    </row>
    <row r="1261" spans="1:22" x14ac:dyDescent="0.35">
      <c r="A1261" t="s">
        <v>2734</v>
      </c>
      <c r="B1261" t="s">
        <v>926</v>
      </c>
      <c r="C1261" t="s">
        <v>442</v>
      </c>
      <c r="D1261" t="s">
        <v>443</v>
      </c>
      <c r="E1261" t="s">
        <v>627</v>
      </c>
      <c r="F1261" t="s">
        <v>235</v>
      </c>
      <c r="G1261" t="s">
        <v>14</v>
      </c>
      <c r="H1261" t="s">
        <v>48</v>
      </c>
      <c r="I1261" t="s">
        <v>179</v>
      </c>
      <c r="J1261" t="s">
        <v>798</v>
      </c>
      <c r="K1261" t="s">
        <v>793</v>
      </c>
      <c r="L1261" t="s">
        <v>800</v>
      </c>
      <c r="M1261" s="5">
        <v>46007</v>
      </c>
      <c r="O1261">
        <v>12</v>
      </c>
      <c r="P1261">
        <v>16.670000000000002</v>
      </c>
      <c r="Q1261">
        <v>22.5</v>
      </c>
      <c r="R1261">
        <v>0</v>
      </c>
      <c r="S1261">
        <v>270</v>
      </c>
      <c r="T1261" t="s">
        <v>859</v>
      </c>
      <c r="U1261">
        <v>200.04</v>
      </c>
      <c r="V1261">
        <v>69.959999999999994</v>
      </c>
    </row>
    <row r="1262" spans="1:22" x14ac:dyDescent="0.35">
      <c r="A1262" t="s">
        <v>2735</v>
      </c>
      <c r="B1262" t="s">
        <v>989</v>
      </c>
      <c r="C1262" t="s">
        <v>390</v>
      </c>
      <c r="D1262" t="s">
        <v>391</v>
      </c>
      <c r="E1262" t="s">
        <v>633</v>
      </c>
      <c r="F1262" t="s">
        <v>235</v>
      </c>
      <c r="G1262" t="s">
        <v>48</v>
      </c>
      <c r="H1262" t="s">
        <v>14</v>
      </c>
      <c r="I1262" t="s">
        <v>25</v>
      </c>
      <c r="J1262" t="s">
        <v>798</v>
      </c>
      <c r="K1262" t="s">
        <v>793</v>
      </c>
      <c r="L1262" t="s">
        <v>788</v>
      </c>
      <c r="M1262" s="5">
        <v>45907</v>
      </c>
      <c r="O1262">
        <v>2</v>
      </c>
      <c r="P1262">
        <v>18.95</v>
      </c>
      <c r="Q1262">
        <v>25.58</v>
      </c>
      <c r="R1262">
        <v>0</v>
      </c>
      <c r="S1262">
        <v>51.16</v>
      </c>
      <c r="T1262" t="s">
        <v>859</v>
      </c>
      <c r="U1262">
        <v>37.9</v>
      </c>
      <c r="V1262">
        <v>13.26</v>
      </c>
    </row>
    <row r="1263" spans="1:22" x14ac:dyDescent="0.35">
      <c r="A1263" t="s">
        <v>2736</v>
      </c>
      <c r="B1263" t="s">
        <v>1408</v>
      </c>
      <c r="C1263" t="s">
        <v>518</v>
      </c>
      <c r="D1263" t="s">
        <v>519</v>
      </c>
      <c r="E1263" t="s">
        <v>681</v>
      </c>
      <c r="F1263" t="s">
        <v>264</v>
      </c>
      <c r="G1263" t="s">
        <v>797</v>
      </c>
      <c r="H1263" t="s">
        <v>14</v>
      </c>
      <c r="I1263" t="s">
        <v>214</v>
      </c>
      <c r="J1263" t="s">
        <v>798</v>
      </c>
      <c r="K1263" t="s">
        <v>793</v>
      </c>
      <c r="L1263" t="s">
        <v>788</v>
      </c>
      <c r="M1263" s="5">
        <v>45495</v>
      </c>
      <c r="O1263">
        <v>20</v>
      </c>
      <c r="P1263">
        <v>22.07</v>
      </c>
      <c r="Q1263">
        <v>27.59</v>
      </c>
      <c r="R1263">
        <v>0.1</v>
      </c>
      <c r="S1263">
        <v>496.62</v>
      </c>
      <c r="T1263" t="s">
        <v>888</v>
      </c>
      <c r="U1263">
        <v>441.4</v>
      </c>
      <c r="V1263">
        <v>55.22</v>
      </c>
    </row>
    <row r="1264" spans="1:22" x14ac:dyDescent="0.35">
      <c r="A1264" t="s">
        <v>2737</v>
      </c>
      <c r="B1264" t="s">
        <v>1199</v>
      </c>
      <c r="C1264" t="s">
        <v>370</v>
      </c>
      <c r="D1264" t="s">
        <v>371</v>
      </c>
      <c r="E1264" t="s">
        <v>681</v>
      </c>
      <c r="F1264" t="s">
        <v>264</v>
      </c>
      <c r="G1264" t="s">
        <v>14</v>
      </c>
      <c r="H1264" t="s">
        <v>8</v>
      </c>
      <c r="I1264" t="s">
        <v>207</v>
      </c>
      <c r="J1264" t="s">
        <v>798</v>
      </c>
      <c r="K1264" t="s">
        <v>799</v>
      </c>
      <c r="L1264" t="s">
        <v>788</v>
      </c>
      <c r="M1264" s="5">
        <v>46003</v>
      </c>
      <c r="N1264" s="5">
        <v>46005</v>
      </c>
      <c r="O1264">
        <v>12</v>
      </c>
      <c r="P1264">
        <v>8.5399999999999991</v>
      </c>
      <c r="Q1264">
        <v>10.67</v>
      </c>
      <c r="R1264">
        <v>0.05</v>
      </c>
      <c r="S1264">
        <v>121.64</v>
      </c>
      <c r="T1264" t="s">
        <v>803</v>
      </c>
      <c r="U1264">
        <v>102.48</v>
      </c>
      <c r="V1264">
        <v>19.16</v>
      </c>
    </row>
    <row r="1265" spans="1:22" x14ac:dyDescent="0.35">
      <c r="A1265" t="s">
        <v>2738</v>
      </c>
      <c r="B1265" t="s">
        <v>848</v>
      </c>
      <c r="C1265" t="s">
        <v>596</v>
      </c>
      <c r="D1265" t="s">
        <v>443</v>
      </c>
      <c r="E1265" t="s">
        <v>681</v>
      </c>
      <c r="F1265" t="s">
        <v>264</v>
      </c>
      <c r="G1265" t="s">
        <v>20</v>
      </c>
      <c r="H1265" t="s">
        <v>29</v>
      </c>
      <c r="I1265" t="s">
        <v>49</v>
      </c>
      <c r="J1265" t="s">
        <v>798</v>
      </c>
      <c r="K1265" t="s">
        <v>793</v>
      </c>
      <c r="L1265" t="s">
        <v>800</v>
      </c>
      <c r="M1265" s="5">
        <v>45476</v>
      </c>
      <c r="O1265">
        <v>5</v>
      </c>
      <c r="P1265">
        <v>14.89</v>
      </c>
      <c r="Q1265">
        <v>20.85</v>
      </c>
      <c r="R1265">
        <v>0</v>
      </c>
      <c r="S1265">
        <v>104.25</v>
      </c>
      <c r="T1265" t="s">
        <v>869</v>
      </c>
      <c r="U1265">
        <v>74.45</v>
      </c>
      <c r="V1265">
        <v>29.8</v>
      </c>
    </row>
    <row r="1266" spans="1:22" x14ac:dyDescent="0.35">
      <c r="A1266" t="s">
        <v>2739</v>
      </c>
      <c r="B1266" t="s">
        <v>1457</v>
      </c>
      <c r="C1266" t="s">
        <v>398</v>
      </c>
      <c r="D1266" t="s">
        <v>399</v>
      </c>
      <c r="E1266" t="s">
        <v>696</v>
      </c>
      <c r="F1266" t="s">
        <v>264</v>
      </c>
      <c r="G1266" t="s">
        <v>14</v>
      </c>
      <c r="H1266" t="s">
        <v>48</v>
      </c>
      <c r="I1266" t="s">
        <v>135</v>
      </c>
      <c r="J1266" t="s">
        <v>798</v>
      </c>
      <c r="K1266" t="s">
        <v>799</v>
      </c>
      <c r="L1266" t="s">
        <v>800</v>
      </c>
      <c r="M1266" s="5">
        <v>45807</v>
      </c>
      <c r="N1266" s="5">
        <v>45810</v>
      </c>
      <c r="O1266">
        <v>1</v>
      </c>
      <c r="P1266">
        <v>51.72</v>
      </c>
      <c r="Q1266">
        <v>67.239999999999995</v>
      </c>
      <c r="R1266">
        <v>0</v>
      </c>
      <c r="S1266">
        <v>67.239999999999995</v>
      </c>
      <c r="T1266" t="s">
        <v>1017</v>
      </c>
      <c r="U1266">
        <v>51.72</v>
      </c>
      <c r="V1266">
        <v>15.52</v>
      </c>
    </row>
    <row r="1267" spans="1:22" x14ac:dyDescent="0.35">
      <c r="A1267" t="s">
        <v>2740</v>
      </c>
      <c r="B1267" t="s">
        <v>744</v>
      </c>
      <c r="C1267" t="s">
        <v>337</v>
      </c>
      <c r="D1267" t="s">
        <v>338</v>
      </c>
      <c r="E1267" t="s">
        <v>696</v>
      </c>
      <c r="F1267" t="s">
        <v>243</v>
      </c>
      <c r="G1267" t="s">
        <v>20</v>
      </c>
      <c r="H1267" t="s">
        <v>8</v>
      </c>
      <c r="I1267" t="s">
        <v>91</v>
      </c>
      <c r="J1267" t="s">
        <v>786</v>
      </c>
      <c r="K1267" t="s">
        <v>787</v>
      </c>
      <c r="L1267" t="s">
        <v>788</v>
      </c>
      <c r="M1267" s="5">
        <v>45379</v>
      </c>
      <c r="O1267">
        <v>1</v>
      </c>
      <c r="P1267">
        <v>36.82</v>
      </c>
      <c r="Q1267">
        <v>47.87</v>
      </c>
      <c r="R1267">
        <v>0</v>
      </c>
      <c r="S1267">
        <v>47.87</v>
      </c>
      <c r="T1267" t="s">
        <v>819</v>
      </c>
      <c r="U1267">
        <v>36.82</v>
      </c>
      <c r="V1267">
        <v>11.05</v>
      </c>
    </row>
    <row r="1268" spans="1:22" x14ac:dyDescent="0.35">
      <c r="A1268" t="s">
        <v>2741</v>
      </c>
      <c r="B1268" t="s">
        <v>1142</v>
      </c>
      <c r="C1268" t="s">
        <v>547</v>
      </c>
      <c r="D1268" t="s">
        <v>375</v>
      </c>
      <c r="E1268" t="s">
        <v>637</v>
      </c>
      <c r="F1268" t="s">
        <v>243</v>
      </c>
      <c r="G1268" t="s">
        <v>797</v>
      </c>
      <c r="H1268" t="s">
        <v>14</v>
      </c>
      <c r="I1268" t="s">
        <v>90</v>
      </c>
      <c r="J1268" t="s">
        <v>798</v>
      </c>
      <c r="K1268" t="s">
        <v>793</v>
      </c>
      <c r="L1268" t="s">
        <v>842</v>
      </c>
      <c r="M1268" s="5">
        <v>45764</v>
      </c>
      <c r="O1268">
        <v>3</v>
      </c>
      <c r="P1268">
        <v>27.34</v>
      </c>
      <c r="Q1268">
        <v>39.64</v>
      </c>
      <c r="R1268">
        <v>0.05</v>
      </c>
      <c r="S1268">
        <v>112.97</v>
      </c>
      <c r="T1268" t="s">
        <v>869</v>
      </c>
      <c r="U1268">
        <v>82.02</v>
      </c>
      <c r="V1268">
        <v>30.95</v>
      </c>
    </row>
    <row r="1269" spans="1:22" x14ac:dyDescent="0.35">
      <c r="A1269" t="s">
        <v>2742</v>
      </c>
      <c r="B1269" t="s">
        <v>1359</v>
      </c>
      <c r="C1269" t="s">
        <v>327</v>
      </c>
      <c r="D1269" t="s">
        <v>328</v>
      </c>
      <c r="E1269" t="s">
        <v>696</v>
      </c>
      <c r="F1269" t="s">
        <v>264</v>
      </c>
      <c r="G1269" t="s">
        <v>797</v>
      </c>
      <c r="H1269" t="s">
        <v>38</v>
      </c>
      <c r="I1269" t="s">
        <v>69</v>
      </c>
      <c r="J1269" t="s">
        <v>798</v>
      </c>
      <c r="K1269" t="s">
        <v>787</v>
      </c>
      <c r="L1269" t="s">
        <v>842</v>
      </c>
      <c r="M1269" s="5">
        <v>45800</v>
      </c>
      <c r="O1269">
        <v>5</v>
      </c>
      <c r="P1269">
        <v>20.9</v>
      </c>
      <c r="Q1269">
        <v>28.21</v>
      </c>
      <c r="R1269">
        <v>0</v>
      </c>
      <c r="S1269">
        <v>141.05000000000001</v>
      </c>
      <c r="T1269" t="s">
        <v>829</v>
      </c>
      <c r="U1269">
        <v>104.5</v>
      </c>
      <c r="V1269">
        <v>36.549999999999997</v>
      </c>
    </row>
    <row r="1270" spans="1:22" x14ac:dyDescent="0.35">
      <c r="A1270" t="s">
        <v>2743</v>
      </c>
      <c r="B1270" t="s">
        <v>1601</v>
      </c>
      <c r="C1270" t="s">
        <v>414</v>
      </c>
      <c r="D1270" t="s">
        <v>415</v>
      </c>
      <c r="E1270" t="s">
        <v>254</v>
      </c>
      <c r="F1270" t="s">
        <v>235</v>
      </c>
      <c r="G1270" t="s">
        <v>14</v>
      </c>
      <c r="H1270" t="s">
        <v>14</v>
      </c>
      <c r="I1270" t="s">
        <v>111</v>
      </c>
      <c r="J1270" t="s">
        <v>798</v>
      </c>
      <c r="K1270" t="s">
        <v>799</v>
      </c>
      <c r="L1270" t="s">
        <v>818</v>
      </c>
      <c r="M1270" s="5">
        <v>45341</v>
      </c>
      <c r="N1270" s="5">
        <v>45344</v>
      </c>
      <c r="O1270">
        <v>2</v>
      </c>
      <c r="P1270">
        <v>19.850000000000001</v>
      </c>
      <c r="Q1270">
        <v>28.78</v>
      </c>
      <c r="R1270">
        <v>0</v>
      </c>
      <c r="S1270">
        <v>57.56</v>
      </c>
      <c r="T1270" t="s">
        <v>829</v>
      </c>
      <c r="U1270">
        <v>39.700000000000003</v>
      </c>
      <c r="V1270">
        <v>17.86</v>
      </c>
    </row>
    <row r="1271" spans="1:22" x14ac:dyDescent="0.35">
      <c r="A1271" t="s">
        <v>2744</v>
      </c>
      <c r="B1271" t="s">
        <v>1840</v>
      </c>
      <c r="C1271" t="s">
        <v>329</v>
      </c>
      <c r="D1271" t="s">
        <v>330</v>
      </c>
      <c r="E1271" t="s">
        <v>633</v>
      </c>
      <c r="F1271" t="s">
        <v>235</v>
      </c>
      <c r="G1271" t="s">
        <v>48</v>
      </c>
      <c r="H1271" t="s">
        <v>38</v>
      </c>
      <c r="I1271" t="s">
        <v>126</v>
      </c>
      <c r="J1271" t="s">
        <v>798</v>
      </c>
      <c r="K1271" t="s">
        <v>793</v>
      </c>
      <c r="L1271" t="s">
        <v>788</v>
      </c>
      <c r="M1271" s="5">
        <v>45360</v>
      </c>
      <c r="O1271">
        <v>2</v>
      </c>
      <c r="P1271">
        <v>41.95</v>
      </c>
      <c r="Q1271">
        <v>58.73</v>
      </c>
      <c r="R1271">
        <v>0</v>
      </c>
      <c r="S1271">
        <v>117.46</v>
      </c>
      <c r="T1271" t="s">
        <v>794</v>
      </c>
      <c r="U1271">
        <v>83.9</v>
      </c>
      <c r="V1271">
        <v>33.56</v>
      </c>
    </row>
    <row r="1272" spans="1:22" x14ac:dyDescent="0.35">
      <c r="A1272" t="s">
        <v>2745</v>
      </c>
      <c r="B1272" t="s">
        <v>902</v>
      </c>
      <c r="C1272" t="s">
        <v>541</v>
      </c>
      <c r="D1272" t="s">
        <v>542</v>
      </c>
      <c r="E1272" t="s">
        <v>637</v>
      </c>
      <c r="F1272" t="s">
        <v>235</v>
      </c>
      <c r="G1272" t="s">
        <v>797</v>
      </c>
      <c r="H1272" t="s">
        <v>48</v>
      </c>
      <c r="I1272" t="s">
        <v>177</v>
      </c>
      <c r="J1272" t="s">
        <v>798</v>
      </c>
      <c r="K1272" t="s">
        <v>799</v>
      </c>
      <c r="L1272" t="s">
        <v>788</v>
      </c>
      <c r="M1272" s="5">
        <v>45932</v>
      </c>
      <c r="N1272" s="5">
        <v>45935</v>
      </c>
      <c r="O1272">
        <v>5</v>
      </c>
      <c r="P1272">
        <v>41.79</v>
      </c>
      <c r="Q1272">
        <v>60.6</v>
      </c>
      <c r="R1272">
        <v>0</v>
      </c>
      <c r="S1272">
        <v>303</v>
      </c>
      <c r="T1272" t="s">
        <v>790</v>
      </c>
      <c r="U1272">
        <v>208.95</v>
      </c>
      <c r="V1272">
        <v>94.05</v>
      </c>
    </row>
    <row r="1273" spans="1:22" x14ac:dyDescent="0.35">
      <c r="A1273" t="s">
        <v>2746</v>
      </c>
      <c r="B1273" t="s">
        <v>1405</v>
      </c>
      <c r="C1273" t="s">
        <v>362</v>
      </c>
      <c r="D1273" t="s">
        <v>363</v>
      </c>
      <c r="E1273" t="s">
        <v>637</v>
      </c>
      <c r="F1273" t="s">
        <v>235</v>
      </c>
      <c r="G1273" t="s">
        <v>48</v>
      </c>
      <c r="H1273" t="s">
        <v>29</v>
      </c>
      <c r="I1273" t="s">
        <v>123</v>
      </c>
      <c r="J1273" t="s">
        <v>798</v>
      </c>
      <c r="K1273" t="s">
        <v>799</v>
      </c>
      <c r="L1273" t="s">
        <v>842</v>
      </c>
      <c r="M1273" s="5">
        <v>45623</v>
      </c>
      <c r="N1273" s="5">
        <v>45626</v>
      </c>
      <c r="O1273">
        <v>10</v>
      </c>
      <c r="P1273">
        <v>20.7</v>
      </c>
      <c r="Q1273">
        <v>30.01</v>
      </c>
      <c r="R1273">
        <v>0</v>
      </c>
      <c r="S1273">
        <v>300.10000000000002</v>
      </c>
      <c r="T1273" t="s">
        <v>834</v>
      </c>
      <c r="U1273">
        <v>207</v>
      </c>
      <c r="V1273">
        <v>93.1</v>
      </c>
    </row>
    <row r="1274" spans="1:22" x14ac:dyDescent="0.35">
      <c r="A1274" t="s">
        <v>2747</v>
      </c>
      <c r="B1274" t="s">
        <v>1612</v>
      </c>
      <c r="C1274" t="s">
        <v>409</v>
      </c>
      <c r="D1274" t="s">
        <v>410</v>
      </c>
      <c r="E1274" t="s">
        <v>637</v>
      </c>
      <c r="F1274" t="s">
        <v>235</v>
      </c>
      <c r="G1274" t="s">
        <v>14</v>
      </c>
      <c r="H1274" t="s">
        <v>38</v>
      </c>
      <c r="I1274" t="s">
        <v>117</v>
      </c>
      <c r="J1274" t="s">
        <v>813</v>
      </c>
      <c r="K1274" t="s">
        <v>799</v>
      </c>
      <c r="L1274" t="s">
        <v>788</v>
      </c>
      <c r="M1274" s="5">
        <v>46053</v>
      </c>
      <c r="N1274" s="5">
        <v>46060</v>
      </c>
      <c r="O1274">
        <v>3</v>
      </c>
      <c r="P1274">
        <v>43.25</v>
      </c>
      <c r="Q1274">
        <v>60.55</v>
      </c>
      <c r="R1274">
        <v>0</v>
      </c>
      <c r="S1274">
        <v>181.65</v>
      </c>
      <c r="T1274" t="s">
        <v>845</v>
      </c>
      <c r="U1274">
        <v>129.75</v>
      </c>
      <c r="V1274">
        <v>51.9</v>
      </c>
    </row>
    <row r="1275" spans="1:22" x14ac:dyDescent="0.35">
      <c r="A1275" t="s">
        <v>2748</v>
      </c>
      <c r="B1275" t="s">
        <v>1167</v>
      </c>
      <c r="C1275" t="s">
        <v>386</v>
      </c>
      <c r="D1275" t="s">
        <v>387</v>
      </c>
      <c r="E1275" t="s">
        <v>633</v>
      </c>
      <c r="F1275" t="s">
        <v>243</v>
      </c>
      <c r="G1275" t="s">
        <v>797</v>
      </c>
      <c r="H1275" t="s">
        <v>43</v>
      </c>
      <c r="I1275" t="s">
        <v>99</v>
      </c>
      <c r="J1275" t="s">
        <v>798</v>
      </c>
      <c r="K1275" t="s">
        <v>793</v>
      </c>
      <c r="L1275" t="s">
        <v>818</v>
      </c>
      <c r="M1275" s="5">
        <v>45468</v>
      </c>
      <c r="O1275">
        <v>2</v>
      </c>
      <c r="P1275">
        <v>10.88</v>
      </c>
      <c r="Q1275">
        <v>15.78</v>
      </c>
      <c r="R1275">
        <v>0.05</v>
      </c>
      <c r="S1275">
        <v>29.98</v>
      </c>
      <c r="T1275" t="s">
        <v>963</v>
      </c>
      <c r="U1275">
        <v>21.76</v>
      </c>
      <c r="V1275">
        <v>8.2200000000000006</v>
      </c>
    </row>
    <row r="1276" spans="1:22" x14ac:dyDescent="0.35">
      <c r="A1276" t="s">
        <v>2749</v>
      </c>
      <c r="B1276" t="s">
        <v>1182</v>
      </c>
      <c r="C1276" t="s">
        <v>310</v>
      </c>
      <c r="D1276" t="s">
        <v>311</v>
      </c>
      <c r="E1276" t="s">
        <v>696</v>
      </c>
      <c r="F1276" t="s">
        <v>264</v>
      </c>
      <c r="G1276" t="s">
        <v>20</v>
      </c>
      <c r="H1276" t="s">
        <v>20</v>
      </c>
      <c r="I1276" t="s">
        <v>134</v>
      </c>
      <c r="J1276" t="s">
        <v>798</v>
      </c>
      <c r="K1276" t="s">
        <v>799</v>
      </c>
      <c r="L1276" t="s">
        <v>818</v>
      </c>
      <c r="M1276" s="5">
        <v>45536</v>
      </c>
      <c r="N1276" s="5">
        <v>45530</v>
      </c>
      <c r="O1276">
        <v>1</v>
      </c>
      <c r="P1276">
        <v>38.36</v>
      </c>
      <c r="Q1276">
        <v>53.7</v>
      </c>
      <c r="R1276">
        <v>0.1</v>
      </c>
      <c r="S1276">
        <v>48.33</v>
      </c>
      <c r="T1276" t="s">
        <v>935</v>
      </c>
      <c r="U1276">
        <v>38.36</v>
      </c>
      <c r="V1276">
        <v>9.9700000000000006</v>
      </c>
    </row>
    <row r="1277" spans="1:22" x14ac:dyDescent="0.35">
      <c r="A1277" t="s">
        <v>2750</v>
      </c>
      <c r="B1277" t="s">
        <v>1985</v>
      </c>
      <c r="C1277" t="s">
        <v>377</v>
      </c>
      <c r="D1277" t="s">
        <v>378</v>
      </c>
      <c r="E1277" t="s">
        <v>681</v>
      </c>
      <c r="F1277" t="s">
        <v>243</v>
      </c>
      <c r="G1277" t="s">
        <v>14</v>
      </c>
      <c r="H1277" t="s">
        <v>48</v>
      </c>
      <c r="I1277" t="s">
        <v>135</v>
      </c>
      <c r="J1277" t="s">
        <v>786</v>
      </c>
      <c r="K1277" t="s">
        <v>799</v>
      </c>
      <c r="L1277" t="s">
        <v>800</v>
      </c>
      <c r="M1277" s="5">
        <v>45860</v>
      </c>
      <c r="N1277" s="5">
        <v>45855</v>
      </c>
      <c r="O1277">
        <v>2</v>
      </c>
      <c r="P1277">
        <v>51.72</v>
      </c>
      <c r="Q1277">
        <v>67.239999999999995</v>
      </c>
      <c r="R1277">
        <v>0</v>
      </c>
      <c r="S1277">
        <v>134.47999999999999</v>
      </c>
      <c r="T1277" t="s">
        <v>819</v>
      </c>
      <c r="U1277">
        <v>103.44</v>
      </c>
      <c r="V1277">
        <v>31.04</v>
      </c>
    </row>
    <row r="1278" spans="1:22" x14ac:dyDescent="0.35">
      <c r="A1278" t="s">
        <v>2751</v>
      </c>
      <c r="B1278" t="s">
        <v>1900</v>
      </c>
      <c r="C1278" t="s">
        <v>487</v>
      </c>
      <c r="D1278" t="s">
        <v>488</v>
      </c>
      <c r="E1278" t="s">
        <v>627</v>
      </c>
      <c r="F1278" t="s">
        <v>243</v>
      </c>
      <c r="G1278" t="s">
        <v>797</v>
      </c>
      <c r="H1278" t="s">
        <v>8</v>
      </c>
      <c r="I1278" t="s">
        <v>95</v>
      </c>
      <c r="J1278" t="s">
        <v>813</v>
      </c>
      <c r="K1278" t="s">
        <v>787</v>
      </c>
      <c r="L1278" t="s">
        <v>818</v>
      </c>
      <c r="M1278" s="5">
        <v>45925</v>
      </c>
      <c r="O1278">
        <v>1</v>
      </c>
      <c r="P1278">
        <v>23.02</v>
      </c>
      <c r="Q1278">
        <v>28.77</v>
      </c>
      <c r="R1278">
        <v>0</v>
      </c>
      <c r="S1278">
        <v>28.77</v>
      </c>
      <c r="T1278" t="s">
        <v>935</v>
      </c>
      <c r="U1278">
        <v>23.02</v>
      </c>
      <c r="V1278">
        <v>5.75</v>
      </c>
    </row>
    <row r="1279" spans="1:22" x14ac:dyDescent="0.35">
      <c r="A1279" t="s">
        <v>2752</v>
      </c>
      <c r="B1279" t="s">
        <v>2302</v>
      </c>
      <c r="C1279" t="s">
        <v>430</v>
      </c>
      <c r="D1279" t="s">
        <v>431</v>
      </c>
      <c r="E1279" t="s">
        <v>633</v>
      </c>
      <c r="F1279" t="s">
        <v>264</v>
      </c>
      <c r="G1279" t="s">
        <v>797</v>
      </c>
      <c r="H1279" t="s">
        <v>20</v>
      </c>
      <c r="I1279" t="s">
        <v>102</v>
      </c>
      <c r="J1279" t="s">
        <v>798</v>
      </c>
      <c r="K1279" t="s">
        <v>793</v>
      </c>
      <c r="L1279" t="s">
        <v>788</v>
      </c>
      <c r="M1279" s="5">
        <v>45511</v>
      </c>
      <c r="O1279">
        <v>2</v>
      </c>
      <c r="P1279">
        <v>19.04</v>
      </c>
      <c r="Q1279">
        <v>25.7</v>
      </c>
      <c r="R1279">
        <v>0.05</v>
      </c>
      <c r="S1279">
        <v>48.83</v>
      </c>
      <c r="T1279" t="s">
        <v>946</v>
      </c>
      <c r="U1279">
        <v>38.08</v>
      </c>
      <c r="V1279">
        <v>10.75</v>
      </c>
    </row>
    <row r="1280" spans="1:22" x14ac:dyDescent="0.35">
      <c r="A1280" t="s">
        <v>2753</v>
      </c>
      <c r="B1280" t="s">
        <v>2450</v>
      </c>
      <c r="C1280" t="s">
        <v>582</v>
      </c>
      <c r="D1280" t="s">
        <v>583</v>
      </c>
      <c r="E1280" t="s">
        <v>627</v>
      </c>
      <c r="F1280" t="s">
        <v>264</v>
      </c>
      <c r="G1280" t="s">
        <v>797</v>
      </c>
      <c r="H1280" t="s">
        <v>48</v>
      </c>
      <c r="I1280" t="s">
        <v>219</v>
      </c>
      <c r="J1280" t="s">
        <v>798</v>
      </c>
      <c r="K1280" t="s">
        <v>799</v>
      </c>
      <c r="L1280" t="s">
        <v>842</v>
      </c>
      <c r="M1280" s="5">
        <v>45779</v>
      </c>
      <c r="N1280" s="5">
        <v>45778</v>
      </c>
      <c r="O1280">
        <v>12</v>
      </c>
      <c r="P1280">
        <v>12.9</v>
      </c>
      <c r="Q1280">
        <v>18.7</v>
      </c>
      <c r="R1280">
        <v>0.05</v>
      </c>
      <c r="S1280">
        <v>213.18</v>
      </c>
      <c r="T1280" t="s">
        <v>803</v>
      </c>
      <c r="U1280">
        <v>154.80000000000001</v>
      </c>
      <c r="V1280">
        <v>58.38</v>
      </c>
    </row>
    <row r="1281" spans="1:22" x14ac:dyDescent="0.35">
      <c r="A1281" t="s">
        <v>2754</v>
      </c>
      <c r="B1281" t="s">
        <v>1350</v>
      </c>
      <c r="C1281" t="s">
        <v>257</v>
      </c>
      <c r="D1281" t="s">
        <v>258</v>
      </c>
      <c r="E1281" t="s">
        <v>696</v>
      </c>
      <c r="F1281" t="s">
        <v>235</v>
      </c>
      <c r="G1281" t="s">
        <v>797</v>
      </c>
      <c r="H1281" t="s">
        <v>20</v>
      </c>
      <c r="I1281" t="s">
        <v>18</v>
      </c>
      <c r="J1281" t="s">
        <v>798</v>
      </c>
      <c r="K1281" t="s">
        <v>793</v>
      </c>
      <c r="L1281" t="s">
        <v>818</v>
      </c>
      <c r="M1281" s="5">
        <v>45667</v>
      </c>
      <c r="O1281">
        <v>10</v>
      </c>
      <c r="P1281">
        <v>21.57</v>
      </c>
      <c r="Q1281">
        <v>26.96</v>
      </c>
      <c r="R1281">
        <v>0</v>
      </c>
      <c r="S1281">
        <v>269.60000000000002</v>
      </c>
      <c r="T1281" t="s">
        <v>814</v>
      </c>
      <c r="U1281">
        <v>215.7</v>
      </c>
      <c r="V1281">
        <v>53.9</v>
      </c>
    </row>
    <row r="1282" spans="1:22" x14ac:dyDescent="0.35">
      <c r="A1282" t="s">
        <v>2755</v>
      </c>
      <c r="B1282" t="s">
        <v>2103</v>
      </c>
      <c r="C1282" t="s">
        <v>452</v>
      </c>
      <c r="D1282" t="s">
        <v>420</v>
      </c>
      <c r="E1282" t="s">
        <v>633</v>
      </c>
      <c r="F1282" t="s">
        <v>264</v>
      </c>
      <c r="G1282" t="s">
        <v>14</v>
      </c>
      <c r="H1282" t="s">
        <v>43</v>
      </c>
      <c r="I1282" t="s">
        <v>75</v>
      </c>
      <c r="J1282" t="s">
        <v>813</v>
      </c>
      <c r="K1282" t="s">
        <v>799</v>
      </c>
      <c r="L1282" t="s">
        <v>788</v>
      </c>
      <c r="M1282" s="5">
        <v>45529</v>
      </c>
      <c r="N1282" s="5">
        <v>45532</v>
      </c>
      <c r="O1282">
        <v>2</v>
      </c>
      <c r="P1282">
        <v>24.35</v>
      </c>
      <c r="Q1282">
        <v>34.090000000000003</v>
      </c>
      <c r="R1282">
        <v>0</v>
      </c>
      <c r="S1282">
        <v>68.180000000000007</v>
      </c>
      <c r="T1282" t="s">
        <v>935</v>
      </c>
      <c r="U1282">
        <v>48.7</v>
      </c>
      <c r="V1282">
        <v>19.48</v>
      </c>
    </row>
    <row r="1283" spans="1:22" x14ac:dyDescent="0.35">
      <c r="A1283" t="s">
        <v>2756</v>
      </c>
      <c r="B1283" t="s">
        <v>2522</v>
      </c>
      <c r="C1283" t="s">
        <v>317</v>
      </c>
      <c r="D1283" t="s">
        <v>318</v>
      </c>
      <c r="E1283" t="s">
        <v>681</v>
      </c>
      <c r="F1283" t="s">
        <v>264</v>
      </c>
      <c r="G1283" t="s">
        <v>48</v>
      </c>
      <c r="H1283" t="s">
        <v>20</v>
      </c>
      <c r="I1283" t="s">
        <v>196</v>
      </c>
      <c r="J1283" t="s">
        <v>813</v>
      </c>
      <c r="K1283" t="s">
        <v>799</v>
      </c>
      <c r="L1283" t="s">
        <v>842</v>
      </c>
      <c r="M1283" s="5">
        <v>45344</v>
      </c>
      <c r="N1283" s="5">
        <v>45350</v>
      </c>
      <c r="O1283">
        <v>10</v>
      </c>
      <c r="P1283">
        <v>15.78</v>
      </c>
      <c r="Q1283">
        <v>19.72</v>
      </c>
      <c r="R1283">
        <v>0</v>
      </c>
      <c r="S1283">
        <v>197.2</v>
      </c>
      <c r="T1283" t="s">
        <v>834</v>
      </c>
      <c r="U1283">
        <v>157.80000000000001</v>
      </c>
      <c r="V1283">
        <v>39.4</v>
      </c>
    </row>
    <row r="1284" spans="1:22" x14ac:dyDescent="0.35">
      <c r="A1284" t="s">
        <v>2757</v>
      </c>
      <c r="B1284" t="s">
        <v>922</v>
      </c>
      <c r="C1284" t="s">
        <v>353</v>
      </c>
      <c r="D1284" t="s">
        <v>258</v>
      </c>
      <c r="E1284" t="s">
        <v>633</v>
      </c>
      <c r="F1284" t="s">
        <v>264</v>
      </c>
      <c r="G1284" t="s">
        <v>797</v>
      </c>
      <c r="H1284" t="s">
        <v>20</v>
      </c>
      <c r="I1284" t="s">
        <v>137</v>
      </c>
      <c r="J1284" t="s">
        <v>798</v>
      </c>
      <c r="K1284" t="s">
        <v>799</v>
      </c>
      <c r="L1284" t="s">
        <v>788</v>
      </c>
      <c r="M1284" s="5">
        <v>45560</v>
      </c>
      <c r="N1284" s="5">
        <v>45558</v>
      </c>
      <c r="O1284">
        <v>3</v>
      </c>
      <c r="P1284">
        <v>23.58</v>
      </c>
      <c r="Q1284">
        <v>31.83</v>
      </c>
      <c r="R1284">
        <v>0</v>
      </c>
      <c r="S1284">
        <v>95.49</v>
      </c>
      <c r="T1284" t="s">
        <v>876</v>
      </c>
      <c r="U1284">
        <v>70.739999999999995</v>
      </c>
      <c r="V1284">
        <v>24.75</v>
      </c>
    </row>
    <row r="1285" spans="1:22" x14ac:dyDescent="0.35">
      <c r="A1285" t="s">
        <v>2758</v>
      </c>
      <c r="B1285" t="s">
        <v>847</v>
      </c>
      <c r="C1285" t="s">
        <v>299</v>
      </c>
      <c r="D1285" t="s">
        <v>300</v>
      </c>
      <c r="E1285" t="s">
        <v>674</v>
      </c>
      <c r="F1285" t="s">
        <v>264</v>
      </c>
      <c r="G1285" t="s">
        <v>20</v>
      </c>
      <c r="H1285" t="s">
        <v>8</v>
      </c>
      <c r="I1285" t="s">
        <v>181</v>
      </c>
      <c r="J1285" t="s">
        <v>798</v>
      </c>
      <c r="K1285" t="s">
        <v>799</v>
      </c>
      <c r="L1285" t="s">
        <v>788</v>
      </c>
      <c r="M1285" s="5">
        <v>45469</v>
      </c>
      <c r="N1285" s="5">
        <v>45470</v>
      </c>
      <c r="O1285">
        <v>3</v>
      </c>
      <c r="P1285">
        <v>20.49</v>
      </c>
      <c r="Q1285">
        <v>29.71</v>
      </c>
      <c r="R1285">
        <v>0</v>
      </c>
      <c r="S1285">
        <v>89.13</v>
      </c>
      <c r="T1285" t="s">
        <v>790</v>
      </c>
      <c r="U1285">
        <v>61.47</v>
      </c>
      <c r="V1285">
        <v>27.66</v>
      </c>
    </row>
    <row r="1286" spans="1:22" x14ac:dyDescent="0.35">
      <c r="A1286" t="s">
        <v>2759</v>
      </c>
      <c r="B1286" t="s">
        <v>1004</v>
      </c>
      <c r="C1286" t="s">
        <v>395</v>
      </c>
      <c r="D1286" t="s">
        <v>396</v>
      </c>
      <c r="E1286" t="s">
        <v>254</v>
      </c>
      <c r="F1286" t="s">
        <v>264</v>
      </c>
      <c r="G1286" t="s">
        <v>20</v>
      </c>
      <c r="H1286" t="s">
        <v>8</v>
      </c>
      <c r="I1286" t="s">
        <v>10</v>
      </c>
      <c r="J1286" t="s">
        <v>813</v>
      </c>
      <c r="K1286" t="s">
        <v>799</v>
      </c>
      <c r="L1286" t="s">
        <v>842</v>
      </c>
      <c r="M1286" s="5">
        <v>45728</v>
      </c>
      <c r="N1286" s="5">
        <v>45728</v>
      </c>
      <c r="O1286">
        <v>1</v>
      </c>
      <c r="P1286">
        <v>22.74</v>
      </c>
      <c r="Q1286">
        <v>28.42</v>
      </c>
      <c r="R1286">
        <v>0</v>
      </c>
      <c r="S1286">
        <v>28.42</v>
      </c>
      <c r="T1286" t="s">
        <v>1017</v>
      </c>
      <c r="U1286">
        <v>22.74</v>
      </c>
      <c r="V1286">
        <v>5.68</v>
      </c>
    </row>
    <row r="1287" spans="1:22" x14ac:dyDescent="0.35">
      <c r="A1287" t="s">
        <v>2760</v>
      </c>
      <c r="B1287" t="s">
        <v>1608</v>
      </c>
      <c r="C1287" t="s">
        <v>616</v>
      </c>
      <c r="D1287" t="s">
        <v>231</v>
      </c>
      <c r="E1287" t="s">
        <v>696</v>
      </c>
      <c r="F1287" t="s">
        <v>264</v>
      </c>
      <c r="G1287" t="s">
        <v>14</v>
      </c>
      <c r="H1287" t="s">
        <v>14</v>
      </c>
      <c r="I1287" t="s">
        <v>186</v>
      </c>
      <c r="J1287" t="s">
        <v>798</v>
      </c>
      <c r="K1287" t="s">
        <v>787</v>
      </c>
      <c r="L1287" t="s">
        <v>788</v>
      </c>
      <c r="M1287" s="5">
        <v>45845</v>
      </c>
      <c r="O1287">
        <v>1</v>
      </c>
      <c r="P1287">
        <v>28.32</v>
      </c>
      <c r="Q1287">
        <v>35.4</v>
      </c>
      <c r="R1287">
        <v>0</v>
      </c>
      <c r="S1287">
        <v>35.4</v>
      </c>
      <c r="T1287" t="s">
        <v>839</v>
      </c>
      <c r="U1287">
        <v>28.32</v>
      </c>
      <c r="V1287">
        <v>7.08</v>
      </c>
    </row>
    <row r="1288" spans="1:22" x14ac:dyDescent="0.35">
      <c r="A1288" t="s">
        <v>2761</v>
      </c>
      <c r="B1288" t="s">
        <v>1276</v>
      </c>
      <c r="C1288" t="s">
        <v>612</v>
      </c>
      <c r="D1288" t="s">
        <v>447</v>
      </c>
      <c r="E1288" t="s">
        <v>633</v>
      </c>
      <c r="F1288" t="s">
        <v>235</v>
      </c>
      <c r="G1288" t="s">
        <v>14</v>
      </c>
      <c r="H1288" t="s">
        <v>20</v>
      </c>
      <c r="I1288" t="s">
        <v>102</v>
      </c>
      <c r="J1288" t="s">
        <v>813</v>
      </c>
      <c r="K1288" t="s">
        <v>799</v>
      </c>
      <c r="L1288" t="s">
        <v>842</v>
      </c>
      <c r="M1288" s="5">
        <v>45628</v>
      </c>
      <c r="N1288" s="5">
        <v>45628</v>
      </c>
      <c r="O1288">
        <v>2</v>
      </c>
      <c r="P1288">
        <v>19.04</v>
      </c>
      <c r="Q1288">
        <v>25.7</v>
      </c>
      <c r="R1288">
        <v>0.05</v>
      </c>
      <c r="S1288">
        <v>48.83</v>
      </c>
      <c r="T1288" t="s">
        <v>888</v>
      </c>
      <c r="U1288">
        <v>38.08</v>
      </c>
      <c r="V1288">
        <v>10.75</v>
      </c>
    </row>
    <row r="1289" spans="1:22" x14ac:dyDescent="0.35">
      <c r="A1289" t="s">
        <v>2762</v>
      </c>
      <c r="B1289" t="s">
        <v>2522</v>
      </c>
      <c r="C1289" t="s">
        <v>354</v>
      </c>
      <c r="D1289" t="s">
        <v>321</v>
      </c>
      <c r="E1289" t="s">
        <v>637</v>
      </c>
      <c r="F1289" t="s">
        <v>243</v>
      </c>
      <c r="G1289" t="s">
        <v>797</v>
      </c>
      <c r="H1289" t="s">
        <v>20</v>
      </c>
      <c r="I1289" t="s">
        <v>188</v>
      </c>
      <c r="J1289" t="s">
        <v>786</v>
      </c>
      <c r="K1289" t="s">
        <v>799</v>
      </c>
      <c r="L1289" t="s">
        <v>800</v>
      </c>
      <c r="M1289" s="5">
        <v>45355</v>
      </c>
      <c r="N1289" s="5">
        <v>45349</v>
      </c>
      <c r="O1289">
        <v>10</v>
      </c>
      <c r="P1289">
        <v>24.6</v>
      </c>
      <c r="Q1289">
        <v>35.67</v>
      </c>
      <c r="R1289">
        <v>0.05</v>
      </c>
      <c r="S1289">
        <v>338.87</v>
      </c>
      <c r="T1289" t="s">
        <v>794</v>
      </c>
      <c r="U1289">
        <v>246</v>
      </c>
      <c r="V1289">
        <v>92.87</v>
      </c>
    </row>
    <row r="1290" spans="1:22" x14ac:dyDescent="0.35">
      <c r="A1290" t="s">
        <v>2763</v>
      </c>
      <c r="B1290" t="s">
        <v>827</v>
      </c>
      <c r="C1290" t="s">
        <v>592</v>
      </c>
      <c r="D1290" t="s">
        <v>478</v>
      </c>
      <c r="E1290" t="s">
        <v>674</v>
      </c>
      <c r="F1290" t="s">
        <v>243</v>
      </c>
      <c r="G1290" t="s">
        <v>797</v>
      </c>
      <c r="H1290" t="s">
        <v>48</v>
      </c>
      <c r="I1290" t="s">
        <v>219</v>
      </c>
      <c r="J1290" t="s">
        <v>798</v>
      </c>
      <c r="K1290" t="s">
        <v>787</v>
      </c>
      <c r="L1290" t="s">
        <v>818</v>
      </c>
      <c r="M1290" s="5">
        <v>45478</v>
      </c>
      <c r="O1290">
        <v>20</v>
      </c>
      <c r="P1290">
        <v>12.9</v>
      </c>
      <c r="Q1290">
        <v>18.7</v>
      </c>
      <c r="R1290">
        <v>0</v>
      </c>
      <c r="S1290">
        <v>374</v>
      </c>
      <c r="T1290" t="s">
        <v>839</v>
      </c>
      <c r="U1290">
        <v>258</v>
      </c>
      <c r="V1290">
        <v>116</v>
      </c>
    </row>
    <row r="1291" spans="1:22" x14ac:dyDescent="0.35">
      <c r="A1291" t="s">
        <v>2764</v>
      </c>
      <c r="B1291" t="s">
        <v>1774</v>
      </c>
      <c r="C1291" t="s">
        <v>524</v>
      </c>
      <c r="D1291" t="s">
        <v>484</v>
      </c>
      <c r="E1291" t="s">
        <v>637</v>
      </c>
      <c r="G1291" t="s">
        <v>14</v>
      </c>
      <c r="H1291" t="s">
        <v>8</v>
      </c>
      <c r="I1291" t="s">
        <v>162</v>
      </c>
      <c r="J1291" t="s">
        <v>786</v>
      </c>
      <c r="K1291" t="s">
        <v>799</v>
      </c>
      <c r="L1291" t="s">
        <v>818</v>
      </c>
      <c r="M1291" s="5">
        <v>45600</v>
      </c>
      <c r="N1291" s="5">
        <v>45595</v>
      </c>
      <c r="O1291">
        <v>3</v>
      </c>
      <c r="P1291">
        <v>29.86</v>
      </c>
      <c r="Q1291">
        <v>38.82</v>
      </c>
      <c r="R1291">
        <v>0.1</v>
      </c>
      <c r="S1291">
        <v>104.81</v>
      </c>
      <c r="T1291" t="s">
        <v>845</v>
      </c>
      <c r="U1291">
        <v>89.58</v>
      </c>
      <c r="V1291">
        <v>15.23</v>
      </c>
    </row>
    <row r="1292" spans="1:22" x14ac:dyDescent="0.35">
      <c r="A1292" t="s">
        <v>2765</v>
      </c>
      <c r="B1292" t="s">
        <v>1513</v>
      </c>
      <c r="C1292" t="s">
        <v>543</v>
      </c>
      <c r="D1292" t="s">
        <v>544</v>
      </c>
      <c r="E1292" t="s">
        <v>681</v>
      </c>
      <c r="F1292" t="s">
        <v>243</v>
      </c>
      <c r="G1292" t="s">
        <v>20</v>
      </c>
      <c r="H1292" t="s">
        <v>79</v>
      </c>
      <c r="I1292" t="s">
        <v>77</v>
      </c>
      <c r="J1292" t="s">
        <v>798</v>
      </c>
      <c r="K1292" t="s">
        <v>793</v>
      </c>
      <c r="L1292" t="s">
        <v>818</v>
      </c>
      <c r="M1292" s="5">
        <v>45661</v>
      </c>
      <c r="O1292">
        <v>1</v>
      </c>
      <c r="P1292">
        <v>13.71</v>
      </c>
      <c r="Q1292">
        <v>17.82</v>
      </c>
      <c r="R1292">
        <v>0</v>
      </c>
      <c r="S1292">
        <v>17.82</v>
      </c>
      <c r="T1292" t="s">
        <v>892</v>
      </c>
      <c r="U1292">
        <v>13.71</v>
      </c>
      <c r="V1292">
        <v>4.1100000000000003</v>
      </c>
    </row>
    <row r="1293" spans="1:22" x14ac:dyDescent="0.35">
      <c r="A1293" t="s">
        <v>2766</v>
      </c>
      <c r="B1293" t="s">
        <v>1649</v>
      </c>
      <c r="C1293" t="s">
        <v>272</v>
      </c>
      <c r="D1293" t="s">
        <v>273</v>
      </c>
      <c r="E1293" t="s">
        <v>674</v>
      </c>
      <c r="F1293" t="s">
        <v>243</v>
      </c>
      <c r="G1293" t="s">
        <v>797</v>
      </c>
      <c r="H1293" t="s">
        <v>14</v>
      </c>
      <c r="I1293" t="s">
        <v>24</v>
      </c>
      <c r="J1293" t="s">
        <v>786</v>
      </c>
      <c r="K1293" t="s">
        <v>799</v>
      </c>
      <c r="L1293" t="s">
        <v>842</v>
      </c>
      <c r="M1293" s="5">
        <v>45817</v>
      </c>
      <c r="N1293" s="5">
        <v>45810</v>
      </c>
      <c r="O1293">
        <v>1</v>
      </c>
      <c r="P1293">
        <v>37.42</v>
      </c>
      <c r="Q1293">
        <v>50.52</v>
      </c>
      <c r="R1293">
        <v>0.1</v>
      </c>
      <c r="S1293">
        <v>45.47</v>
      </c>
      <c r="T1293" t="s">
        <v>876</v>
      </c>
      <c r="U1293">
        <v>37.42</v>
      </c>
      <c r="V1293">
        <v>8.0500000000000007</v>
      </c>
    </row>
    <row r="1294" spans="1:22" x14ac:dyDescent="0.35">
      <c r="A1294" t="s">
        <v>2767</v>
      </c>
      <c r="B1294" t="s">
        <v>1939</v>
      </c>
      <c r="C1294" t="s">
        <v>455</v>
      </c>
      <c r="D1294" t="s">
        <v>456</v>
      </c>
      <c r="E1294" t="s">
        <v>254</v>
      </c>
      <c r="F1294" t="s">
        <v>264</v>
      </c>
      <c r="G1294" t="s">
        <v>797</v>
      </c>
      <c r="H1294" t="s">
        <v>38</v>
      </c>
      <c r="I1294" t="s">
        <v>36</v>
      </c>
      <c r="J1294" t="s">
        <v>813</v>
      </c>
      <c r="K1294" t="s">
        <v>787</v>
      </c>
      <c r="L1294" t="s">
        <v>818</v>
      </c>
      <c r="M1294" s="5">
        <v>45679</v>
      </c>
      <c r="O1294">
        <v>10</v>
      </c>
      <c r="P1294">
        <v>8.57</v>
      </c>
      <c r="Q1294">
        <v>11.14</v>
      </c>
      <c r="R1294">
        <v>0.15</v>
      </c>
      <c r="S1294">
        <v>94.69</v>
      </c>
      <c r="T1294" t="s">
        <v>888</v>
      </c>
      <c r="U1294">
        <v>85.7</v>
      </c>
      <c r="V1294">
        <v>8.99</v>
      </c>
    </row>
    <row r="1295" spans="1:22" x14ac:dyDescent="0.35">
      <c r="A1295" t="s">
        <v>2768</v>
      </c>
      <c r="B1295" t="s">
        <v>1530</v>
      </c>
      <c r="C1295" t="s">
        <v>609</v>
      </c>
      <c r="D1295" t="s">
        <v>610</v>
      </c>
      <c r="E1295" t="s">
        <v>681</v>
      </c>
      <c r="G1295" t="s">
        <v>797</v>
      </c>
      <c r="H1295" t="s">
        <v>14</v>
      </c>
      <c r="I1295" t="s">
        <v>152</v>
      </c>
      <c r="J1295" t="s">
        <v>786</v>
      </c>
      <c r="K1295" t="s">
        <v>793</v>
      </c>
      <c r="L1295" t="s">
        <v>788</v>
      </c>
      <c r="M1295" s="5">
        <v>45766</v>
      </c>
      <c r="O1295">
        <v>5</v>
      </c>
      <c r="P1295">
        <v>38.549999999999997</v>
      </c>
      <c r="Q1295">
        <v>53.97</v>
      </c>
      <c r="R1295">
        <v>0</v>
      </c>
      <c r="S1295">
        <v>269.85000000000002</v>
      </c>
      <c r="T1295" t="s">
        <v>794</v>
      </c>
      <c r="U1295">
        <v>192.75</v>
      </c>
      <c r="V1295">
        <v>77.099999999999994</v>
      </c>
    </row>
    <row r="1296" spans="1:22" x14ac:dyDescent="0.35">
      <c r="A1296" t="s">
        <v>2769</v>
      </c>
      <c r="B1296" t="s">
        <v>1315</v>
      </c>
      <c r="C1296" t="s">
        <v>504</v>
      </c>
      <c r="D1296" t="s">
        <v>505</v>
      </c>
      <c r="E1296" t="s">
        <v>696</v>
      </c>
      <c r="F1296" t="s">
        <v>264</v>
      </c>
      <c r="G1296" t="s">
        <v>14</v>
      </c>
      <c r="H1296" t="s">
        <v>48</v>
      </c>
      <c r="I1296" t="s">
        <v>179</v>
      </c>
      <c r="J1296" t="s">
        <v>798</v>
      </c>
      <c r="K1296" t="s">
        <v>822</v>
      </c>
      <c r="L1296" t="s">
        <v>818</v>
      </c>
      <c r="M1296" s="5">
        <v>45748</v>
      </c>
      <c r="N1296" s="5">
        <v>45742</v>
      </c>
      <c r="O1296">
        <v>2</v>
      </c>
      <c r="P1296">
        <v>16.670000000000002</v>
      </c>
      <c r="Q1296">
        <v>22.5</v>
      </c>
      <c r="R1296">
        <v>0</v>
      </c>
      <c r="S1296">
        <v>45</v>
      </c>
      <c r="T1296" t="s">
        <v>876</v>
      </c>
      <c r="U1296">
        <v>33.340000000000003</v>
      </c>
      <c r="V1296">
        <v>11.66</v>
      </c>
    </row>
    <row r="1297" spans="1:22" x14ac:dyDescent="0.35">
      <c r="A1297" t="s">
        <v>2770</v>
      </c>
      <c r="B1297" t="s">
        <v>2559</v>
      </c>
      <c r="C1297" t="s">
        <v>565</v>
      </c>
      <c r="D1297" t="s">
        <v>566</v>
      </c>
      <c r="E1297" t="s">
        <v>254</v>
      </c>
      <c r="G1297" t="s">
        <v>797</v>
      </c>
      <c r="H1297" t="s">
        <v>14</v>
      </c>
      <c r="I1297" t="s">
        <v>56</v>
      </c>
      <c r="J1297" t="s">
        <v>813</v>
      </c>
      <c r="K1297" t="s">
        <v>799</v>
      </c>
      <c r="L1297" t="s">
        <v>818</v>
      </c>
      <c r="M1297" s="5">
        <v>45546</v>
      </c>
      <c r="N1297" s="5">
        <v>45545</v>
      </c>
      <c r="O1297">
        <v>20</v>
      </c>
      <c r="P1297">
        <v>25.46</v>
      </c>
      <c r="Q1297">
        <v>31.83</v>
      </c>
      <c r="R1297">
        <v>0.15</v>
      </c>
      <c r="S1297">
        <v>541.11</v>
      </c>
      <c r="T1297" t="s">
        <v>876</v>
      </c>
      <c r="U1297">
        <v>509.2</v>
      </c>
      <c r="V1297">
        <v>31.91</v>
      </c>
    </row>
    <row r="1298" spans="1:22" x14ac:dyDescent="0.35">
      <c r="A1298" t="s">
        <v>2771</v>
      </c>
      <c r="B1298" t="s">
        <v>1418</v>
      </c>
      <c r="C1298" t="s">
        <v>448</v>
      </c>
      <c r="D1298" t="s">
        <v>427</v>
      </c>
      <c r="E1298" t="s">
        <v>637</v>
      </c>
      <c r="F1298" t="s">
        <v>243</v>
      </c>
      <c r="G1298" t="s">
        <v>14</v>
      </c>
      <c r="H1298" t="s">
        <v>8</v>
      </c>
      <c r="I1298" t="s">
        <v>207</v>
      </c>
      <c r="J1298" t="s">
        <v>798</v>
      </c>
      <c r="K1298" t="s">
        <v>822</v>
      </c>
      <c r="L1298" t="s">
        <v>818</v>
      </c>
      <c r="M1298" s="5">
        <v>45911</v>
      </c>
      <c r="N1298" s="5">
        <v>45910</v>
      </c>
      <c r="O1298">
        <v>2</v>
      </c>
      <c r="P1298">
        <v>8.5399999999999991</v>
      </c>
      <c r="Q1298">
        <v>10.67</v>
      </c>
      <c r="R1298">
        <v>0</v>
      </c>
      <c r="S1298">
        <v>21.34</v>
      </c>
      <c r="T1298" t="s">
        <v>814</v>
      </c>
      <c r="U1298">
        <v>17.079999999999998</v>
      </c>
      <c r="V1298">
        <v>4.26</v>
      </c>
    </row>
    <row r="1299" spans="1:22" x14ac:dyDescent="0.35">
      <c r="A1299" t="s">
        <v>2772</v>
      </c>
      <c r="B1299" t="s">
        <v>2773</v>
      </c>
      <c r="C1299" t="s">
        <v>513</v>
      </c>
      <c r="D1299" t="s">
        <v>514</v>
      </c>
      <c r="E1299" t="s">
        <v>674</v>
      </c>
      <c r="F1299" t="s">
        <v>264</v>
      </c>
      <c r="G1299" t="s">
        <v>797</v>
      </c>
      <c r="H1299" t="s">
        <v>29</v>
      </c>
      <c r="I1299" t="s">
        <v>27</v>
      </c>
      <c r="J1299" t="s">
        <v>813</v>
      </c>
      <c r="K1299" t="s">
        <v>799</v>
      </c>
      <c r="L1299" t="s">
        <v>800</v>
      </c>
      <c r="M1299" s="5">
        <v>45493</v>
      </c>
      <c r="N1299" s="5">
        <v>45499</v>
      </c>
      <c r="O1299">
        <v>3</v>
      </c>
      <c r="P1299">
        <v>33.06</v>
      </c>
      <c r="Q1299">
        <v>47.94</v>
      </c>
      <c r="R1299">
        <v>0</v>
      </c>
      <c r="S1299">
        <v>143.82</v>
      </c>
      <c r="T1299" t="s">
        <v>839</v>
      </c>
      <c r="U1299">
        <v>99.18</v>
      </c>
      <c r="V1299">
        <v>44.64</v>
      </c>
    </row>
    <row r="1300" spans="1:22" x14ac:dyDescent="0.35">
      <c r="A1300" t="s">
        <v>2774</v>
      </c>
      <c r="B1300" t="s">
        <v>1523</v>
      </c>
      <c r="C1300" t="s">
        <v>520</v>
      </c>
      <c r="D1300" t="s">
        <v>521</v>
      </c>
      <c r="E1300" t="s">
        <v>633</v>
      </c>
      <c r="F1300" t="s">
        <v>243</v>
      </c>
      <c r="G1300" t="s">
        <v>797</v>
      </c>
      <c r="H1300" t="s">
        <v>29</v>
      </c>
      <c r="I1300" t="s">
        <v>191</v>
      </c>
      <c r="J1300" t="s">
        <v>798</v>
      </c>
      <c r="K1300" t="s">
        <v>799</v>
      </c>
      <c r="L1300" t="s">
        <v>818</v>
      </c>
      <c r="M1300" s="5">
        <v>45522</v>
      </c>
      <c r="N1300" s="5">
        <v>45521</v>
      </c>
      <c r="O1300">
        <v>2</v>
      </c>
      <c r="P1300">
        <v>11.26</v>
      </c>
      <c r="Q1300">
        <v>15.2</v>
      </c>
      <c r="R1300">
        <v>0</v>
      </c>
      <c r="S1300">
        <v>30.4</v>
      </c>
      <c r="T1300" t="s">
        <v>946</v>
      </c>
      <c r="U1300">
        <v>22.52</v>
      </c>
      <c r="V1300">
        <v>7.88</v>
      </c>
    </row>
    <row r="1301" spans="1:22" x14ac:dyDescent="0.35">
      <c r="A1301" t="s">
        <v>2775</v>
      </c>
      <c r="B1301" t="s">
        <v>1447</v>
      </c>
      <c r="C1301" t="s">
        <v>283</v>
      </c>
      <c r="D1301" t="s">
        <v>284</v>
      </c>
      <c r="E1301" t="s">
        <v>637</v>
      </c>
      <c r="F1301" t="s">
        <v>264</v>
      </c>
      <c r="G1301" t="s">
        <v>14</v>
      </c>
      <c r="H1301" t="s">
        <v>8</v>
      </c>
      <c r="I1301" t="s">
        <v>212</v>
      </c>
      <c r="J1301" t="s">
        <v>813</v>
      </c>
      <c r="K1301" t="s">
        <v>799</v>
      </c>
      <c r="L1301" t="s">
        <v>818</v>
      </c>
      <c r="M1301" s="5">
        <v>45586</v>
      </c>
      <c r="N1301" s="5">
        <v>45584</v>
      </c>
      <c r="O1301">
        <v>10</v>
      </c>
      <c r="P1301">
        <v>95.09</v>
      </c>
      <c r="Q1301">
        <v>133.13</v>
      </c>
      <c r="R1301">
        <v>0.05</v>
      </c>
      <c r="S1301">
        <v>1264.73</v>
      </c>
      <c r="T1301" t="s">
        <v>892</v>
      </c>
      <c r="U1301">
        <v>950.9</v>
      </c>
      <c r="V1301">
        <v>313.83</v>
      </c>
    </row>
    <row r="1302" spans="1:22" x14ac:dyDescent="0.35">
      <c r="A1302" t="s">
        <v>2776</v>
      </c>
      <c r="B1302" t="s">
        <v>1656</v>
      </c>
      <c r="C1302" t="s">
        <v>597</v>
      </c>
      <c r="D1302" t="s">
        <v>598</v>
      </c>
      <c r="E1302" t="s">
        <v>681</v>
      </c>
      <c r="F1302" t="s">
        <v>235</v>
      </c>
      <c r="G1302" t="s">
        <v>14</v>
      </c>
      <c r="H1302" t="s">
        <v>48</v>
      </c>
      <c r="I1302" t="s">
        <v>202</v>
      </c>
      <c r="J1302" t="s">
        <v>813</v>
      </c>
      <c r="K1302" t="s">
        <v>817</v>
      </c>
      <c r="L1302" t="s">
        <v>818</v>
      </c>
      <c r="M1302" s="5">
        <v>45977</v>
      </c>
      <c r="O1302">
        <v>2</v>
      </c>
      <c r="P1302">
        <v>27</v>
      </c>
      <c r="Q1302">
        <v>39.15</v>
      </c>
      <c r="R1302">
        <v>0</v>
      </c>
      <c r="S1302">
        <v>78.3</v>
      </c>
      <c r="T1302" t="s">
        <v>825</v>
      </c>
      <c r="U1302">
        <v>54</v>
      </c>
      <c r="V1302">
        <v>24.3</v>
      </c>
    </row>
    <row r="1303" spans="1:22" x14ac:dyDescent="0.35">
      <c r="A1303" t="s">
        <v>2777</v>
      </c>
      <c r="B1303" t="s">
        <v>1067</v>
      </c>
      <c r="C1303" t="s">
        <v>599</v>
      </c>
      <c r="D1303" t="s">
        <v>600</v>
      </c>
      <c r="E1303" t="s">
        <v>681</v>
      </c>
      <c r="F1303" t="s">
        <v>243</v>
      </c>
      <c r="G1303" t="s">
        <v>14</v>
      </c>
      <c r="H1303" t="s">
        <v>20</v>
      </c>
      <c r="I1303" t="s">
        <v>51</v>
      </c>
      <c r="J1303" t="s">
        <v>813</v>
      </c>
      <c r="K1303" t="s">
        <v>799</v>
      </c>
      <c r="L1303" t="s">
        <v>788</v>
      </c>
      <c r="M1303" s="5">
        <v>46026</v>
      </c>
      <c r="N1303" s="5">
        <v>46030</v>
      </c>
      <c r="O1303">
        <v>20</v>
      </c>
      <c r="P1303">
        <v>11.28</v>
      </c>
      <c r="Q1303">
        <v>15.23</v>
      </c>
      <c r="R1303">
        <v>0</v>
      </c>
      <c r="S1303">
        <v>304.60000000000002</v>
      </c>
      <c r="T1303" t="s">
        <v>946</v>
      </c>
      <c r="U1303">
        <v>225.6</v>
      </c>
      <c r="V1303">
        <v>79</v>
      </c>
    </row>
    <row r="1304" spans="1:22" x14ac:dyDescent="0.35">
      <c r="A1304" t="s">
        <v>2778</v>
      </c>
      <c r="B1304" t="s">
        <v>875</v>
      </c>
      <c r="C1304" t="s">
        <v>386</v>
      </c>
      <c r="D1304" t="s">
        <v>387</v>
      </c>
      <c r="E1304" t="s">
        <v>254</v>
      </c>
      <c r="F1304" t="s">
        <v>243</v>
      </c>
      <c r="G1304" t="s">
        <v>797</v>
      </c>
      <c r="H1304" t="s">
        <v>14</v>
      </c>
      <c r="I1304" t="s">
        <v>150</v>
      </c>
      <c r="J1304" t="s">
        <v>813</v>
      </c>
      <c r="K1304" t="s">
        <v>787</v>
      </c>
      <c r="L1304" t="s">
        <v>818</v>
      </c>
      <c r="M1304" s="5">
        <v>45577</v>
      </c>
      <c r="O1304">
        <v>5</v>
      </c>
      <c r="P1304">
        <v>5.81</v>
      </c>
      <c r="Q1304">
        <v>7.55</v>
      </c>
      <c r="R1304">
        <v>0.1</v>
      </c>
      <c r="S1304">
        <v>33.979999999999997</v>
      </c>
      <c r="T1304" t="s">
        <v>963</v>
      </c>
      <c r="U1304">
        <v>29.05</v>
      </c>
      <c r="V1304">
        <v>4.93</v>
      </c>
    </row>
    <row r="1305" spans="1:22" x14ac:dyDescent="0.35">
      <c r="A1305" t="s">
        <v>2779</v>
      </c>
      <c r="B1305" t="s">
        <v>900</v>
      </c>
      <c r="C1305" t="s">
        <v>479</v>
      </c>
      <c r="D1305" t="s">
        <v>480</v>
      </c>
      <c r="E1305" t="s">
        <v>627</v>
      </c>
      <c r="F1305" t="s">
        <v>243</v>
      </c>
      <c r="G1305" t="s">
        <v>14</v>
      </c>
      <c r="H1305" t="s">
        <v>29</v>
      </c>
      <c r="I1305" t="s">
        <v>27</v>
      </c>
      <c r="J1305" t="s">
        <v>786</v>
      </c>
      <c r="K1305" t="s">
        <v>793</v>
      </c>
      <c r="L1305" t="s">
        <v>842</v>
      </c>
      <c r="M1305" s="5">
        <v>45733</v>
      </c>
      <c r="O1305">
        <v>20</v>
      </c>
      <c r="P1305">
        <v>33.06</v>
      </c>
      <c r="Q1305">
        <v>47.94</v>
      </c>
      <c r="R1305">
        <v>0</v>
      </c>
      <c r="S1305">
        <v>958.8</v>
      </c>
      <c r="T1305" t="s">
        <v>829</v>
      </c>
      <c r="U1305">
        <v>661.2</v>
      </c>
      <c r="V1305">
        <v>297.60000000000002</v>
      </c>
    </row>
    <row r="1306" spans="1:22" x14ac:dyDescent="0.35">
      <c r="A1306" t="s">
        <v>2780</v>
      </c>
      <c r="B1306" t="s">
        <v>891</v>
      </c>
      <c r="C1306" t="s">
        <v>295</v>
      </c>
      <c r="D1306" t="s">
        <v>296</v>
      </c>
      <c r="E1306" t="s">
        <v>674</v>
      </c>
      <c r="F1306" t="s">
        <v>264</v>
      </c>
      <c r="G1306" t="s">
        <v>14</v>
      </c>
      <c r="H1306" t="s">
        <v>8</v>
      </c>
      <c r="I1306" t="s">
        <v>95</v>
      </c>
      <c r="J1306" t="s">
        <v>786</v>
      </c>
      <c r="K1306" t="s">
        <v>822</v>
      </c>
      <c r="L1306" t="s">
        <v>818</v>
      </c>
      <c r="M1306" s="5">
        <v>45577</v>
      </c>
      <c r="N1306" s="5">
        <v>45571</v>
      </c>
      <c r="O1306">
        <v>5</v>
      </c>
      <c r="P1306">
        <v>23.02</v>
      </c>
      <c r="Q1306">
        <v>28.77</v>
      </c>
      <c r="R1306">
        <v>0</v>
      </c>
      <c r="S1306">
        <v>143.85</v>
      </c>
      <c r="T1306" t="s">
        <v>834</v>
      </c>
      <c r="U1306">
        <v>115.1</v>
      </c>
      <c r="V1306">
        <v>28.75</v>
      </c>
    </row>
    <row r="1307" spans="1:22" x14ac:dyDescent="0.35">
      <c r="A1307" t="s">
        <v>2781</v>
      </c>
      <c r="B1307" t="s">
        <v>1559</v>
      </c>
      <c r="C1307" t="s">
        <v>597</v>
      </c>
      <c r="D1307" t="s">
        <v>598</v>
      </c>
      <c r="E1307" t="s">
        <v>633</v>
      </c>
      <c r="F1307" t="s">
        <v>235</v>
      </c>
      <c r="G1307" t="s">
        <v>20</v>
      </c>
      <c r="H1307" t="s">
        <v>20</v>
      </c>
      <c r="I1307" t="s">
        <v>159</v>
      </c>
      <c r="J1307" t="s">
        <v>786</v>
      </c>
      <c r="K1307" t="s">
        <v>793</v>
      </c>
      <c r="L1307" t="s">
        <v>800</v>
      </c>
      <c r="M1307" s="5">
        <v>45656</v>
      </c>
      <c r="O1307">
        <v>10</v>
      </c>
      <c r="P1307">
        <v>8.2200000000000006</v>
      </c>
      <c r="Q1307">
        <v>11.1</v>
      </c>
      <c r="R1307">
        <v>0.15</v>
      </c>
      <c r="S1307">
        <v>94.35</v>
      </c>
      <c r="T1307" t="s">
        <v>825</v>
      </c>
      <c r="U1307">
        <v>82.2</v>
      </c>
      <c r="V1307">
        <v>12.15</v>
      </c>
    </row>
    <row r="1308" spans="1:22" x14ac:dyDescent="0.35">
      <c r="A1308" t="s">
        <v>2782</v>
      </c>
      <c r="B1308" t="s">
        <v>2145</v>
      </c>
      <c r="C1308" t="s">
        <v>354</v>
      </c>
      <c r="D1308" t="s">
        <v>321</v>
      </c>
      <c r="E1308" t="s">
        <v>681</v>
      </c>
      <c r="F1308" t="s">
        <v>243</v>
      </c>
      <c r="G1308" t="s">
        <v>14</v>
      </c>
      <c r="H1308" t="s">
        <v>8</v>
      </c>
      <c r="I1308" t="s">
        <v>73</v>
      </c>
      <c r="J1308" t="s">
        <v>798</v>
      </c>
      <c r="K1308" t="s">
        <v>799</v>
      </c>
      <c r="L1308" t="s">
        <v>800</v>
      </c>
      <c r="M1308" s="5">
        <v>45633</v>
      </c>
      <c r="N1308" s="5">
        <v>45630</v>
      </c>
      <c r="O1308">
        <v>1</v>
      </c>
      <c r="P1308">
        <v>67.95</v>
      </c>
      <c r="Q1308">
        <v>88.34</v>
      </c>
      <c r="R1308">
        <v>0.1</v>
      </c>
      <c r="S1308">
        <v>79.510000000000005</v>
      </c>
      <c r="T1308" t="s">
        <v>794</v>
      </c>
      <c r="U1308">
        <v>67.95</v>
      </c>
      <c r="V1308">
        <v>11.56</v>
      </c>
    </row>
    <row r="1309" spans="1:22" x14ac:dyDescent="0.35">
      <c r="A1309" t="s">
        <v>2783</v>
      </c>
      <c r="B1309" t="s">
        <v>2060</v>
      </c>
      <c r="C1309" t="s">
        <v>502</v>
      </c>
      <c r="D1309" t="s">
        <v>503</v>
      </c>
      <c r="E1309" t="s">
        <v>633</v>
      </c>
      <c r="F1309" t="s">
        <v>235</v>
      </c>
      <c r="G1309" t="s">
        <v>797</v>
      </c>
      <c r="H1309" t="s">
        <v>43</v>
      </c>
      <c r="I1309" t="s">
        <v>200</v>
      </c>
      <c r="J1309" t="s">
        <v>798</v>
      </c>
      <c r="K1309" t="s">
        <v>799</v>
      </c>
      <c r="L1309" t="s">
        <v>818</v>
      </c>
      <c r="M1309" s="5">
        <v>45321</v>
      </c>
      <c r="N1309" s="5">
        <v>45319</v>
      </c>
      <c r="O1309">
        <v>1</v>
      </c>
      <c r="P1309">
        <v>69.23</v>
      </c>
      <c r="Q1309">
        <v>86.54</v>
      </c>
      <c r="R1309">
        <v>0</v>
      </c>
      <c r="S1309">
        <v>86.54</v>
      </c>
      <c r="T1309" t="s">
        <v>803</v>
      </c>
      <c r="U1309">
        <v>69.23</v>
      </c>
      <c r="V1309">
        <v>17.309999999999999</v>
      </c>
    </row>
    <row r="1310" spans="1:22" x14ac:dyDescent="0.35">
      <c r="A1310" t="s">
        <v>2784</v>
      </c>
      <c r="B1310" t="s">
        <v>1396</v>
      </c>
      <c r="C1310" t="s">
        <v>351</v>
      </c>
      <c r="D1310" t="s">
        <v>352</v>
      </c>
      <c r="E1310" t="s">
        <v>627</v>
      </c>
      <c r="F1310" t="s">
        <v>264</v>
      </c>
      <c r="G1310" t="s">
        <v>797</v>
      </c>
      <c r="H1310" t="s">
        <v>48</v>
      </c>
      <c r="I1310" t="s">
        <v>219</v>
      </c>
      <c r="J1310" t="s">
        <v>786</v>
      </c>
      <c r="K1310" t="s">
        <v>822</v>
      </c>
      <c r="L1310" t="s">
        <v>788</v>
      </c>
      <c r="M1310" s="5">
        <v>45569</v>
      </c>
      <c r="N1310" s="5">
        <v>45557</v>
      </c>
      <c r="O1310">
        <v>1</v>
      </c>
      <c r="P1310">
        <v>12.9</v>
      </c>
      <c r="Q1310">
        <v>18.7</v>
      </c>
      <c r="R1310">
        <v>0.05</v>
      </c>
      <c r="S1310">
        <v>17.760000000000002</v>
      </c>
      <c r="T1310" t="s">
        <v>888</v>
      </c>
      <c r="U1310">
        <v>12.9</v>
      </c>
      <c r="V1310">
        <v>4.8600000000000003</v>
      </c>
    </row>
    <row r="1311" spans="1:22" x14ac:dyDescent="0.35">
      <c r="A1311" t="s">
        <v>2785</v>
      </c>
      <c r="B1311" t="s">
        <v>1597</v>
      </c>
      <c r="C1311" t="s">
        <v>513</v>
      </c>
      <c r="D1311" t="s">
        <v>514</v>
      </c>
      <c r="E1311" t="s">
        <v>633</v>
      </c>
      <c r="F1311" t="s">
        <v>264</v>
      </c>
      <c r="G1311" t="s">
        <v>797</v>
      </c>
      <c r="H1311" t="s">
        <v>8</v>
      </c>
      <c r="I1311" t="s">
        <v>181</v>
      </c>
      <c r="J1311" t="s">
        <v>798</v>
      </c>
      <c r="K1311" t="s">
        <v>799</v>
      </c>
      <c r="L1311" t="s">
        <v>800</v>
      </c>
      <c r="M1311" s="5">
        <v>46013</v>
      </c>
      <c r="N1311" s="5">
        <v>46009</v>
      </c>
      <c r="O1311">
        <v>3</v>
      </c>
      <c r="P1311">
        <v>20.49</v>
      </c>
      <c r="Q1311">
        <v>29.71</v>
      </c>
      <c r="R1311">
        <v>0</v>
      </c>
      <c r="S1311">
        <v>89.13</v>
      </c>
      <c r="T1311" t="s">
        <v>794</v>
      </c>
      <c r="U1311">
        <v>61.47</v>
      </c>
      <c r="V1311">
        <v>27.66</v>
      </c>
    </row>
    <row r="1312" spans="1:22" x14ac:dyDescent="0.35">
      <c r="A1312" t="s">
        <v>2786</v>
      </c>
      <c r="B1312" t="s">
        <v>904</v>
      </c>
      <c r="C1312" t="s">
        <v>574</v>
      </c>
      <c r="D1312" t="s">
        <v>458</v>
      </c>
      <c r="E1312" t="s">
        <v>254</v>
      </c>
      <c r="G1312" t="s">
        <v>20</v>
      </c>
      <c r="H1312" t="s">
        <v>48</v>
      </c>
      <c r="I1312" t="s">
        <v>139</v>
      </c>
      <c r="J1312" t="s">
        <v>786</v>
      </c>
      <c r="K1312" t="s">
        <v>787</v>
      </c>
      <c r="L1312" t="s">
        <v>818</v>
      </c>
      <c r="M1312" s="5">
        <v>45944</v>
      </c>
      <c r="O1312">
        <v>20</v>
      </c>
      <c r="P1312">
        <v>29.93</v>
      </c>
      <c r="Q1312">
        <v>41.9</v>
      </c>
      <c r="R1312">
        <v>0.05</v>
      </c>
      <c r="S1312">
        <v>796.1</v>
      </c>
      <c r="T1312" t="s">
        <v>888</v>
      </c>
      <c r="U1312">
        <v>598.6</v>
      </c>
      <c r="V1312">
        <v>197.5</v>
      </c>
    </row>
    <row r="1313" spans="1:22" x14ac:dyDescent="0.35">
      <c r="A1313" t="s">
        <v>2787</v>
      </c>
      <c r="B1313" t="s">
        <v>1965</v>
      </c>
      <c r="C1313" t="s">
        <v>266</v>
      </c>
      <c r="D1313" t="s">
        <v>267</v>
      </c>
      <c r="E1313" t="s">
        <v>633</v>
      </c>
      <c r="F1313" t="s">
        <v>243</v>
      </c>
      <c r="G1313" t="s">
        <v>48</v>
      </c>
      <c r="H1313" t="s">
        <v>8</v>
      </c>
      <c r="I1313" t="s">
        <v>181</v>
      </c>
      <c r="J1313" t="s">
        <v>813</v>
      </c>
      <c r="K1313" t="s">
        <v>793</v>
      </c>
      <c r="L1313" t="s">
        <v>818</v>
      </c>
      <c r="M1313" s="5">
        <v>45719</v>
      </c>
      <c r="O1313">
        <v>12</v>
      </c>
      <c r="P1313">
        <v>20.49</v>
      </c>
      <c r="Q1313">
        <v>29.71</v>
      </c>
      <c r="R1313">
        <v>0.05</v>
      </c>
      <c r="S1313">
        <v>338.69</v>
      </c>
      <c r="T1313" t="s">
        <v>803</v>
      </c>
      <c r="U1313">
        <v>245.88</v>
      </c>
      <c r="V1313">
        <v>92.81</v>
      </c>
    </row>
    <row r="1314" spans="1:22" x14ac:dyDescent="0.35">
      <c r="A1314" t="s">
        <v>2788</v>
      </c>
      <c r="B1314" t="s">
        <v>1524</v>
      </c>
      <c r="C1314" t="s">
        <v>481</v>
      </c>
      <c r="D1314" t="s">
        <v>482</v>
      </c>
      <c r="E1314" t="s">
        <v>637</v>
      </c>
      <c r="F1314" t="s">
        <v>264</v>
      </c>
      <c r="G1314" t="s">
        <v>797</v>
      </c>
      <c r="H1314" t="s">
        <v>48</v>
      </c>
      <c r="I1314" t="s">
        <v>190</v>
      </c>
      <c r="J1314" t="s">
        <v>798</v>
      </c>
      <c r="K1314" t="s">
        <v>799</v>
      </c>
      <c r="L1314" t="s">
        <v>800</v>
      </c>
      <c r="M1314" s="5">
        <v>45518</v>
      </c>
      <c r="N1314" s="5">
        <v>45517</v>
      </c>
      <c r="O1314">
        <v>3</v>
      </c>
      <c r="P1314">
        <v>21.56</v>
      </c>
      <c r="Q1314">
        <v>31.26</v>
      </c>
      <c r="R1314">
        <v>0</v>
      </c>
      <c r="S1314">
        <v>93.78</v>
      </c>
      <c r="T1314" t="s">
        <v>946</v>
      </c>
      <c r="U1314">
        <v>64.680000000000007</v>
      </c>
      <c r="V1314">
        <v>29.1</v>
      </c>
    </row>
    <row r="1315" spans="1:22" x14ac:dyDescent="0.35">
      <c r="A1315" t="s">
        <v>2789</v>
      </c>
      <c r="B1315" t="s">
        <v>1224</v>
      </c>
      <c r="C1315" t="s">
        <v>312</v>
      </c>
      <c r="D1315" t="s">
        <v>313</v>
      </c>
      <c r="E1315" t="s">
        <v>254</v>
      </c>
      <c r="F1315" t="s">
        <v>235</v>
      </c>
      <c r="G1315" t="s">
        <v>797</v>
      </c>
      <c r="H1315" t="s">
        <v>14</v>
      </c>
      <c r="I1315" t="s">
        <v>111</v>
      </c>
      <c r="J1315" t="s">
        <v>786</v>
      </c>
      <c r="K1315" t="s">
        <v>787</v>
      </c>
      <c r="L1315" t="s">
        <v>818</v>
      </c>
      <c r="M1315" s="5">
        <v>45913</v>
      </c>
      <c r="O1315">
        <v>1</v>
      </c>
      <c r="P1315">
        <v>19.850000000000001</v>
      </c>
      <c r="Q1315">
        <v>28.78</v>
      </c>
      <c r="R1315">
        <v>0.05</v>
      </c>
      <c r="S1315">
        <v>27.34</v>
      </c>
      <c r="T1315" t="s">
        <v>834</v>
      </c>
      <c r="U1315">
        <v>19.850000000000001</v>
      </c>
      <c r="V1315">
        <v>7.49</v>
      </c>
    </row>
    <row r="1316" spans="1:22" x14ac:dyDescent="0.35">
      <c r="A1316" t="s">
        <v>2790</v>
      </c>
      <c r="B1316" t="s">
        <v>1597</v>
      </c>
      <c r="C1316" t="s">
        <v>353</v>
      </c>
      <c r="D1316" t="s">
        <v>258</v>
      </c>
      <c r="E1316" t="s">
        <v>254</v>
      </c>
      <c r="F1316" t="s">
        <v>264</v>
      </c>
      <c r="G1316" t="s">
        <v>797</v>
      </c>
      <c r="H1316" t="s">
        <v>20</v>
      </c>
      <c r="I1316" t="s">
        <v>163</v>
      </c>
      <c r="J1316" t="s">
        <v>813</v>
      </c>
      <c r="K1316" t="s">
        <v>787</v>
      </c>
      <c r="L1316" t="s">
        <v>800</v>
      </c>
      <c r="M1316" s="5">
        <v>46009</v>
      </c>
      <c r="O1316">
        <v>2</v>
      </c>
      <c r="P1316">
        <v>55.3</v>
      </c>
      <c r="Q1316">
        <v>74.66</v>
      </c>
      <c r="R1316">
        <v>0.15</v>
      </c>
      <c r="S1316">
        <v>126.92</v>
      </c>
      <c r="T1316" t="s">
        <v>825</v>
      </c>
      <c r="U1316">
        <v>110.6</v>
      </c>
      <c r="V1316">
        <v>16.32</v>
      </c>
    </row>
    <row r="1317" spans="1:22" x14ac:dyDescent="0.35">
      <c r="A1317" t="s">
        <v>2791</v>
      </c>
      <c r="B1317" t="s">
        <v>1063</v>
      </c>
      <c r="C1317" t="s">
        <v>575</v>
      </c>
      <c r="D1317" t="s">
        <v>439</v>
      </c>
      <c r="E1317" t="s">
        <v>627</v>
      </c>
      <c r="F1317" t="s">
        <v>264</v>
      </c>
      <c r="G1317" t="s">
        <v>797</v>
      </c>
      <c r="H1317" t="s">
        <v>14</v>
      </c>
      <c r="I1317" t="s">
        <v>90</v>
      </c>
      <c r="J1317" t="s">
        <v>813</v>
      </c>
      <c r="K1317" t="s">
        <v>793</v>
      </c>
      <c r="L1317" t="s">
        <v>842</v>
      </c>
      <c r="M1317" s="5">
        <v>46011</v>
      </c>
      <c r="O1317">
        <v>10</v>
      </c>
      <c r="P1317">
        <v>27.34</v>
      </c>
      <c r="Q1317">
        <v>39.64</v>
      </c>
      <c r="R1317">
        <v>0</v>
      </c>
      <c r="S1317">
        <v>396.4</v>
      </c>
      <c r="T1317" t="s">
        <v>803</v>
      </c>
      <c r="U1317">
        <v>273.39999999999998</v>
      </c>
      <c r="V1317">
        <v>123</v>
      </c>
    </row>
    <row r="1318" spans="1:22" x14ac:dyDescent="0.35">
      <c r="A1318" t="s">
        <v>2792</v>
      </c>
      <c r="B1318" t="s">
        <v>2227</v>
      </c>
      <c r="C1318" t="s">
        <v>557</v>
      </c>
      <c r="D1318" t="s">
        <v>558</v>
      </c>
      <c r="E1318" t="s">
        <v>254</v>
      </c>
      <c r="F1318" t="s">
        <v>235</v>
      </c>
      <c r="G1318" t="s">
        <v>20</v>
      </c>
      <c r="H1318" t="s">
        <v>8</v>
      </c>
      <c r="I1318" t="s">
        <v>162</v>
      </c>
      <c r="J1318" t="s">
        <v>813</v>
      </c>
      <c r="K1318" t="s">
        <v>787</v>
      </c>
      <c r="L1318" t="s">
        <v>818</v>
      </c>
      <c r="M1318" s="5">
        <v>45379</v>
      </c>
      <c r="O1318">
        <v>5</v>
      </c>
      <c r="P1318">
        <v>29.86</v>
      </c>
      <c r="Q1318">
        <v>38.82</v>
      </c>
      <c r="R1318">
        <v>0.05</v>
      </c>
      <c r="S1318">
        <v>184.39</v>
      </c>
      <c r="T1318" t="s">
        <v>919</v>
      </c>
      <c r="U1318">
        <v>149.30000000000001</v>
      </c>
      <c r="V1318">
        <v>35.090000000000003</v>
      </c>
    </row>
    <row r="1319" spans="1:22" x14ac:dyDescent="0.35">
      <c r="A1319" t="s">
        <v>2793</v>
      </c>
      <c r="B1319" t="s">
        <v>1732</v>
      </c>
      <c r="C1319" t="s">
        <v>419</v>
      </c>
      <c r="D1319" t="s">
        <v>420</v>
      </c>
      <c r="E1319" t="s">
        <v>627</v>
      </c>
      <c r="F1319" t="s">
        <v>243</v>
      </c>
      <c r="G1319" t="s">
        <v>20</v>
      </c>
      <c r="H1319" t="s">
        <v>8</v>
      </c>
      <c r="I1319" t="s">
        <v>198</v>
      </c>
      <c r="J1319" t="s">
        <v>813</v>
      </c>
      <c r="K1319" t="s">
        <v>799</v>
      </c>
      <c r="L1319" t="s">
        <v>788</v>
      </c>
      <c r="M1319" s="5">
        <v>45568</v>
      </c>
      <c r="N1319" s="5">
        <v>45575</v>
      </c>
      <c r="O1319">
        <v>2</v>
      </c>
      <c r="P1319">
        <v>30.64</v>
      </c>
      <c r="Q1319">
        <v>42.9</v>
      </c>
      <c r="R1319">
        <v>0</v>
      </c>
      <c r="S1319">
        <v>85.8</v>
      </c>
      <c r="T1319" t="s">
        <v>845</v>
      </c>
      <c r="U1319">
        <v>61.28</v>
      </c>
      <c r="V1319">
        <v>24.52</v>
      </c>
    </row>
    <row r="1320" spans="1:22" x14ac:dyDescent="0.35">
      <c r="A1320" t="s">
        <v>2794</v>
      </c>
      <c r="B1320" t="s">
        <v>1201</v>
      </c>
      <c r="C1320" t="s">
        <v>568</v>
      </c>
      <c r="D1320" t="s">
        <v>360</v>
      </c>
      <c r="E1320" t="s">
        <v>637</v>
      </c>
      <c r="G1320" t="s">
        <v>14</v>
      </c>
      <c r="H1320" t="s">
        <v>43</v>
      </c>
      <c r="I1320" t="s">
        <v>99</v>
      </c>
      <c r="J1320" t="s">
        <v>813</v>
      </c>
      <c r="K1320" t="s">
        <v>799</v>
      </c>
      <c r="L1320" t="s">
        <v>800</v>
      </c>
      <c r="M1320" s="5">
        <v>45561</v>
      </c>
      <c r="N1320" s="5">
        <v>45564</v>
      </c>
      <c r="O1320">
        <v>12</v>
      </c>
      <c r="P1320">
        <v>10.88</v>
      </c>
      <c r="Q1320">
        <v>15.78</v>
      </c>
      <c r="R1320">
        <v>0</v>
      </c>
      <c r="S1320">
        <v>189.36</v>
      </c>
      <c r="T1320" t="s">
        <v>935</v>
      </c>
      <c r="U1320">
        <v>130.56</v>
      </c>
      <c r="V1320">
        <v>58.8</v>
      </c>
    </row>
    <row r="1321" spans="1:22" x14ac:dyDescent="0.35">
      <c r="A1321" t="s">
        <v>2795</v>
      </c>
      <c r="B1321" t="s">
        <v>998</v>
      </c>
      <c r="C1321" t="s">
        <v>585</v>
      </c>
      <c r="D1321" t="s">
        <v>586</v>
      </c>
      <c r="E1321" t="s">
        <v>696</v>
      </c>
      <c r="F1321" t="s">
        <v>235</v>
      </c>
      <c r="G1321" t="s">
        <v>20</v>
      </c>
      <c r="H1321" t="s">
        <v>14</v>
      </c>
      <c r="I1321" t="s">
        <v>67</v>
      </c>
      <c r="J1321" t="s">
        <v>798</v>
      </c>
      <c r="K1321" t="s">
        <v>799</v>
      </c>
      <c r="L1321" t="s">
        <v>800</v>
      </c>
      <c r="M1321" s="5">
        <v>45979</v>
      </c>
      <c r="N1321" s="5">
        <v>45979</v>
      </c>
      <c r="O1321">
        <v>3</v>
      </c>
      <c r="P1321">
        <v>17.63</v>
      </c>
      <c r="Q1321">
        <v>22.92</v>
      </c>
      <c r="R1321">
        <v>0.15</v>
      </c>
      <c r="S1321">
        <v>58.45</v>
      </c>
      <c r="T1321" t="s">
        <v>1001</v>
      </c>
      <c r="U1321">
        <v>52.89</v>
      </c>
      <c r="V1321">
        <v>5.56</v>
      </c>
    </row>
    <row r="1322" spans="1:22" x14ac:dyDescent="0.35">
      <c r="A1322" t="s">
        <v>2796</v>
      </c>
      <c r="B1322" t="s">
        <v>1342</v>
      </c>
      <c r="C1322" t="s">
        <v>428</v>
      </c>
      <c r="D1322" t="s">
        <v>429</v>
      </c>
      <c r="E1322" t="s">
        <v>681</v>
      </c>
      <c r="F1322" t="s">
        <v>264</v>
      </c>
      <c r="G1322" t="s">
        <v>797</v>
      </c>
      <c r="H1322" t="s">
        <v>29</v>
      </c>
      <c r="I1322" t="s">
        <v>182</v>
      </c>
      <c r="J1322" t="s">
        <v>798</v>
      </c>
      <c r="K1322" t="s">
        <v>787</v>
      </c>
      <c r="L1322" t="s">
        <v>788</v>
      </c>
      <c r="M1322" s="5">
        <v>45727</v>
      </c>
      <c r="O1322">
        <v>10</v>
      </c>
      <c r="P1322">
        <v>19.77</v>
      </c>
      <c r="Q1322">
        <v>27.68</v>
      </c>
      <c r="R1322">
        <v>0</v>
      </c>
      <c r="S1322">
        <v>276.8</v>
      </c>
      <c r="T1322" t="s">
        <v>834</v>
      </c>
      <c r="U1322">
        <v>197.7</v>
      </c>
      <c r="V1322">
        <v>79.099999999999994</v>
      </c>
    </row>
    <row r="1323" spans="1:22" x14ac:dyDescent="0.35">
      <c r="A1323" t="s">
        <v>2797</v>
      </c>
      <c r="B1323" t="s">
        <v>812</v>
      </c>
      <c r="C1323" t="s">
        <v>334</v>
      </c>
      <c r="D1323" t="s">
        <v>335</v>
      </c>
      <c r="E1323" t="s">
        <v>674</v>
      </c>
      <c r="F1323" t="s">
        <v>243</v>
      </c>
      <c r="G1323" t="s">
        <v>797</v>
      </c>
      <c r="H1323" t="s">
        <v>14</v>
      </c>
      <c r="I1323" t="s">
        <v>209</v>
      </c>
      <c r="J1323" t="s">
        <v>798</v>
      </c>
      <c r="K1323" t="s">
        <v>787</v>
      </c>
      <c r="L1323" t="s">
        <v>842</v>
      </c>
      <c r="M1323" s="5">
        <v>45359</v>
      </c>
      <c r="O1323">
        <v>1</v>
      </c>
      <c r="P1323">
        <v>24.18</v>
      </c>
      <c r="Q1323">
        <v>33.85</v>
      </c>
      <c r="R1323">
        <v>0</v>
      </c>
      <c r="S1323">
        <v>33.85</v>
      </c>
      <c r="T1323" t="s">
        <v>1134</v>
      </c>
      <c r="U1323">
        <v>24.18</v>
      </c>
      <c r="V1323">
        <v>9.67</v>
      </c>
    </row>
    <row r="1324" spans="1:22" x14ac:dyDescent="0.35">
      <c r="A1324" t="s">
        <v>2798</v>
      </c>
      <c r="B1324" t="s">
        <v>1199</v>
      </c>
      <c r="C1324" t="s">
        <v>545</v>
      </c>
      <c r="D1324" t="s">
        <v>546</v>
      </c>
      <c r="E1324" t="s">
        <v>674</v>
      </c>
      <c r="F1324" t="s">
        <v>235</v>
      </c>
      <c r="G1324" t="s">
        <v>20</v>
      </c>
      <c r="H1324" t="s">
        <v>14</v>
      </c>
      <c r="I1324" t="s">
        <v>16</v>
      </c>
      <c r="J1324" t="s">
        <v>798</v>
      </c>
      <c r="K1324" t="s">
        <v>787</v>
      </c>
      <c r="L1324" t="s">
        <v>800</v>
      </c>
      <c r="M1324" s="5">
        <v>46003</v>
      </c>
      <c r="O1324">
        <v>5</v>
      </c>
      <c r="P1324">
        <v>56.69</v>
      </c>
      <c r="Q1324">
        <v>79.37</v>
      </c>
      <c r="R1324">
        <v>0.15</v>
      </c>
      <c r="S1324">
        <v>337.32</v>
      </c>
      <c r="T1324" t="s">
        <v>963</v>
      </c>
      <c r="U1324">
        <v>283.45</v>
      </c>
      <c r="V1324">
        <v>53.87</v>
      </c>
    </row>
    <row r="1325" spans="1:22" x14ac:dyDescent="0.35">
      <c r="A1325" t="s">
        <v>2799</v>
      </c>
      <c r="B1325" t="s">
        <v>1043</v>
      </c>
      <c r="C1325" t="s">
        <v>270</v>
      </c>
      <c r="D1325" t="s">
        <v>231</v>
      </c>
      <c r="E1325" t="s">
        <v>633</v>
      </c>
      <c r="F1325" t="s">
        <v>235</v>
      </c>
      <c r="G1325" t="s">
        <v>797</v>
      </c>
      <c r="H1325" t="s">
        <v>79</v>
      </c>
      <c r="I1325" t="s">
        <v>108</v>
      </c>
      <c r="J1325" t="s">
        <v>813</v>
      </c>
      <c r="K1325" t="s">
        <v>787</v>
      </c>
      <c r="L1325" t="s">
        <v>842</v>
      </c>
      <c r="M1325" s="5">
        <v>45779</v>
      </c>
      <c r="O1325">
        <v>5</v>
      </c>
      <c r="P1325">
        <v>9.3000000000000007</v>
      </c>
      <c r="Q1325">
        <v>12.56</v>
      </c>
      <c r="R1325">
        <v>0</v>
      </c>
      <c r="S1325">
        <v>62.8</v>
      </c>
      <c r="T1325" t="s">
        <v>935</v>
      </c>
      <c r="U1325">
        <v>46.5</v>
      </c>
      <c r="V1325">
        <v>16.3</v>
      </c>
    </row>
    <row r="1326" spans="1:22" x14ac:dyDescent="0.35">
      <c r="A1326" t="s">
        <v>2800</v>
      </c>
      <c r="B1326" t="s">
        <v>1797</v>
      </c>
      <c r="C1326" t="s">
        <v>495</v>
      </c>
      <c r="D1326" t="s">
        <v>496</v>
      </c>
      <c r="E1326" t="s">
        <v>681</v>
      </c>
      <c r="F1326" t="s">
        <v>264</v>
      </c>
      <c r="G1326" t="s">
        <v>48</v>
      </c>
      <c r="H1326" t="s">
        <v>8</v>
      </c>
      <c r="I1326" t="s">
        <v>6</v>
      </c>
      <c r="J1326" t="s">
        <v>786</v>
      </c>
      <c r="K1326" t="s">
        <v>799</v>
      </c>
      <c r="L1326" t="s">
        <v>818</v>
      </c>
      <c r="M1326" s="5">
        <v>45497</v>
      </c>
      <c r="N1326" s="5">
        <v>45490</v>
      </c>
      <c r="O1326">
        <v>10</v>
      </c>
      <c r="P1326">
        <v>32.24</v>
      </c>
      <c r="Q1326">
        <v>41.91</v>
      </c>
      <c r="R1326">
        <v>0</v>
      </c>
      <c r="S1326">
        <v>419.1</v>
      </c>
      <c r="T1326" t="s">
        <v>1134</v>
      </c>
      <c r="U1326">
        <v>322.39999999999998</v>
      </c>
      <c r="V1326">
        <v>96.7</v>
      </c>
    </row>
    <row r="1327" spans="1:22" x14ac:dyDescent="0.35">
      <c r="A1327" t="s">
        <v>2801</v>
      </c>
      <c r="B1327" t="s">
        <v>824</v>
      </c>
      <c r="C1327" t="s">
        <v>606</v>
      </c>
      <c r="D1327" t="s">
        <v>600</v>
      </c>
      <c r="E1327" t="s">
        <v>627</v>
      </c>
      <c r="G1327" t="s">
        <v>20</v>
      </c>
      <c r="H1327" t="s">
        <v>14</v>
      </c>
      <c r="I1327" t="s">
        <v>128</v>
      </c>
      <c r="J1327" t="s">
        <v>813</v>
      </c>
      <c r="K1327" t="s">
        <v>799</v>
      </c>
      <c r="L1327" t="s">
        <v>788</v>
      </c>
      <c r="M1327" s="5">
        <v>45969</v>
      </c>
      <c r="N1327" s="5">
        <v>45968</v>
      </c>
      <c r="O1327">
        <v>3</v>
      </c>
      <c r="P1327">
        <v>18.850000000000001</v>
      </c>
      <c r="Q1327">
        <v>27.33</v>
      </c>
      <c r="R1327">
        <v>0</v>
      </c>
      <c r="S1327">
        <v>81.99</v>
      </c>
      <c r="T1327" t="s">
        <v>876</v>
      </c>
      <c r="U1327">
        <v>56.55</v>
      </c>
      <c r="V1327">
        <v>25.44</v>
      </c>
    </row>
    <row r="1328" spans="1:22" x14ac:dyDescent="0.35">
      <c r="A1328" t="s">
        <v>2802</v>
      </c>
      <c r="B1328" t="s">
        <v>1829</v>
      </c>
      <c r="C1328" t="s">
        <v>351</v>
      </c>
      <c r="D1328" t="s">
        <v>352</v>
      </c>
      <c r="E1328" t="s">
        <v>254</v>
      </c>
      <c r="F1328" t="s">
        <v>264</v>
      </c>
      <c r="G1328" t="s">
        <v>20</v>
      </c>
      <c r="H1328" t="s">
        <v>14</v>
      </c>
      <c r="I1328" t="s">
        <v>209</v>
      </c>
      <c r="J1328" t="s">
        <v>798</v>
      </c>
      <c r="K1328" t="s">
        <v>799</v>
      </c>
      <c r="L1328" t="s">
        <v>800</v>
      </c>
      <c r="M1328" s="5">
        <v>45797</v>
      </c>
      <c r="N1328" s="5">
        <v>45797</v>
      </c>
      <c r="O1328">
        <v>3</v>
      </c>
      <c r="P1328">
        <v>24.18</v>
      </c>
      <c r="Q1328">
        <v>33.85</v>
      </c>
      <c r="R1328">
        <v>0</v>
      </c>
      <c r="S1328">
        <v>101.55</v>
      </c>
      <c r="T1328" t="s">
        <v>810</v>
      </c>
      <c r="U1328">
        <v>72.540000000000006</v>
      </c>
      <c r="V1328">
        <v>29.01</v>
      </c>
    </row>
    <row r="1329" spans="1:22" x14ac:dyDescent="0.35">
      <c r="A1329" t="s">
        <v>2803</v>
      </c>
      <c r="B1329" t="s">
        <v>1484</v>
      </c>
      <c r="C1329" t="s">
        <v>563</v>
      </c>
      <c r="D1329" t="s">
        <v>311</v>
      </c>
      <c r="E1329" t="s">
        <v>633</v>
      </c>
      <c r="F1329" t="s">
        <v>264</v>
      </c>
      <c r="G1329" t="s">
        <v>20</v>
      </c>
      <c r="H1329" t="s">
        <v>8</v>
      </c>
      <c r="I1329" t="s">
        <v>91</v>
      </c>
      <c r="J1329" t="s">
        <v>786</v>
      </c>
      <c r="K1329" t="s">
        <v>793</v>
      </c>
      <c r="L1329" t="s">
        <v>842</v>
      </c>
      <c r="M1329" s="5">
        <v>45345</v>
      </c>
      <c r="O1329">
        <v>2</v>
      </c>
      <c r="P1329">
        <v>36.82</v>
      </c>
      <c r="Q1329">
        <v>47.87</v>
      </c>
      <c r="R1329">
        <v>0</v>
      </c>
      <c r="S1329">
        <v>95.74</v>
      </c>
      <c r="T1329" t="s">
        <v>819</v>
      </c>
      <c r="U1329">
        <v>73.64</v>
      </c>
      <c r="V1329">
        <v>22.1</v>
      </c>
    </row>
    <row r="1330" spans="1:22" x14ac:dyDescent="0.35">
      <c r="A1330" t="s">
        <v>2804</v>
      </c>
      <c r="B1330" t="s">
        <v>2047</v>
      </c>
      <c r="C1330" t="s">
        <v>382</v>
      </c>
      <c r="D1330" t="s">
        <v>383</v>
      </c>
      <c r="E1330" t="s">
        <v>674</v>
      </c>
      <c r="F1330" t="s">
        <v>264</v>
      </c>
      <c r="G1330" t="s">
        <v>797</v>
      </c>
      <c r="H1330" t="s">
        <v>8</v>
      </c>
      <c r="I1330" t="s">
        <v>207</v>
      </c>
      <c r="J1330" t="s">
        <v>798</v>
      </c>
      <c r="K1330" t="s">
        <v>799</v>
      </c>
      <c r="L1330" t="s">
        <v>800</v>
      </c>
      <c r="M1330" s="5">
        <v>45812</v>
      </c>
      <c r="N1330" s="5">
        <v>45814</v>
      </c>
      <c r="O1330">
        <v>3</v>
      </c>
      <c r="P1330">
        <v>8.5399999999999991</v>
      </c>
      <c r="Q1330">
        <v>10.67</v>
      </c>
      <c r="R1330">
        <v>0.1</v>
      </c>
      <c r="S1330">
        <v>28.81</v>
      </c>
      <c r="T1330" t="s">
        <v>935</v>
      </c>
      <c r="U1330">
        <v>25.62</v>
      </c>
      <c r="V1330">
        <v>3.19</v>
      </c>
    </row>
    <row r="1331" spans="1:22" x14ac:dyDescent="0.35">
      <c r="A1331" t="s">
        <v>2805</v>
      </c>
      <c r="B1331" t="s">
        <v>1225</v>
      </c>
      <c r="C1331" t="s">
        <v>556</v>
      </c>
      <c r="D1331" t="s">
        <v>472</v>
      </c>
      <c r="E1331" t="s">
        <v>674</v>
      </c>
      <c r="F1331" t="s">
        <v>235</v>
      </c>
      <c r="G1331" t="s">
        <v>797</v>
      </c>
      <c r="H1331" t="s">
        <v>48</v>
      </c>
      <c r="I1331" t="s">
        <v>210</v>
      </c>
      <c r="J1331" t="s">
        <v>786</v>
      </c>
      <c r="K1331" t="s">
        <v>799</v>
      </c>
      <c r="L1331" t="s">
        <v>818</v>
      </c>
      <c r="M1331" s="5">
        <v>45910</v>
      </c>
      <c r="N1331" s="5">
        <v>45905</v>
      </c>
      <c r="O1331">
        <v>3</v>
      </c>
      <c r="P1331">
        <v>25.36</v>
      </c>
      <c r="Q1331">
        <v>34.24</v>
      </c>
      <c r="R1331">
        <v>0.15</v>
      </c>
      <c r="S1331">
        <v>87.31</v>
      </c>
      <c r="T1331" t="s">
        <v>803</v>
      </c>
      <c r="U1331">
        <v>76.08</v>
      </c>
      <c r="V1331">
        <v>11.23</v>
      </c>
    </row>
    <row r="1332" spans="1:22" x14ac:dyDescent="0.35">
      <c r="A1332" t="s">
        <v>2806</v>
      </c>
      <c r="B1332" t="s">
        <v>981</v>
      </c>
      <c r="C1332" t="s">
        <v>607</v>
      </c>
      <c r="D1332" t="s">
        <v>608</v>
      </c>
      <c r="E1332" t="s">
        <v>696</v>
      </c>
      <c r="F1332" t="s">
        <v>264</v>
      </c>
      <c r="G1332" t="s">
        <v>797</v>
      </c>
      <c r="H1332" t="s">
        <v>8</v>
      </c>
      <c r="I1332" t="s">
        <v>162</v>
      </c>
      <c r="J1332" t="s">
        <v>798</v>
      </c>
      <c r="K1332" t="s">
        <v>793</v>
      </c>
      <c r="L1332" t="s">
        <v>842</v>
      </c>
      <c r="M1332" s="5">
        <v>45596</v>
      </c>
      <c r="O1332">
        <v>10</v>
      </c>
      <c r="P1332">
        <v>29.86</v>
      </c>
      <c r="Q1332">
        <v>38.82</v>
      </c>
      <c r="R1332">
        <v>0.05</v>
      </c>
      <c r="S1332">
        <v>368.79</v>
      </c>
      <c r="T1332" t="s">
        <v>876</v>
      </c>
      <c r="U1332">
        <v>298.60000000000002</v>
      </c>
      <c r="V1332">
        <v>70.19</v>
      </c>
    </row>
    <row r="1333" spans="1:22" x14ac:dyDescent="0.35">
      <c r="A1333" t="s">
        <v>2807</v>
      </c>
      <c r="B1333" t="s">
        <v>961</v>
      </c>
      <c r="C1333" t="s">
        <v>541</v>
      </c>
      <c r="D1333" t="s">
        <v>542</v>
      </c>
      <c r="E1333" t="s">
        <v>674</v>
      </c>
      <c r="F1333" t="s">
        <v>235</v>
      </c>
      <c r="G1333" t="s">
        <v>48</v>
      </c>
      <c r="H1333" t="s">
        <v>14</v>
      </c>
      <c r="I1333" t="s">
        <v>12</v>
      </c>
      <c r="J1333" t="s">
        <v>786</v>
      </c>
      <c r="K1333" t="s">
        <v>793</v>
      </c>
      <c r="L1333" t="s">
        <v>800</v>
      </c>
      <c r="M1333" s="5">
        <v>45780</v>
      </c>
      <c r="O1333">
        <v>5</v>
      </c>
      <c r="P1333">
        <v>35.03</v>
      </c>
      <c r="Q1333">
        <v>50.79</v>
      </c>
      <c r="R1333">
        <v>0</v>
      </c>
      <c r="S1333">
        <v>253.95</v>
      </c>
      <c r="T1333" t="s">
        <v>869</v>
      </c>
      <c r="U1333">
        <v>175.15</v>
      </c>
      <c r="V1333">
        <v>78.8</v>
      </c>
    </row>
    <row r="1334" spans="1:22" x14ac:dyDescent="0.35">
      <c r="A1334" t="s">
        <v>2808</v>
      </c>
      <c r="B1334" t="s">
        <v>1484</v>
      </c>
      <c r="C1334" t="s">
        <v>576</v>
      </c>
      <c r="D1334" t="s">
        <v>577</v>
      </c>
      <c r="E1334" t="s">
        <v>627</v>
      </c>
      <c r="F1334" t="s">
        <v>243</v>
      </c>
      <c r="G1334" t="s">
        <v>797</v>
      </c>
      <c r="H1334" t="s">
        <v>43</v>
      </c>
      <c r="I1334" t="s">
        <v>215</v>
      </c>
      <c r="J1334" t="s">
        <v>798</v>
      </c>
      <c r="K1334" t="s">
        <v>799</v>
      </c>
      <c r="L1334" t="s">
        <v>842</v>
      </c>
      <c r="M1334" s="5">
        <v>45338</v>
      </c>
      <c r="N1334" s="5">
        <v>45335</v>
      </c>
      <c r="O1334">
        <v>10</v>
      </c>
      <c r="P1334">
        <v>28.96</v>
      </c>
      <c r="Q1334">
        <v>40.54</v>
      </c>
      <c r="R1334">
        <v>0</v>
      </c>
      <c r="S1334">
        <v>405.4</v>
      </c>
      <c r="T1334" t="s">
        <v>845</v>
      </c>
      <c r="U1334">
        <v>289.60000000000002</v>
      </c>
      <c r="V1334">
        <v>115.8</v>
      </c>
    </row>
    <row r="1335" spans="1:22" x14ac:dyDescent="0.35">
      <c r="A1335" t="s">
        <v>2809</v>
      </c>
      <c r="B1335" t="s">
        <v>1271</v>
      </c>
      <c r="C1335" t="s">
        <v>481</v>
      </c>
      <c r="D1335" t="s">
        <v>482</v>
      </c>
      <c r="E1335" t="s">
        <v>254</v>
      </c>
      <c r="F1335" t="s">
        <v>264</v>
      </c>
      <c r="G1335" t="s">
        <v>48</v>
      </c>
      <c r="H1335" t="s">
        <v>29</v>
      </c>
      <c r="I1335" t="s">
        <v>158</v>
      </c>
      <c r="J1335" t="s">
        <v>786</v>
      </c>
      <c r="K1335" t="s">
        <v>793</v>
      </c>
      <c r="L1335" t="s">
        <v>818</v>
      </c>
      <c r="M1335" s="5">
        <v>45712</v>
      </c>
      <c r="O1335">
        <v>1</v>
      </c>
      <c r="P1335">
        <v>25.8</v>
      </c>
      <c r="Q1335">
        <v>36.119999999999997</v>
      </c>
      <c r="R1335">
        <v>0</v>
      </c>
      <c r="S1335">
        <v>36.119999999999997</v>
      </c>
      <c r="T1335" t="s">
        <v>892</v>
      </c>
      <c r="U1335">
        <v>25.8</v>
      </c>
      <c r="V1335">
        <v>10.32</v>
      </c>
    </row>
    <row r="1336" spans="1:22" x14ac:dyDescent="0.35">
      <c r="A1336" t="s">
        <v>2810</v>
      </c>
      <c r="B1336" t="s">
        <v>2321</v>
      </c>
      <c r="C1336" t="s">
        <v>426</v>
      </c>
      <c r="D1336" t="s">
        <v>427</v>
      </c>
      <c r="E1336" t="s">
        <v>637</v>
      </c>
      <c r="F1336" t="s">
        <v>264</v>
      </c>
      <c r="G1336" t="s">
        <v>14</v>
      </c>
      <c r="H1336" t="s">
        <v>29</v>
      </c>
      <c r="I1336" t="s">
        <v>176</v>
      </c>
      <c r="J1336" t="s">
        <v>813</v>
      </c>
      <c r="K1336" t="s">
        <v>817</v>
      </c>
      <c r="L1336" t="s">
        <v>788</v>
      </c>
      <c r="M1336" s="5">
        <v>46045</v>
      </c>
      <c r="O1336">
        <v>5</v>
      </c>
      <c r="P1336">
        <v>25.88</v>
      </c>
      <c r="Q1336">
        <v>36.229999999999997</v>
      </c>
      <c r="R1336">
        <v>0.1</v>
      </c>
      <c r="S1336">
        <v>163.03</v>
      </c>
      <c r="T1336" t="s">
        <v>825</v>
      </c>
      <c r="U1336">
        <v>129.4</v>
      </c>
      <c r="V1336">
        <v>33.630000000000003</v>
      </c>
    </row>
    <row r="1337" spans="1:22" x14ac:dyDescent="0.35">
      <c r="A1337" t="s">
        <v>2811</v>
      </c>
      <c r="B1337" t="s">
        <v>2067</v>
      </c>
      <c r="C1337" t="s">
        <v>616</v>
      </c>
      <c r="D1337" t="s">
        <v>231</v>
      </c>
      <c r="E1337" t="s">
        <v>254</v>
      </c>
      <c r="F1337" t="s">
        <v>264</v>
      </c>
      <c r="G1337" t="s">
        <v>20</v>
      </c>
      <c r="H1337" t="s">
        <v>38</v>
      </c>
      <c r="I1337" t="s">
        <v>69</v>
      </c>
      <c r="J1337" t="s">
        <v>786</v>
      </c>
      <c r="K1337" t="s">
        <v>793</v>
      </c>
      <c r="L1337" t="s">
        <v>800</v>
      </c>
      <c r="M1337" s="5">
        <v>45871</v>
      </c>
      <c r="O1337">
        <v>5</v>
      </c>
      <c r="P1337">
        <v>20.9</v>
      </c>
      <c r="Q1337">
        <v>28.21</v>
      </c>
      <c r="R1337">
        <v>0</v>
      </c>
      <c r="S1337">
        <v>141.05000000000001</v>
      </c>
      <c r="T1337" t="s">
        <v>790</v>
      </c>
      <c r="U1337">
        <v>104.5</v>
      </c>
      <c r="V1337">
        <v>36.549999999999997</v>
      </c>
    </row>
    <row r="1338" spans="1:22" x14ac:dyDescent="0.35">
      <c r="A1338" t="s">
        <v>2812</v>
      </c>
      <c r="B1338" t="s">
        <v>823</v>
      </c>
      <c r="C1338" t="s">
        <v>248</v>
      </c>
      <c r="D1338" t="s">
        <v>249</v>
      </c>
      <c r="E1338" t="s">
        <v>681</v>
      </c>
      <c r="G1338" t="s">
        <v>797</v>
      </c>
      <c r="H1338" t="s">
        <v>43</v>
      </c>
      <c r="I1338" t="s">
        <v>99</v>
      </c>
      <c r="J1338" t="s">
        <v>798</v>
      </c>
      <c r="K1338" t="s">
        <v>793</v>
      </c>
      <c r="L1338" t="s">
        <v>818</v>
      </c>
      <c r="M1338" s="5">
        <v>45970</v>
      </c>
      <c r="O1338">
        <v>12</v>
      </c>
      <c r="P1338">
        <v>10.88</v>
      </c>
      <c r="Q1338">
        <v>15.78</v>
      </c>
      <c r="R1338">
        <v>0</v>
      </c>
      <c r="S1338">
        <v>189.36</v>
      </c>
      <c r="T1338" t="s">
        <v>919</v>
      </c>
      <c r="U1338">
        <v>130.56</v>
      </c>
      <c r="V1338">
        <v>58.8</v>
      </c>
    </row>
    <row r="1339" spans="1:22" x14ac:dyDescent="0.35">
      <c r="A1339" t="s">
        <v>2813</v>
      </c>
      <c r="B1339" t="s">
        <v>2407</v>
      </c>
      <c r="C1339" t="s">
        <v>362</v>
      </c>
      <c r="D1339" t="s">
        <v>363</v>
      </c>
      <c r="E1339" t="s">
        <v>681</v>
      </c>
      <c r="F1339" t="s">
        <v>235</v>
      </c>
      <c r="G1339" t="s">
        <v>797</v>
      </c>
      <c r="H1339" t="s">
        <v>43</v>
      </c>
      <c r="I1339" t="s">
        <v>44</v>
      </c>
      <c r="J1339" t="s">
        <v>798</v>
      </c>
      <c r="K1339" t="s">
        <v>787</v>
      </c>
      <c r="L1339" t="s">
        <v>818</v>
      </c>
      <c r="M1339" s="5">
        <v>45431</v>
      </c>
      <c r="O1339">
        <v>12</v>
      </c>
      <c r="P1339">
        <v>14.05</v>
      </c>
      <c r="Q1339">
        <v>19.670000000000002</v>
      </c>
      <c r="R1339">
        <v>0</v>
      </c>
      <c r="S1339">
        <v>236.04</v>
      </c>
      <c r="T1339" t="s">
        <v>810</v>
      </c>
      <c r="U1339">
        <v>168.6</v>
      </c>
      <c r="V1339">
        <v>67.44</v>
      </c>
    </row>
    <row r="1340" spans="1:22" x14ac:dyDescent="0.35">
      <c r="A1340" t="s">
        <v>2815</v>
      </c>
      <c r="B1340" t="s">
        <v>1216</v>
      </c>
      <c r="C1340" t="s">
        <v>611</v>
      </c>
      <c r="D1340" t="s">
        <v>287</v>
      </c>
      <c r="E1340" t="s">
        <v>633</v>
      </c>
      <c r="F1340" t="s">
        <v>235</v>
      </c>
      <c r="G1340" t="s">
        <v>797</v>
      </c>
      <c r="H1340" t="s">
        <v>43</v>
      </c>
      <c r="I1340" t="s">
        <v>146</v>
      </c>
      <c r="J1340" t="s">
        <v>798</v>
      </c>
      <c r="K1340" t="s">
        <v>799</v>
      </c>
      <c r="L1340" t="s">
        <v>842</v>
      </c>
      <c r="M1340" s="5">
        <v>45669</v>
      </c>
      <c r="N1340" s="5">
        <v>45664</v>
      </c>
      <c r="O1340">
        <v>10</v>
      </c>
      <c r="P1340">
        <v>24.05</v>
      </c>
      <c r="Q1340">
        <v>31.27</v>
      </c>
      <c r="R1340">
        <v>0</v>
      </c>
      <c r="S1340">
        <v>312.7</v>
      </c>
      <c r="T1340" t="s">
        <v>888</v>
      </c>
      <c r="U1340">
        <v>240.5</v>
      </c>
      <c r="V1340">
        <v>72.2</v>
      </c>
    </row>
    <row r="1341" spans="1:22" x14ac:dyDescent="0.35">
      <c r="A1341" t="s">
        <v>2816</v>
      </c>
      <c r="B1341" t="s">
        <v>2546</v>
      </c>
      <c r="C1341" t="s">
        <v>295</v>
      </c>
      <c r="D1341" t="s">
        <v>296</v>
      </c>
      <c r="E1341" t="s">
        <v>637</v>
      </c>
      <c r="F1341" t="s">
        <v>264</v>
      </c>
      <c r="G1341" t="s">
        <v>20</v>
      </c>
      <c r="H1341" t="s">
        <v>48</v>
      </c>
      <c r="I1341" t="s">
        <v>135</v>
      </c>
      <c r="J1341" t="s">
        <v>786</v>
      </c>
      <c r="K1341" t="s">
        <v>793</v>
      </c>
      <c r="L1341" t="s">
        <v>788</v>
      </c>
      <c r="M1341" s="5">
        <v>45309</v>
      </c>
      <c r="O1341">
        <v>5</v>
      </c>
      <c r="P1341">
        <v>51.72</v>
      </c>
      <c r="Q1341">
        <v>67.239999999999995</v>
      </c>
      <c r="R1341">
        <v>0</v>
      </c>
      <c r="S1341">
        <v>336.2</v>
      </c>
      <c r="T1341" t="s">
        <v>845</v>
      </c>
      <c r="U1341">
        <v>258.60000000000002</v>
      </c>
      <c r="V1341">
        <v>77.599999999999994</v>
      </c>
    </row>
    <row r="1342" spans="1:22" x14ac:dyDescent="0.35">
      <c r="A1342" t="s">
        <v>2817</v>
      </c>
      <c r="B1342" t="s">
        <v>1426</v>
      </c>
      <c r="C1342" t="s">
        <v>511</v>
      </c>
      <c r="D1342" t="s">
        <v>512</v>
      </c>
      <c r="E1342" t="s">
        <v>637</v>
      </c>
      <c r="F1342" t="s">
        <v>264</v>
      </c>
      <c r="G1342" t="s">
        <v>20</v>
      </c>
      <c r="H1342" t="s">
        <v>8</v>
      </c>
      <c r="I1342" t="s">
        <v>73</v>
      </c>
      <c r="J1342" t="s">
        <v>798</v>
      </c>
      <c r="K1342" t="s">
        <v>799</v>
      </c>
      <c r="L1342" t="s">
        <v>818</v>
      </c>
      <c r="M1342" s="5">
        <v>45644</v>
      </c>
      <c r="N1342" s="5">
        <v>45642</v>
      </c>
      <c r="O1342">
        <v>10</v>
      </c>
      <c r="P1342">
        <v>67.95</v>
      </c>
      <c r="Q1342">
        <v>88.34</v>
      </c>
      <c r="R1342">
        <v>0.15</v>
      </c>
      <c r="S1342">
        <v>750.89</v>
      </c>
      <c r="T1342" t="s">
        <v>946</v>
      </c>
      <c r="U1342">
        <v>679.5</v>
      </c>
      <c r="V1342">
        <v>71.39</v>
      </c>
    </row>
    <row r="1343" spans="1:22" x14ac:dyDescent="0.35">
      <c r="A1343" t="s">
        <v>2818</v>
      </c>
      <c r="B1343" t="s">
        <v>1647</v>
      </c>
      <c r="C1343" t="s">
        <v>317</v>
      </c>
      <c r="D1343" t="s">
        <v>318</v>
      </c>
      <c r="E1343" t="s">
        <v>633</v>
      </c>
      <c r="F1343" t="s">
        <v>264</v>
      </c>
      <c r="G1343" t="s">
        <v>797</v>
      </c>
      <c r="H1343" t="s">
        <v>14</v>
      </c>
      <c r="I1343" t="s">
        <v>16</v>
      </c>
      <c r="J1343" t="s">
        <v>786</v>
      </c>
      <c r="K1343" t="s">
        <v>799</v>
      </c>
      <c r="L1343" t="s">
        <v>800</v>
      </c>
      <c r="M1343" s="5">
        <v>45391</v>
      </c>
      <c r="N1343" s="5">
        <v>45387</v>
      </c>
      <c r="O1343">
        <v>12</v>
      </c>
      <c r="P1343">
        <v>56.69</v>
      </c>
      <c r="Q1343">
        <v>79.37</v>
      </c>
      <c r="R1343">
        <v>0.15</v>
      </c>
      <c r="S1343">
        <v>809.57</v>
      </c>
      <c r="T1343" t="s">
        <v>839</v>
      </c>
      <c r="U1343">
        <v>680.28</v>
      </c>
      <c r="V1343">
        <v>129.29</v>
      </c>
    </row>
    <row r="1344" spans="1:22" x14ac:dyDescent="0.35">
      <c r="A1344" t="s">
        <v>2819</v>
      </c>
      <c r="B1344" t="s">
        <v>1623</v>
      </c>
      <c r="C1344" t="s">
        <v>358</v>
      </c>
      <c r="D1344" t="s">
        <v>287</v>
      </c>
      <c r="E1344" t="s">
        <v>674</v>
      </c>
      <c r="F1344" t="s">
        <v>243</v>
      </c>
      <c r="G1344" t="s">
        <v>797</v>
      </c>
      <c r="H1344" t="s">
        <v>43</v>
      </c>
      <c r="I1344" t="s">
        <v>113</v>
      </c>
      <c r="J1344" t="s">
        <v>798</v>
      </c>
      <c r="K1344" t="s">
        <v>799</v>
      </c>
      <c r="L1344" t="s">
        <v>788</v>
      </c>
      <c r="M1344" s="5">
        <v>45387</v>
      </c>
      <c r="N1344" s="5">
        <v>45386</v>
      </c>
      <c r="O1344">
        <v>20</v>
      </c>
      <c r="P1344">
        <v>16.91</v>
      </c>
      <c r="Q1344">
        <v>21.14</v>
      </c>
      <c r="R1344">
        <v>0.05</v>
      </c>
      <c r="S1344">
        <v>401.66</v>
      </c>
      <c r="T1344" t="s">
        <v>869</v>
      </c>
      <c r="U1344">
        <v>338.2</v>
      </c>
      <c r="V1344">
        <v>63.46</v>
      </c>
    </row>
    <row r="1345" spans="1:22" x14ac:dyDescent="0.35">
      <c r="A1345" t="s">
        <v>2820</v>
      </c>
      <c r="B1345" t="s">
        <v>1508</v>
      </c>
      <c r="C1345" t="s">
        <v>463</v>
      </c>
      <c r="D1345" t="s">
        <v>464</v>
      </c>
      <c r="E1345" t="s">
        <v>637</v>
      </c>
      <c r="F1345" t="s">
        <v>264</v>
      </c>
      <c r="G1345" t="s">
        <v>20</v>
      </c>
      <c r="H1345" t="s">
        <v>38</v>
      </c>
      <c r="I1345" t="s">
        <v>172</v>
      </c>
      <c r="J1345" t="s">
        <v>813</v>
      </c>
      <c r="K1345" t="s">
        <v>799</v>
      </c>
      <c r="L1345" t="s">
        <v>818</v>
      </c>
      <c r="M1345" s="5">
        <v>45325</v>
      </c>
      <c r="N1345" s="5">
        <v>45326</v>
      </c>
      <c r="O1345">
        <v>5</v>
      </c>
      <c r="P1345">
        <v>18.329999999999998</v>
      </c>
      <c r="Q1345">
        <v>22.91</v>
      </c>
      <c r="R1345">
        <v>0</v>
      </c>
      <c r="S1345">
        <v>114.55</v>
      </c>
      <c r="T1345" t="s">
        <v>810</v>
      </c>
      <c r="U1345">
        <v>91.65</v>
      </c>
      <c r="V1345">
        <v>22.9</v>
      </c>
    </row>
    <row r="1346" spans="1:22" x14ac:dyDescent="0.35">
      <c r="A1346" t="s">
        <v>2821</v>
      </c>
      <c r="B1346" t="s">
        <v>1084</v>
      </c>
      <c r="C1346" t="s">
        <v>502</v>
      </c>
      <c r="D1346" t="s">
        <v>503</v>
      </c>
      <c r="E1346" t="s">
        <v>637</v>
      </c>
      <c r="F1346" t="s">
        <v>235</v>
      </c>
      <c r="G1346" t="s">
        <v>14</v>
      </c>
      <c r="H1346" t="s">
        <v>29</v>
      </c>
      <c r="I1346" t="s">
        <v>123</v>
      </c>
      <c r="J1346" t="s">
        <v>798</v>
      </c>
      <c r="K1346" t="s">
        <v>817</v>
      </c>
      <c r="L1346" t="s">
        <v>788</v>
      </c>
      <c r="M1346" s="5">
        <v>45934</v>
      </c>
      <c r="O1346">
        <v>10</v>
      </c>
      <c r="P1346">
        <v>20.7</v>
      </c>
      <c r="Q1346">
        <v>30.01</v>
      </c>
      <c r="R1346">
        <v>0.15</v>
      </c>
      <c r="S1346">
        <v>255.09</v>
      </c>
      <c r="T1346" t="s">
        <v>819</v>
      </c>
      <c r="U1346">
        <v>207</v>
      </c>
      <c r="V1346">
        <v>48.09</v>
      </c>
    </row>
    <row r="1347" spans="1:22" x14ac:dyDescent="0.35">
      <c r="A1347" t="s">
        <v>2822</v>
      </c>
      <c r="B1347" t="s">
        <v>855</v>
      </c>
      <c r="C1347" t="s">
        <v>463</v>
      </c>
      <c r="D1347" t="s">
        <v>464</v>
      </c>
      <c r="E1347" t="s">
        <v>633</v>
      </c>
      <c r="F1347" t="s">
        <v>264</v>
      </c>
      <c r="G1347" t="s">
        <v>14</v>
      </c>
      <c r="H1347" t="s">
        <v>8</v>
      </c>
      <c r="I1347" t="s">
        <v>95</v>
      </c>
      <c r="J1347" t="s">
        <v>813</v>
      </c>
      <c r="K1347" t="s">
        <v>787</v>
      </c>
      <c r="L1347" t="s">
        <v>818</v>
      </c>
      <c r="M1347" s="5">
        <v>45865</v>
      </c>
      <c r="O1347">
        <v>1</v>
      </c>
      <c r="P1347">
        <v>23.02</v>
      </c>
      <c r="Q1347">
        <v>28.77</v>
      </c>
      <c r="R1347">
        <v>0</v>
      </c>
      <c r="S1347">
        <v>28.77</v>
      </c>
      <c r="T1347" t="s">
        <v>839</v>
      </c>
      <c r="U1347">
        <v>23.02</v>
      </c>
      <c r="V1347">
        <v>5.75</v>
      </c>
    </row>
    <row r="1348" spans="1:22" x14ac:dyDescent="0.35">
      <c r="A1348" t="s">
        <v>2823</v>
      </c>
      <c r="B1348" t="s">
        <v>1356</v>
      </c>
      <c r="C1348" t="s">
        <v>252</v>
      </c>
      <c r="D1348" t="s">
        <v>253</v>
      </c>
      <c r="E1348" t="s">
        <v>681</v>
      </c>
      <c r="F1348" t="s">
        <v>243</v>
      </c>
      <c r="G1348" t="s">
        <v>48</v>
      </c>
      <c r="H1348" t="s">
        <v>38</v>
      </c>
      <c r="I1348" t="s">
        <v>36</v>
      </c>
      <c r="J1348" t="s">
        <v>798</v>
      </c>
      <c r="K1348" t="s">
        <v>793</v>
      </c>
      <c r="L1348" t="s">
        <v>842</v>
      </c>
      <c r="M1348" s="5">
        <v>45883</v>
      </c>
      <c r="O1348">
        <v>1</v>
      </c>
      <c r="P1348">
        <v>8.57</v>
      </c>
      <c r="Q1348">
        <v>11.14</v>
      </c>
      <c r="R1348">
        <v>0</v>
      </c>
      <c r="S1348">
        <v>11.14</v>
      </c>
      <c r="T1348" t="s">
        <v>845</v>
      </c>
      <c r="U1348">
        <v>8.57</v>
      </c>
      <c r="V1348">
        <v>2.57</v>
      </c>
    </row>
    <row r="1349" spans="1:22" x14ac:dyDescent="0.35">
      <c r="A1349" t="s">
        <v>2824</v>
      </c>
      <c r="B1349" t="s">
        <v>1430</v>
      </c>
      <c r="C1349" t="s">
        <v>320</v>
      </c>
      <c r="D1349" t="s">
        <v>321</v>
      </c>
      <c r="E1349" t="s">
        <v>627</v>
      </c>
      <c r="F1349" t="s">
        <v>235</v>
      </c>
      <c r="G1349" t="s">
        <v>14</v>
      </c>
      <c r="H1349" t="s">
        <v>29</v>
      </c>
      <c r="I1349" t="s">
        <v>145</v>
      </c>
      <c r="J1349" t="s">
        <v>786</v>
      </c>
      <c r="K1349" t="s">
        <v>799</v>
      </c>
      <c r="L1349" t="s">
        <v>818</v>
      </c>
      <c r="M1349" s="5">
        <v>45393</v>
      </c>
      <c r="N1349" s="5">
        <v>45388</v>
      </c>
      <c r="O1349">
        <v>5</v>
      </c>
      <c r="P1349">
        <v>57.16</v>
      </c>
      <c r="Q1349">
        <v>82.88</v>
      </c>
      <c r="R1349">
        <v>0.05</v>
      </c>
      <c r="S1349">
        <v>393.68</v>
      </c>
      <c r="T1349" t="s">
        <v>790</v>
      </c>
      <c r="U1349">
        <v>285.8</v>
      </c>
      <c r="V1349">
        <v>107.88</v>
      </c>
    </row>
    <row r="1350" spans="1:22" x14ac:dyDescent="0.35">
      <c r="A1350" t="s">
        <v>2825</v>
      </c>
      <c r="B1350" t="s">
        <v>1999</v>
      </c>
      <c r="C1350" t="s">
        <v>334</v>
      </c>
      <c r="D1350" t="s">
        <v>335</v>
      </c>
      <c r="E1350" t="s">
        <v>627</v>
      </c>
      <c r="F1350" t="s">
        <v>243</v>
      </c>
      <c r="G1350" t="s">
        <v>20</v>
      </c>
      <c r="H1350" t="s">
        <v>38</v>
      </c>
      <c r="I1350" t="s">
        <v>117</v>
      </c>
      <c r="J1350" t="s">
        <v>786</v>
      </c>
      <c r="K1350" t="s">
        <v>799</v>
      </c>
      <c r="L1350" t="s">
        <v>788</v>
      </c>
      <c r="M1350" s="5">
        <v>46049</v>
      </c>
      <c r="N1350" s="5">
        <v>46042</v>
      </c>
      <c r="O1350">
        <v>3</v>
      </c>
      <c r="P1350">
        <v>43.25</v>
      </c>
      <c r="Q1350">
        <v>60.55</v>
      </c>
      <c r="R1350">
        <v>0</v>
      </c>
      <c r="S1350">
        <v>181.65</v>
      </c>
      <c r="T1350" t="s">
        <v>790</v>
      </c>
      <c r="U1350">
        <v>129.75</v>
      </c>
      <c r="V1350">
        <v>51.9</v>
      </c>
    </row>
    <row r="1351" spans="1:22" x14ac:dyDescent="0.35">
      <c r="A1351" t="s">
        <v>2826</v>
      </c>
      <c r="B1351" t="s">
        <v>1677</v>
      </c>
      <c r="C1351" t="s">
        <v>327</v>
      </c>
      <c r="D1351" t="s">
        <v>328</v>
      </c>
      <c r="E1351" t="s">
        <v>254</v>
      </c>
      <c r="F1351" t="s">
        <v>264</v>
      </c>
      <c r="G1351" t="s">
        <v>48</v>
      </c>
      <c r="H1351" t="s">
        <v>8</v>
      </c>
      <c r="I1351" t="s">
        <v>204</v>
      </c>
      <c r="J1351" t="s">
        <v>798</v>
      </c>
      <c r="K1351" t="s">
        <v>817</v>
      </c>
      <c r="L1351" t="s">
        <v>800</v>
      </c>
      <c r="M1351" s="5">
        <v>45599</v>
      </c>
      <c r="O1351">
        <v>2</v>
      </c>
      <c r="P1351">
        <v>28.27</v>
      </c>
      <c r="Q1351">
        <v>40.99</v>
      </c>
      <c r="R1351">
        <v>0.05</v>
      </c>
      <c r="S1351">
        <v>77.88</v>
      </c>
      <c r="T1351" t="s">
        <v>888</v>
      </c>
      <c r="U1351">
        <v>56.54</v>
      </c>
      <c r="V1351">
        <v>21.34</v>
      </c>
    </row>
    <row r="1352" spans="1:22" x14ac:dyDescent="0.35">
      <c r="A1352" t="s">
        <v>2827</v>
      </c>
      <c r="B1352" t="s">
        <v>1545</v>
      </c>
      <c r="C1352" t="s">
        <v>473</v>
      </c>
      <c r="D1352" t="s">
        <v>368</v>
      </c>
      <c r="E1352" t="s">
        <v>254</v>
      </c>
      <c r="F1352" t="s">
        <v>235</v>
      </c>
      <c r="G1352" t="s">
        <v>48</v>
      </c>
      <c r="H1352" t="s">
        <v>43</v>
      </c>
      <c r="I1352" t="s">
        <v>53</v>
      </c>
      <c r="J1352" t="s">
        <v>798</v>
      </c>
      <c r="K1352" t="s">
        <v>799</v>
      </c>
      <c r="L1352" t="s">
        <v>800</v>
      </c>
      <c r="M1352" s="5">
        <v>45586</v>
      </c>
      <c r="N1352" s="5">
        <v>45580</v>
      </c>
      <c r="O1352">
        <v>5</v>
      </c>
      <c r="P1352">
        <v>54.93</v>
      </c>
      <c r="Q1352">
        <v>79.650000000000006</v>
      </c>
      <c r="R1352">
        <v>0.05</v>
      </c>
      <c r="S1352">
        <v>378.34</v>
      </c>
      <c r="T1352" t="s">
        <v>839</v>
      </c>
      <c r="U1352">
        <v>274.64999999999998</v>
      </c>
      <c r="V1352">
        <v>103.69</v>
      </c>
    </row>
    <row r="1353" spans="1:22" x14ac:dyDescent="0.35">
      <c r="A1353" t="s">
        <v>2828</v>
      </c>
      <c r="B1353" t="s">
        <v>1447</v>
      </c>
      <c r="C1353" t="s">
        <v>369</v>
      </c>
      <c r="D1353" t="s">
        <v>282</v>
      </c>
      <c r="E1353" t="s">
        <v>681</v>
      </c>
      <c r="F1353" t="s">
        <v>243</v>
      </c>
      <c r="G1353" t="s">
        <v>797</v>
      </c>
      <c r="H1353" t="s">
        <v>38</v>
      </c>
      <c r="I1353" t="s">
        <v>117</v>
      </c>
      <c r="J1353" t="s">
        <v>813</v>
      </c>
      <c r="K1353" t="s">
        <v>799</v>
      </c>
      <c r="L1353" t="s">
        <v>842</v>
      </c>
      <c r="M1353" s="5">
        <v>45586</v>
      </c>
      <c r="N1353" s="5">
        <v>45585</v>
      </c>
      <c r="O1353">
        <v>5</v>
      </c>
      <c r="P1353">
        <v>43.25</v>
      </c>
      <c r="Q1353">
        <v>60.55</v>
      </c>
      <c r="R1353">
        <v>0</v>
      </c>
      <c r="S1353">
        <v>302.75</v>
      </c>
      <c r="T1353" t="s">
        <v>919</v>
      </c>
      <c r="U1353">
        <v>216.25</v>
      </c>
      <c r="V1353">
        <v>86.5</v>
      </c>
    </row>
    <row r="1354" spans="1:22" x14ac:dyDescent="0.35">
      <c r="A1354" t="s">
        <v>2829</v>
      </c>
      <c r="B1354" t="s">
        <v>1220</v>
      </c>
      <c r="C1354" t="s">
        <v>432</v>
      </c>
      <c r="D1354" t="s">
        <v>433</v>
      </c>
      <c r="E1354" t="s">
        <v>254</v>
      </c>
      <c r="F1354" t="s">
        <v>243</v>
      </c>
      <c r="G1354" t="s">
        <v>797</v>
      </c>
      <c r="H1354" t="s">
        <v>14</v>
      </c>
      <c r="I1354" t="s">
        <v>186</v>
      </c>
      <c r="J1354" t="s">
        <v>798</v>
      </c>
      <c r="K1354" t="s">
        <v>799</v>
      </c>
      <c r="L1354" t="s">
        <v>788</v>
      </c>
      <c r="M1354" s="5">
        <v>45569</v>
      </c>
      <c r="N1354" s="5">
        <v>45567</v>
      </c>
      <c r="O1354">
        <v>20</v>
      </c>
      <c r="P1354">
        <v>28.32</v>
      </c>
      <c r="Q1354">
        <v>35.4</v>
      </c>
      <c r="R1354">
        <v>0</v>
      </c>
      <c r="S1354">
        <v>708</v>
      </c>
      <c r="T1354" t="s">
        <v>1017</v>
      </c>
      <c r="U1354">
        <v>566.4</v>
      </c>
      <c r="V1354">
        <v>141.6</v>
      </c>
    </row>
    <row r="1355" spans="1:22" x14ac:dyDescent="0.35">
      <c r="A1355" t="s">
        <v>2830</v>
      </c>
      <c r="B1355" t="s">
        <v>1344</v>
      </c>
      <c r="C1355" t="s">
        <v>310</v>
      </c>
      <c r="D1355" t="s">
        <v>311</v>
      </c>
      <c r="E1355" t="s">
        <v>637</v>
      </c>
      <c r="F1355" t="s">
        <v>264</v>
      </c>
      <c r="G1355" t="s">
        <v>20</v>
      </c>
      <c r="H1355" t="s">
        <v>20</v>
      </c>
      <c r="I1355" t="s">
        <v>34</v>
      </c>
      <c r="J1355" t="s">
        <v>786</v>
      </c>
      <c r="K1355" t="s">
        <v>799</v>
      </c>
      <c r="L1355" t="s">
        <v>800</v>
      </c>
      <c r="M1355" s="5">
        <v>45869</v>
      </c>
      <c r="N1355" s="5">
        <v>45860</v>
      </c>
      <c r="O1355">
        <v>5</v>
      </c>
      <c r="P1355">
        <v>28.02</v>
      </c>
      <c r="Q1355">
        <v>36.43</v>
      </c>
      <c r="R1355">
        <v>0.1</v>
      </c>
      <c r="S1355">
        <v>163.94</v>
      </c>
      <c r="T1355" t="s">
        <v>825</v>
      </c>
      <c r="U1355">
        <v>140.1</v>
      </c>
      <c r="V1355">
        <v>23.84</v>
      </c>
    </row>
    <row r="1356" spans="1:22" x14ac:dyDescent="0.35">
      <c r="A1356" t="s">
        <v>2831</v>
      </c>
      <c r="B1356" t="s">
        <v>1505</v>
      </c>
      <c r="C1356" t="s">
        <v>606</v>
      </c>
      <c r="D1356" t="s">
        <v>600</v>
      </c>
      <c r="E1356" t="s">
        <v>254</v>
      </c>
      <c r="G1356" t="s">
        <v>797</v>
      </c>
      <c r="H1356" t="s">
        <v>14</v>
      </c>
      <c r="I1356" t="s">
        <v>128</v>
      </c>
      <c r="J1356" t="s">
        <v>786</v>
      </c>
      <c r="K1356" t="s">
        <v>787</v>
      </c>
      <c r="L1356" t="s">
        <v>800</v>
      </c>
      <c r="M1356" s="5">
        <v>45408</v>
      </c>
      <c r="O1356">
        <v>5</v>
      </c>
      <c r="P1356">
        <v>18.850000000000001</v>
      </c>
      <c r="Q1356">
        <v>27.33</v>
      </c>
      <c r="R1356">
        <v>0</v>
      </c>
      <c r="S1356">
        <v>136.65</v>
      </c>
      <c r="T1356" t="s">
        <v>829</v>
      </c>
      <c r="U1356">
        <v>94.25</v>
      </c>
      <c r="V1356">
        <v>42.4</v>
      </c>
    </row>
    <row r="1357" spans="1:22" x14ac:dyDescent="0.35">
      <c r="A1357" t="s">
        <v>2832</v>
      </c>
      <c r="B1357" t="s">
        <v>1527</v>
      </c>
      <c r="C1357" t="s">
        <v>320</v>
      </c>
      <c r="D1357" t="s">
        <v>321</v>
      </c>
      <c r="E1357" t="s">
        <v>627</v>
      </c>
      <c r="F1357" t="s">
        <v>235</v>
      </c>
      <c r="G1357" t="s">
        <v>797</v>
      </c>
      <c r="H1357" t="s">
        <v>29</v>
      </c>
      <c r="I1357" t="s">
        <v>115</v>
      </c>
      <c r="J1357" t="s">
        <v>786</v>
      </c>
      <c r="K1357" t="s">
        <v>787</v>
      </c>
      <c r="L1357" t="s">
        <v>800</v>
      </c>
      <c r="M1357" s="5">
        <v>45446</v>
      </c>
      <c r="O1357">
        <v>1</v>
      </c>
      <c r="P1357">
        <v>34.340000000000003</v>
      </c>
      <c r="Q1357">
        <v>44.64</v>
      </c>
      <c r="R1357">
        <v>0.05</v>
      </c>
      <c r="S1357">
        <v>42.41</v>
      </c>
      <c r="T1357" t="s">
        <v>790</v>
      </c>
      <c r="U1357">
        <v>34.340000000000003</v>
      </c>
      <c r="V1357">
        <v>8.07</v>
      </c>
    </row>
    <row r="1358" spans="1:22" x14ac:dyDescent="0.35">
      <c r="A1358" t="s">
        <v>2833</v>
      </c>
      <c r="B1358" t="s">
        <v>1081</v>
      </c>
      <c r="C1358" t="s">
        <v>355</v>
      </c>
      <c r="D1358" t="s">
        <v>356</v>
      </c>
      <c r="E1358" t="s">
        <v>627</v>
      </c>
      <c r="F1358" t="s">
        <v>264</v>
      </c>
      <c r="G1358" t="s">
        <v>48</v>
      </c>
      <c r="H1358" t="s">
        <v>48</v>
      </c>
      <c r="I1358" t="s">
        <v>217</v>
      </c>
      <c r="J1358" t="s">
        <v>786</v>
      </c>
      <c r="K1358" t="s">
        <v>793</v>
      </c>
      <c r="L1358" t="s">
        <v>800</v>
      </c>
      <c r="M1358" s="5">
        <v>45415</v>
      </c>
      <c r="O1358">
        <v>2</v>
      </c>
      <c r="P1358">
        <v>24.07</v>
      </c>
      <c r="Q1358">
        <v>34.9</v>
      </c>
      <c r="R1358">
        <v>0</v>
      </c>
      <c r="S1358">
        <v>69.8</v>
      </c>
      <c r="T1358" t="s">
        <v>810</v>
      </c>
      <c r="U1358">
        <v>48.14</v>
      </c>
      <c r="V1358">
        <v>21.66</v>
      </c>
    </row>
    <row r="1359" spans="1:22" x14ac:dyDescent="0.35">
      <c r="A1359" t="s">
        <v>2834</v>
      </c>
      <c r="B1359" t="s">
        <v>821</v>
      </c>
      <c r="C1359" t="s">
        <v>588</v>
      </c>
      <c r="D1359" t="s">
        <v>435</v>
      </c>
      <c r="E1359" t="s">
        <v>637</v>
      </c>
      <c r="F1359" t="s">
        <v>264</v>
      </c>
      <c r="G1359" t="s">
        <v>797</v>
      </c>
      <c r="H1359" t="s">
        <v>43</v>
      </c>
      <c r="I1359" t="s">
        <v>53</v>
      </c>
      <c r="J1359" t="s">
        <v>786</v>
      </c>
      <c r="K1359" t="s">
        <v>799</v>
      </c>
      <c r="L1359" t="s">
        <v>788</v>
      </c>
      <c r="M1359" s="5">
        <v>45970</v>
      </c>
      <c r="N1359" s="5">
        <v>45965</v>
      </c>
      <c r="O1359">
        <v>2</v>
      </c>
      <c r="P1359">
        <v>54.93</v>
      </c>
      <c r="Q1359">
        <v>79.650000000000006</v>
      </c>
      <c r="R1359">
        <v>0</v>
      </c>
      <c r="S1359">
        <v>159.30000000000001</v>
      </c>
      <c r="T1359" t="s">
        <v>825</v>
      </c>
      <c r="U1359">
        <v>109.86</v>
      </c>
      <c r="V1359">
        <v>49.44</v>
      </c>
    </row>
    <row r="1360" spans="1:22" x14ac:dyDescent="0.35">
      <c r="A1360" t="s">
        <v>2835</v>
      </c>
      <c r="B1360" t="s">
        <v>1248</v>
      </c>
      <c r="C1360" t="s">
        <v>238</v>
      </c>
      <c r="D1360" t="s">
        <v>239</v>
      </c>
      <c r="E1360" t="s">
        <v>681</v>
      </c>
      <c r="F1360" t="s">
        <v>243</v>
      </c>
      <c r="G1360" t="s">
        <v>14</v>
      </c>
      <c r="H1360" t="s">
        <v>38</v>
      </c>
      <c r="I1360" t="s">
        <v>69</v>
      </c>
      <c r="J1360" t="s">
        <v>798</v>
      </c>
      <c r="K1360" t="s">
        <v>799</v>
      </c>
      <c r="L1360" t="s">
        <v>788</v>
      </c>
      <c r="M1360" s="5">
        <v>45543</v>
      </c>
      <c r="N1360" s="5">
        <v>45540</v>
      </c>
      <c r="O1360">
        <v>3</v>
      </c>
      <c r="P1360">
        <v>20.9</v>
      </c>
      <c r="Q1360">
        <v>28.21</v>
      </c>
      <c r="R1360">
        <v>0.05</v>
      </c>
      <c r="S1360">
        <v>80.400000000000006</v>
      </c>
      <c r="T1360" t="s">
        <v>790</v>
      </c>
      <c r="U1360">
        <v>62.7</v>
      </c>
      <c r="V1360">
        <v>17.7</v>
      </c>
    </row>
    <row r="1361" spans="1:22" x14ac:dyDescent="0.35">
      <c r="A1361" t="s">
        <v>2836</v>
      </c>
      <c r="B1361" t="s">
        <v>812</v>
      </c>
      <c r="C1361" t="s">
        <v>382</v>
      </c>
      <c r="D1361" t="s">
        <v>383</v>
      </c>
      <c r="E1361" t="s">
        <v>627</v>
      </c>
      <c r="F1361" t="s">
        <v>264</v>
      </c>
      <c r="G1361" t="s">
        <v>14</v>
      </c>
      <c r="H1361" t="s">
        <v>14</v>
      </c>
      <c r="I1361" t="s">
        <v>194</v>
      </c>
      <c r="J1361" t="s">
        <v>813</v>
      </c>
      <c r="K1361" t="s">
        <v>799</v>
      </c>
      <c r="L1361" t="s">
        <v>800</v>
      </c>
      <c r="M1361" s="5">
        <v>45355</v>
      </c>
      <c r="N1361" s="5">
        <v>45362</v>
      </c>
      <c r="O1361">
        <v>2</v>
      </c>
      <c r="P1361">
        <v>20.32</v>
      </c>
      <c r="Q1361">
        <v>25.4</v>
      </c>
      <c r="R1361">
        <v>0</v>
      </c>
      <c r="S1361">
        <v>50.8</v>
      </c>
      <c r="T1361" t="s">
        <v>935</v>
      </c>
      <c r="U1361">
        <v>40.64</v>
      </c>
      <c r="V1361">
        <v>10.16</v>
      </c>
    </row>
    <row r="1362" spans="1:22" x14ac:dyDescent="0.35">
      <c r="A1362" t="s">
        <v>2837</v>
      </c>
      <c r="B1362" t="s">
        <v>1147</v>
      </c>
      <c r="C1362" t="s">
        <v>418</v>
      </c>
      <c r="D1362" t="s">
        <v>253</v>
      </c>
      <c r="E1362" t="s">
        <v>633</v>
      </c>
      <c r="F1362" t="s">
        <v>264</v>
      </c>
      <c r="G1362" t="s">
        <v>797</v>
      </c>
      <c r="H1362" t="s">
        <v>14</v>
      </c>
      <c r="I1362" t="s">
        <v>111</v>
      </c>
      <c r="J1362" t="s">
        <v>786</v>
      </c>
      <c r="K1362" t="s">
        <v>787</v>
      </c>
      <c r="L1362" t="s">
        <v>818</v>
      </c>
      <c r="M1362" s="5">
        <v>45727</v>
      </c>
      <c r="O1362">
        <v>12</v>
      </c>
      <c r="P1362">
        <v>19.850000000000001</v>
      </c>
      <c r="Q1362">
        <v>28.78</v>
      </c>
      <c r="R1362">
        <v>0</v>
      </c>
      <c r="S1362">
        <v>345.36</v>
      </c>
      <c r="T1362" t="s">
        <v>869</v>
      </c>
      <c r="U1362">
        <v>238.2</v>
      </c>
      <c r="V1362">
        <v>107.16</v>
      </c>
    </row>
    <row r="1363" spans="1:22" x14ac:dyDescent="0.35">
      <c r="A1363" t="s">
        <v>2838</v>
      </c>
      <c r="B1363" t="s">
        <v>832</v>
      </c>
      <c r="C1363" t="s">
        <v>230</v>
      </c>
      <c r="D1363" t="s">
        <v>231</v>
      </c>
      <c r="E1363" t="s">
        <v>254</v>
      </c>
      <c r="F1363" t="s">
        <v>235</v>
      </c>
      <c r="G1363" t="s">
        <v>797</v>
      </c>
      <c r="H1363" t="s">
        <v>38</v>
      </c>
      <c r="I1363" t="s">
        <v>69</v>
      </c>
      <c r="J1363" t="s">
        <v>813</v>
      </c>
      <c r="K1363" t="s">
        <v>793</v>
      </c>
      <c r="L1363" t="s">
        <v>788</v>
      </c>
      <c r="M1363" s="5">
        <v>45914</v>
      </c>
      <c r="O1363">
        <v>3</v>
      </c>
      <c r="P1363">
        <v>20.9</v>
      </c>
      <c r="Q1363">
        <v>28.21</v>
      </c>
      <c r="R1363">
        <v>0.1</v>
      </c>
      <c r="S1363">
        <v>76.17</v>
      </c>
      <c r="T1363" t="s">
        <v>810</v>
      </c>
      <c r="U1363">
        <v>62.7</v>
      </c>
      <c r="V1363">
        <v>13.47</v>
      </c>
    </row>
    <row r="1364" spans="1:22" x14ac:dyDescent="0.35">
      <c r="A1364" t="s">
        <v>2839</v>
      </c>
      <c r="B1364" t="s">
        <v>2011</v>
      </c>
      <c r="C1364" t="s">
        <v>334</v>
      </c>
      <c r="D1364" t="s">
        <v>335</v>
      </c>
      <c r="E1364" t="s">
        <v>681</v>
      </c>
      <c r="F1364" t="s">
        <v>243</v>
      </c>
      <c r="G1364" t="s">
        <v>797</v>
      </c>
      <c r="H1364" t="s">
        <v>14</v>
      </c>
      <c r="I1364" t="s">
        <v>152</v>
      </c>
      <c r="J1364" t="s">
        <v>798</v>
      </c>
      <c r="K1364" t="s">
        <v>793</v>
      </c>
      <c r="L1364" t="s">
        <v>788</v>
      </c>
      <c r="M1364" s="5">
        <v>45955</v>
      </c>
      <c r="O1364">
        <v>12</v>
      </c>
      <c r="P1364">
        <v>38.549999999999997</v>
      </c>
      <c r="Q1364">
        <v>53.97</v>
      </c>
      <c r="R1364">
        <v>0.15</v>
      </c>
      <c r="S1364">
        <v>550.49</v>
      </c>
      <c r="T1364" t="s">
        <v>829</v>
      </c>
      <c r="U1364">
        <v>462.6</v>
      </c>
      <c r="V1364">
        <v>87.89</v>
      </c>
    </row>
    <row r="1365" spans="1:22" x14ac:dyDescent="0.35">
      <c r="A1365" t="s">
        <v>2840</v>
      </c>
      <c r="B1365" t="s">
        <v>975</v>
      </c>
      <c r="C1365" t="s">
        <v>582</v>
      </c>
      <c r="D1365" t="s">
        <v>583</v>
      </c>
      <c r="E1365" t="s">
        <v>696</v>
      </c>
      <c r="F1365" t="s">
        <v>264</v>
      </c>
      <c r="G1365" t="s">
        <v>797</v>
      </c>
      <c r="H1365" t="s">
        <v>14</v>
      </c>
      <c r="I1365" t="s">
        <v>93</v>
      </c>
      <c r="J1365" t="s">
        <v>798</v>
      </c>
      <c r="K1365" t="s">
        <v>822</v>
      </c>
      <c r="L1365" t="s">
        <v>842</v>
      </c>
      <c r="M1365" s="5">
        <v>46047</v>
      </c>
      <c r="N1365" s="5">
        <v>46042</v>
      </c>
      <c r="O1365">
        <v>3</v>
      </c>
      <c r="P1365">
        <v>26.96</v>
      </c>
      <c r="Q1365">
        <v>37.74</v>
      </c>
      <c r="R1365">
        <v>0.15</v>
      </c>
      <c r="S1365">
        <v>96.24</v>
      </c>
      <c r="T1365" t="s">
        <v>963</v>
      </c>
      <c r="U1365">
        <v>80.88</v>
      </c>
      <c r="V1365">
        <v>15.36</v>
      </c>
    </row>
    <row r="1366" spans="1:22" x14ac:dyDescent="0.35">
      <c r="A1366" t="s">
        <v>2841</v>
      </c>
      <c r="B1366" t="s">
        <v>1582</v>
      </c>
      <c r="C1366" t="s">
        <v>473</v>
      </c>
      <c r="D1366" t="s">
        <v>368</v>
      </c>
      <c r="E1366" t="s">
        <v>254</v>
      </c>
      <c r="F1366" t="s">
        <v>235</v>
      </c>
      <c r="G1366" t="s">
        <v>797</v>
      </c>
      <c r="H1366" t="s">
        <v>38</v>
      </c>
      <c r="I1366" t="s">
        <v>82</v>
      </c>
      <c r="J1366" t="s">
        <v>798</v>
      </c>
      <c r="K1366" t="s">
        <v>787</v>
      </c>
      <c r="L1366" t="s">
        <v>842</v>
      </c>
      <c r="M1366" s="5">
        <v>46011</v>
      </c>
      <c r="O1366">
        <v>3</v>
      </c>
      <c r="P1366">
        <v>12.54</v>
      </c>
      <c r="Q1366">
        <v>16.93</v>
      </c>
      <c r="R1366">
        <v>0</v>
      </c>
      <c r="S1366">
        <v>50.79</v>
      </c>
      <c r="T1366" t="s">
        <v>1134</v>
      </c>
      <c r="U1366">
        <v>37.619999999999997</v>
      </c>
      <c r="V1366">
        <v>13.17</v>
      </c>
    </row>
    <row r="1367" spans="1:22" x14ac:dyDescent="0.35">
      <c r="A1367" t="s">
        <v>2842</v>
      </c>
      <c r="B1367" t="s">
        <v>899</v>
      </c>
      <c r="C1367" t="s">
        <v>573</v>
      </c>
      <c r="D1367" t="s">
        <v>277</v>
      </c>
      <c r="E1367" t="s">
        <v>627</v>
      </c>
      <c r="F1367" t="s">
        <v>235</v>
      </c>
      <c r="G1367" t="s">
        <v>14</v>
      </c>
      <c r="H1367" t="s">
        <v>8</v>
      </c>
      <c r="I1367" t="s">
        <v>174</v>
      </c>
      <c r="J1367" t="s">
        <v>798</v>
      </c>
      <c r="K1367" t="s">
        <v>793</v>
      </c>
      <c r="L1367" t="s">
        <v>788</v>
      </c>
      <c r="M1367" s="5">
        <v>45719</v>
      </c>
      <c r="O1367">
        <v>12</v>
      </c>
      <c r="P1367">
        <v>32.53</v>
      </c>
      <c r="Q1367">
        <v>43.92</v>
      </c>
      <c r="R1367">
        <v>0</v>
      </c>
      <c r="S1367">
        <v>527.04</v>
      </c>
      <c r="T1367" t="s">
        <v>935</v>
      </c>
      <c r="U1367">
        <v>390.36</v>
      </c>
      <c r="V1367">
        <v>136.68</v>
      </c>
    </row>
    <row r="1368" spans="1:22" x14ac:dyDescent="0.35">
      <c r="A1368" t="s">
        <v>2843</v>
      </c>
      <c r="B1368" t="s">
        <v>1214</v>
      </c>
      <c r="C1368" t="s">
        <v>575</v>
      </c>
      <c r="D1368" t="s">
        <v>439</v>
      </c>
      <c r="E1368" t="s">
        <v>637</v>
      </c>
      <c r="F1368" t="s">
        <v>264</v>
      </c>
      <c r="G1368" t="s">
        <v>48</v>
      </c>
      <c r="H1368" t="s">
        <v>20</v>
      </c>
      <c r="I1368" t="s">
        <v>104</v>
      </c>
      <c r="J1368" t="s">
        <v>798</v>
      </c>
      <c r="K1368" t="s">
        <v>799</v>
      </c>
      <c r="L1368" t="s">
        <v>800</v>
      </c>
      <c r="M1368" s="5">
        <v>45660</v>
      </c>
      <c r="N1368" s="5">
        <v>45658</v>
      </c>
      <c r="O1368">
        <v>5</v>
      </c>
      <c r="P1368">
        <v>43.88</v>
      </c>
      <c r="Q1368">
        <v>54.85</v>
      </c>
      <c r="R1368">
        <v>0.05</v>
      </c>
      <c r="S1368">
        <v>260.54000000000002</v>
      </c>
      <c r="T1368" t="s">
        <v>829</v>
      </c>
      <c r="U1368">
        <v>219.4</v>
      </c>
      <c r="V1368">
        <v>41.14</v>
      </c>
    </row>
    <row r="1369" spans="1:22" x14ac:dyDescent="0.35">
      <c r="A1369" t="s">
        <v>2844</v>
      </c>
      <c r="B1369" t="s">
        <v>2546</v>
      </c>
      <c r="C1369" t="s">
        <v>495</v>
      </c>
      <c r="D1369" t="s">
        <v>496</v>
      </c>
      <c r="E1369" t="s">
        <v>674</v>
      </c>
      <c r="F1369" t="s">
        <v>264</v>
      </c>
      <c r="G1369" t="s">
        <v>797</v>
      </c>
      <c r="H1369" t="s">
        <v>8</v>
      </c>
      <c r="I1369" t="s">
        <v>101</v>
      </c>
      <c r="J1369" t="s">
        <v>786</v>
      </c>
      <c r="K1369" t="s">
        <v>787</v>
      </c>
      <c r="L1369" t="s">
        <v>818</v>
      </c>
      <c r="M1369" s="5">
        <v>45309</v>
      </c>
      <c r="O1369">
        <v>20</v>
      </c>
      <c r="P1369">
        <v>16.510000000000002</v>
      </c>
      <c r="Q1369">
        <v>23.94</v>
      </c>
      <c r="R1369">
        <v>0.1</v>
      </c>
      <c r="S1369">
        <v>430.92</v>
      </c>
      <c r="T1369" t="s">
        <v>859</v>
      </c>
      <c r="U1369">
        <v>330.2</v>
      </c>
      <c r="V1369">
        <v>100.72</v>
      </c>
    </row>
    <row r="1370" spans="1:22" x14ac:dyDescent="0.35">
      <c r="A1370" t="s">
        <v>2845</v>
      </c>
      <c r="B1370" t="s">
        <v>1884</v>
      </c>
      <c r="C1370" t="s">
        <v>329</v>
      </c>
      <c r="D1370" t="s">
        <v>330</v>
      </c>
      <c r="E1370" t="s">
        <v>633</v>
      </c>
      <c r="F1370" t="s">
        <v>235</v>
      </c>
      <c r="G1370" t="s">
        <v>797</v>
      </c>
      <c r="H1370" t="s">
        <v>43</v>
      </c>
      <c r="I1370" t="s">
        <v>53</v>
      </c>
      <c r="J1370" t="s">
        <v>798</v>
      </c>
      <c r="K1370" t="s">
        <v>793</v>
      </c>
      <c r="L1370" t="s">
        <v>842</v>
      </c>
      <c r="M1370" s="5">
        <v>45507</v>
      </c>
      <c r="O1370">
        <v>2</v>
      </c>
      <c r="P1370">
        <v>54.93</v>
      </c>
      <c r="Q1370">
        <v>79.650000000000006</v>
      </c>
      <c r="R1370">
        <v>0.05</v>
      </c>
      <c r="S1370">
        <v>151.34</v>
      </c>
      <c r="T1370" t="s">
        <v>892</v>
      </c>
      <c r="U1370">
        <v>109.86</v>
      </c>
      <c r="V1370">
        <v>41.48</v>
      </c>
    </row>
    <row r="1371" spans="1:22" x14ac:dyDescent="0.35">
      <c r="A1371" t="s">
        <v>2846</v>
      </c>
      <c r="B1371" t="s">
        <v>1437</v>
      </c>
      <c r="C1371" t="s">
        <v>493</v>
      </c>
      <c r="D1371" t="s">
        <v>311</v>
      </c>
      <c r="E1371" t="s">
        <v>633</v>
      </c>
      <c r="F1371" t="s">
        <v>243</v>
      </c>
      <c r="G1371" t="s">
        <v>797</v>
      </c>
      <c r="H1371" t="s">
        <v>48</v>
      </c>
      <c r="I1371" t="s">
        <v>179</v>
      </c>
      <c r="J1371" t="s">
        <v>798</v>
      </c>
      <c r="K1371" t="s">
        <v>793</v>
      </c>
      <c r="L1371" t="s">
        <v>800</v>
      </c>
      <c r="M1371" s="5">
        <v>45365</v>
      </c>
      <c r="O1371">
        <v>12</v>
      </c>
      <c r="P1371">
        <v>16.670000000000002</v>
      </c>
      <c r="Q1371">
        <v>22.5</v>
      </c>
      <c r="R1371">
        <v>0.05</v>
      </c>
      <c r="S1371">
        <v>256.5</v>
      </c>
      <c r="T1371" t="s">
        <v>935</v>
      </c>
      <c r="U1371">
        <v>200.04</v>
      </c>
      <c r="V1371">
        <v>56.46</v>
      </c>
    </row>
    <row r="1372" spans="1:22" x14ac:dyDescent="0.35">
      <c r="A1372" t="s">
        <v>2847</v>
      </c>
      <c r="B1372" t="s">
        <v>1374</v>
      </c>
      <c r="C1372" t="s">
        <v>501</v>
      </c>
      <c r="D1372" t="s">
        <v>363</v>
      </c>
      <c r="E1372" t="s">
        <v>674</v>
      </c>
      <c r="F1372" t="s">
        <v>264</v>
      </c>
      <c r="G1372" t="s">
        <v>797</v>
      </c>
      <c r="H1372" t="s">
        <v>8</v>
      </c>
      <c r="I1372" t="s">
        <v>91</v>
      </c>
      <c r="J1372" t="s">
        <v>813</v>
      </c>
      <c r="K1372" t="s">
        <v>799</v>
      </c>
      <c r="L1372" t="s">
        <v>818</v>
      </c>
      <c r="M1372" s="5">
        <v>45571</v>
      </c>
      <c r="N1372" s="5">
        <v>45577</v>
      </c>
      <c r="O1372">
        <v>20</v>
      </c>
      <c r="P1372">
        <v>36.82</v>
      </c>
      <c r="Q1372">
        <v>47.87</v>
      </c>
      <c r="R1372">
        <v>0.05</v>
      </c>
      <c r="S1372">
        <v>909.53</v>
      </c>
      <c r="T1372" t="s">
        <v>794</v>
      </c>
      <c r="U1372">
        <v>736.4</v>
      </c>
      <c r="V1372">
        <v>173.13</v>
      </c>
    </row>
    <row r="1373" spans="1:22" x14ac:dyDescent="0.35">
      <c r="A1373" t="s">
        <v>2848</v>
      </c>
      <c r="B1373" t="s">
        <v>1119</v>
      </c>
      <c r="C1373" t="s">
        <v>351</v>
      </c>
      <c r="D1373" t="s">
        <v>352</v>
      </c>
      <c r="E1373" t="s">
        <v>254</v>
      </c>
      <c r="F1373" t="s">
        <v>264</v>
      </c>
      <c r="G1373" t="s">
        <v>797</v>
      </c>
      <c r="H1373" t="s">
        <v>29</v>
      </c>
      <c r="I1373" t="s">
        <v>27</v>
      </c>
      <c r="J1373" t="s">
        <v>798</v>
      </c>
      <c r="K1373" t="s">
        <v>793</v>
      </c>
      <c r="L1373" t="s">
        <v>842</v>
      </c>
      <c r="M1373" s="5">
        <v>45820</v>
      </c>
      <c r="O1373">
        <v>1</v>
      </c>
      <c r="P1373">
        <v>33.06</v>
      </c>
      <c r="Q1373">
        <v>47.94</v>
      </c>
      <c r="R1373">
        <v>0</v>
      </c>
      <c r="S1373">
        <v>47.94</v>
      </c>
      <c r="T1373" t="s">
        <v>825</v>
      </c>
      <c r="U1373">
        <v>33.06</v>
      </c>
      <c r="V1373">
        <v>14.88</v>
      </c>
    </row>
    <row r="1374" spans="1:22" x14ac:dyDescent="0.35">
      <c r="A1374" t="s">
        <v>2849</v>
      </c>
      <c r="B1374" t="s">
        <v>1151</v>
      </c>
      <c r="C1374" t="s">
        <v>605</v>
      </c>
      <c r="D1374" t="s">
        <v>389</v>
      </c>
      <c r="E1374" t="s">
        <v>696</v>
      </c>
      <c r="F1374" t="s">
        <v>264</v>
      </c>
      <c r="G1374" t="s">
        <v>797</v>
      </c>
      <c r="H1374" t="s">
        <v>8</v>
      </c>
      <c r="I1374" t="s">
        <v>6</v>
      </c>
      <c r="J1374" t="s">
        <v>798</v>
      </c>
      <c r="K1374" t="s">
        <v>822</v>
      </c>
      <c r="L1374" t="s">
        <v>788</v>
      </c>
      <c r="M1374" s="5">
        <v>45827</v>
      </c>
      <c r="N1374" s="5">
        <v>45824</v>
      </c>
      <c r="O1374">
        <v>10</v>
      </c>
      <c r="P1374">
        <v>32.24</v>
      </c>
      <c r="Q1374">
        <v>41.91</v>
      </c>
      <c r="R1374">
        <v>0</v>
      </c>
      <c r="S1374">
        <v>419.1</v>
      </c>
      <c r="T1374" t="s">
        <v>1017</v>
      </c>
      <c r="U1374">
        <v>322.39999999999998</v>
      </c>
      <c r="V1374">
        <v>96.7</v>
      </c>
    </row>
    <row r="1375" spans="1:22" x14ac:dyDescent="0.35">
      <c r="A1375" t="s">
        <v>2850</v>
      </c>
      <c r="B1375" t="s">
        <v>1041</v>
      </c>
      <c r="C1375" t="s">
        <v>557</v>
      </c>
      <c r="D1375" t="s">
        <v>558</v>
      </c>
      <c r="E1375" t="s">
        <v>627</v>
      </c>
      <c r="F1375" t="s">
        <v>235</v>
      </c>
      <c r="G1375" t="s">
        <v>20</v>
      </c>
      <c r="H1375" t="s">
        <v>14</v>
      </c>
      <c r="I1375" t="s">
        <v>12</v>
      </c>
      <c r="J1375" t="s">
        <v>798</v>
      </c>
      <c r="K1375" t="s">
        <v>793</v>
      </c>
      <c r="L1375" t="s">
        <v>818</v>
      </c>
      <c r="M1375" s="5">
        <v>45983</v>
      </c>
      <c r="O1375">
        <v>1</v>
      </c>
      <c r="P1375">
        <v>35.03</v>
      </c>
      <c r="Q1375">
        <v>50.79</v>
      </c>
      <c r="R1375">
        <v>0.1</v>
      </c>
      <c r="S1375">
        <v>45.71</v>
      </c>
      <c r="T1375" t="s">
        <v>839</v>
      </c>
      <c r="U1375">
        <v>35.03</v>
      </c>
      <c r="V1375">
        <v>10.68</v>
      </c>
    </row>
    <row r="1376" spans="1:22" x14ac:dyDescent="0.35">
      <c r="A1376" t="s">
        <v>2851</v>
      </c>
      <c r="B1376" t="s">
        <v>1129</v>
      </c>
      <c r="C1376" t="s">
        <v>436</v>
      </c>
      <c r="D1376" t="s">
        <v>396</v>
      </c>
      <c r="E1376" t="s">
        <v>637</v>
      </c>
      <c r="F1376" t="s">
        <v>235</v>
      </c>
      <c r="G1376" t="s">
        <v>14</v>
      </c>
      <c r="H1376" t="s">
        <v>38</v>
      </c>
      <c r="I1376" t="s">
        <v>80</v>
      </c>
      <c r="J1376" t="s">
        <v>798</v>
      </c>
      <c r="K1376" t="s">
        <v>799</v>
      </c>
      <c r="L1376" t="s">
        <v>842</v>
      </c>
      <c r="M1376" s="5">
        <v>45451</v>
      </c>
      <c r="N1376" s="5">
        <v>45447</v>
      </c>
      <c r="O1376">
        <v>1</v>
      </c>
      <c r="P1376">
        <v>38.57</v>
      </c>
      <c r="Q1376">
        <v>48.21</v>
      </c>
      <c r="R1376">
        <v>0.05</v>
      </c>
      <c r="S1376">
        <v>45.8</v>
      </c>
      <c r="T1376" t="s">
        <v>963</v>
      </c>
      <c r="U1376">
        <v>38.57</v>
      </c>
      <c r="V1376">
        <v>7.23</v>
      </c>
    </row>
    <row r="1377" spans="1:22" x14ac:dyDescent="0.35">
      <c r="A1377" t="s">
        <v>2852</v>
      </c>
      <c r="B1377" t="s">
        <v>1080</v>
      </c>
      <c r="C1377" t="s">
        <v>595</v>
      </c>
      <c r="D1377" t="s">
        <v>253</v>
      </c>
      <c r="E1377" t="s">
        <v>637</v>
      </c>
      <c r="F1377" t="s">
        <v>235</v>
      </c>
      <c r="G1377" t="s">
        <v>797</v>
      </c>
      <c r="H1377" t="s">
        <v>38</v>
      </c>
      <c r="I1377" t="s">
        <v>117</v>
      </c>
      <c r="J1377" t="s">
        <v>798</v>
      </c>
      <c r="K1377" t="s">
        <v>793</v>
      </c>
      <c r="L1377" t="s">
        <v>788</v>
      </c>
      <c r="M1377" s="5">
        <v>45410</v>
      </c>
      <c r="O1377">
        <v>2</v>
      </c>
      <c r="P1377">
        <v>43.25</v>
      </c>
      <c r="Q1377">
        <v>60.55</v>
      </c>
      <c r="R1377">
        <v>0.15</v>
      </c>
      <c r="S1377">
        <v>102.93</v>
      </c>
      <c r="T1377" t="s">
        <v>935</v>
      </c>
      <c r="U1377">
        <v>86.5</v>
      </c>
      <c r="V1377">
        <v>16.43</v>
      </c>
    </row>
    <row r="1378" spans="1:22" x14ac:dyDescent="0.35">
      <c r="A1378" t="s">
        <v>2853</v>
      </c>
      <c r="B1378" t="s">
        <v>1657</v>
      </c>
      <c r="C1378" t="s">
        <v>538</v>
      </c>
      <c r="D1378" t="s">
        <v>539</v>
      </c>
      <c r="E1378" t="s">
        <v>627</v>
      </c>
      <c r="F1378" t="s">
        <v>264</v>
      </c>
      <c r="G1378" t="s">
        <v>797</v>
      </c>
      <c r="H1378" t="s">
        <v>29</v>
      </c>
      <c r="I1378" t="s">
        <v>27</v>
      </c>
      <c r="J1378" t="s">
        <v>798</v>
      </c>
      <c r="K1378" t="s">
        <v>799</v>
      </c>
      <c r="L1378" t="s">
        <v>788</v>
      </c>
      <c r="M1378" s="5">
        <v>45984</v>
      </c>
      <c r="N1378" s="5">
        <v>45983</v>
      </c>
      <c r="O1378">
        <v>10</v>
      </c>
      <c r="P1378">
        <v>33.06</v>
      </c>
      <c r="Q1378">
        <v>47.94</v>
      </c>
      <c r="R1378">
        <v>0</v>
      </c>
      <c r="S1378">
        <v>479.4</v>
      </c>
      <c r="T1378" t="s">
        <v>829</v>
      </c>
      <c r="U1378">
        <v>330.6</v>
      </c>
      <c r="V1378">
        <v>148.80000000000001</v>
      </c>
    </row>
    <row r="1379" spans="1:22" x14ac:dyDescent="0.35">
      <c r="A1379" t="s">
        <v>2854</v>
      </c>
      <c r="B1379" t="s">
        <v>1464</v>
      </c>
      <c r="C1379" t="s">
        <v>609</v>
      </c>
      <c r="D1379" t="s">
        <v>610</v>
      </c>
      <c r="E1379" t="s">
        <v>674</v>
      </c>
      <c r="G1379" t="s">
        <v>14</v>
      </c>
      <c r="H1379" t="s">
        <v>20</v>
      </c>
      <c r="I1379" t="s">
        <v>97</v>
      </c>
      <c r="J1379" t="s">
        <v>798</v>
      </c>
      <c r="K1379" t="s">
        <v>799</v>
      </c>
      <c r="L1379" t="s">
        <v>842</v>
      </c>
      <c r="M1379" s="5">
        <v>45664</v>
      </c>
      <c r="N1379" s="5">
        <v>45659</v>
      </c>
      <c r="O1379">
        <v>12</v>
      </c>
      <c r="P1379">
        <v>20.79</v>
      </c>
      <c r="Q1379">
        <v>28.07</v>
      </c>
      <c r="R1379">
        <v>0.15</v>
      </c>
      <c r="S1379">
        <v>286.31</v>
      </c>
      <c r="T1379" t="s">
        <v>834</v>
      </c>
      <c r="U1379">
        <v>249.48</v>
      </c>
      <c r="V1379">
        <v>36.83</v>
      </c>
    </row>
    <row r="1380" spans="1:22" x14ac:dyDescent="0.35">
      <c r="A1380" t="s">
        <v>2855</v>
      </c>
      <c r="B1380" t="s">
        <v>1253</v>
      </c>
      <c r="C1380" t="s">
        <v>394</v>
      </c>
      <c r="D1380" t="s">
        <v>356</v>
      </c>
      <c r="E1380" t="s">
        <v>696</v>
      </c>
      <c r="F1380" t="s">
        <v>264</v>
      </c>
      <c r="G1380" t="s">
        <v>20</v>
      </c>
      <c r="H1380" t="s">
        <v>29</v>
      </c>
      <c r="I1380" t="s">
        <v>49</v>
      </c>
      <c r="J1380" t="s">
        <v>798</v>
      </c>
      <c r="K1380" t="s">
        <v>793</v>
      </c>
      <c r="L1380" t="s">
        <v>842</v>
      </c>
      <c r="M1380" s="5">
        <v>45877</v>
      </c>
      <c r="O1380">
        <v>20</v>
      </c>
      <c r="P1380">
        <v>14.89</v>
      </c>
      <c r="Q1380">
        <v>20.85</v>
      </c>
      <c r="R1380">
        <v>0</v>
      </c>
      <c r="S1380">
        <v>417</v>
      </c>
      <c r="T1380" t="s">
        <v>825</v>
      </c>
      <c r="U1380">
        <v>297.8</v>
      </c>
      <c r="V1380">
        <v>119.2</v>
      </c>
    </row>
    <row r="1381" spans="1:22" x14ac:dyDescent="0.35">
      <c r="A1381" t="s">
        <v>2856</v>
      </c>
      <c r="B1381" t="s">
        <v>2857</v>
      </c>
      <c r="C1381" t="s">
        <v>593</v>
      </c>
      <c r="D1381" t="s">
        <v>594</v>
      </c>
      <c r="E1381" t="s">
        <v>674</v>
      </c>
      <c r="F1381" t="s">
        <v>243</v>
      </c>
      <c r="G1381" t="s">
        <v>797</v>
      </c>
      <c r="H1381" t="s">
        <v>29</v>
      </c>
      <c r="I1381" t="s">
        <v>115</v>
      </c>
      <c r="J1381" t="s">
        <v>798</v>
      </c>
      <c r="K1381" t="s">
        <v>793</v>
      </c>
      <c r="L1381" t="s">
        <v>842</v>
      </c>
      <c r="M1381" s="5">
        <v>45860</v>
      </c>
      <c r="O1381">
        <v>1</v>
      </c>
      <c r="P1381">
        <v>34.340000000000003</v>
      </c>
      <c r="Q1381">
        <v>44.64</v>
      </c>
      <c r="R1381">
        <v>0</v>
      </c>
      <c r="S1381">
        <v>44.64</v>
      </c>
      <c r="T1381" t="s">
        <v>839</v>
      </c>
      <c r="U1381">
        <v>34.340000000000003</v>
      </c>
      <c r="V1381">
        <v>10.3</v>
      </c>
    </row>
    <row r="1382" spans="1:22" x14ac:dyDescent="0.35">
      <c r="A1382" t="s">
        <v>2858</v>
      </c>
      <c r="B1382" t="s">
        <v>1268</v>
      </c>
      <c r="C1382" t="s">
        <v>334</v>
      </c>
      <c r="D1382" t="s">
        <v>335</v>
      </c>
      <c r="E1382" t="s">
        <v>633</v>
      </c>
      <c r="F1382" t="s">
        <v>243</v>
      </c>
      <c r="G1382" t="s">
        <v>14</v>
      </c>
      <c r="H1382" t="s">
        <v>48</v>
      </c>
      <c r="I1382" t="s">
        <v>217</v>
      </c>
      <c r="J1382" t="s">
        <v>786</v>
      </c>
      <c r="K1382" t="s">
        <v>822</v>
      </c>
      <c r="L1382" t="s">
        <v>842</v>
      </c>
      <c r="M1382" s="5">
        <v>45907</v>
      </c>
      <c r="N1382" s="5">
        <v>45903</v>
      </c>
      <c r="O1382">
        <v>3</v>
      </c>
      <c r="P1382">
        <v>24.07</v>
      </c>
      <c r="Q1382">
        <v>34.9</v>
      </c>
      <c r="R1382">
        <v>0</v>
      </c>
      <c r="S1382">
        <v>104.7</v>
      </c>
      <c r="T1382" t="s">
        <v>794</v>
      </c>
      <c r="U1382">
        <v>72.209999999999994</v>
      </c>
      <c r="V1382">
        <v>32.49</v>
      </c>
    </row>
    <row r="1383" spans="1:22" x14ac:dyDescent="0.35">
      <c r="A1383" t="s">
        <v>2859</v>
      </c>
      <c r="B1383" t="s">
        <v>1169</v>
      </c>
      <c r="C1383" t="s">
        <v>401</v>
      </c>
      <c r="D1383" t="s">
        <v>402</v>
      </c>
      <c r="E1383" t="s">
        <v>637</v>
      </c>
      <c r="F1383" t="s">
        <v>243</v>
      </c>
      <c r="G1383" t="s">
        <v>14</v>
      </c>
      <c r="H1383" t="s">
        <v>43</v>
      </c>
      <c r="I1383" t="s">
        <v>99</v>
      </c>
      <c r="J1383" t="s">
        <v>798</v>
      </c>
      <c r="K1383" t="s">
        <v>822</v>
      </c>
      <c r="L1383" t="s">
        <v>788</v>
      </c>
      <c r="M1383" s="5">
        <v>45420</v>
      </c>
      <c r="N1383" s="5">
        <v>45418</v>
      </c>
      <c r="O1383">
        <v>3</v>
      </c>
      <c r="P1383">
        <v>10.88</v>
      </c>
      <c r="Q1383">
        <v>15.78</v>
      </c>
      <c r="R1383">
        <v>0</v>
      </c>
      <c r="S1383">
        <v>47.34</v>
      </c>
      <c r="T1383" t="s">
        <v>819</v>
      </c>
      <c r="U1383">
        <v>32.64</v>
      </c>
      <c r="V1383">
        <v>14.7</v>
      </c>
    </row>
    <row r="1384" spans="1:22" x14ac:dyDescent="0.35">
      <c r="A1384" t="s">
        <v>2860</v>
      </c>
      <c r="B1384" t="s">
        <v>1985</v>
      </c>
      <c r="C1384" t="s">
        <v>573</v>
      </c>
      <c r="D1384" t="s">
        <v>277</v>
      </c>
      <c r="E1384" t="s">
        <v>637</v>
      </c>
      <c r="F1384" t="s">
        <v>235</v>
      </c>
      <c r="G1384" t="s">
        <v>14</v>
      </c>
      <c r="H1384" t="s">
        <v>38</v>
      </c>
      <c r="I1384" t="s">
        <v>80</v>
      </c>
      <c r="J1384" t="s">
        <v>813</v>
      </c>
      <c r="K1384" t="s">
        <v>799</v>
      </c>
      <c r="L1384" t="s">
        <v>788</v>
      </c>
      <c r="M1384" s="5">
        <v>45849</v>
      </c>
      <c r="N1384" s="5">
        <v>45848</v>
      </c>
      <c r="O1384">
        <v>10</v>
      </c>
      <c r="P1384">
        <v>38.57</v>
      </c>
      <c r="Q1384">
        <v>48.21</v>
      </c>
      <c r="R1384">
        <v>0.05</v>
      </c>
      <c r="S1384">
        <v>458</v>
      </c>
      <c r="T1384" t="s">
        <v>1134</v>
      </c>
      <c r="U1384">
        <v>385.7</v>
      </c>
      <c r="V1384">
        <v>72.3</v>
      </c>
    </row>
    <row r="1385" spans="1:22" x14ac:dyDescent="0.35">
      <c r="A1385" t="s">
        <v>2861</v>
      </c>
      <c r="B1385" t="s">
        <v>868</v>
      </c>
      <c r="C1385" t="s">
        <v>547</v>
      </c>
      <c r="D1385" t="s">
        <v>375</v>
      </c>
      <c r="E1385" t="s">
        <v>674</v>
      </c>
      <c r="F1385" t="s">
        <v>243</v>
      </c>
      <c r="G1385" t="s">
        <v>48</v>
      </c>
      <c r="H1385" t="s">
        <v>38</v>
      </c>
      <c r="I1385" t="s">
        <v>126</v>
      </c>
      <c r="J1385" t="s">
        <v>798</v>
      </c>
      <c r="K1385" t="s">
        <v>793</v>
      </c>
      <c r="L1385" t="s">
        <v>800</v>
      </c>
      <c r="M1385" s="5">
        <v>45389</v>
      </c>
      <c r="O1385">
        <v>3</v>
      </c>
      <c r="P1385">
        <v>41.95</v>
      </c>
      <c r="Q1385">
        <v>58.73</v>
      </c>
      <c r="R1385">
        <v>0</v>
      </c>
      <c r="S1385">
        <v>176.19</v>
      </c>
      <c r="T1385" t="s">
        <v>845</v>
      </c>
      <c r="U1385">
        <v>125.85</v>
      </c>
      <c r="V1385">
        <v>50.34</v>
      </c>
    </row>
    <row r="1386" spans="1:22" x14ac:dyDescent="0.35">
      <c r="A1386" t="s">
        <v>2862</v>
      </c>
      <c r="B1386" t="s">
        <v>1090</v>
      </c>
      <c r="C1386" t="s">
        <v>260</v>
      </c>
      <c r="D1386" t="s">
        <v>261</v>
      </c>
      <c r="E1386" t="s">
        <v>681</v>
      </c>
      <c r="F1386" t="s">
        <v>264</v>
      </c>
      <c r="G1386" t="s">
        <v>797</v>
      </c>
      <c r="H1386" t="s">
        <v>29</v>
      </c>
      <c r="I1386" t="s">
        <v>27</v>
      </c>
      <c r="J1386" t="s">
        <v>798</v>
      </c>
      <c r="K1386" t="s">
        <v>787</v>
      </c>
      <c r="L1386" t="s">
        <v>800</v>
      </c>
      <c r="M1386" s="5">
        <v>45868</v>
      </c>
      <c r="O1386">
        <v>20</v>
      </c>
      <c r="P1386">
        <v>33.06</v>
      </c>
      <c r="Q1386">
        <v>47.94</v>
      </c>
      <c r="R1386">
        <v>0</v>
      </c>
      <c r="S1386">
        <v>958.8</v>
      </c>
      <c r="T1386" t="s">
        <v>810</v>
      </c>
      <c r="U1386">
        <v>661.2</v>
      </c>
      <c r="V1386">
        <v>297.60000000000002</v>
      </c>
    </row>
    <row r="1387" spans="1:22" x14ac:dyDescent="0.35">
      <c r="A1387" t="s">
        <v>2863</v>
      </c>
      <c r="B1387" t="s">
        <v>2494</v>
      </c>
      <c r="C1387" t="s">
        <v>601</v>
      </c>
      <c r="D1387" t="s">
        <v>602</v>
      </c>
      <c r="E1387" t="s">
        <v>254</v>
      </c>
      <c r="F1387" t="s">
        <v>235</v>
      </c>
      <c r="G1387" t="s">
        <v>20</v>
      </c>
      <c r="H1387" t="s">
        <v>8</v>
      </c>
      <c r="I1387" t="s">
        <v>212</v>
      </c>
      <c r="J1387" t="s">
        <v>813</v>
      </c>
      <c r="K1387" t="s">
        <v>793</v>
      </c>
      <c r="L1387" t="s">
        <v>788</v>
      </c>
      <c r="M1387" s="5">
        <v>45455</v>
      </c>
      <c r="O1387">
        <v>1</v>
      </c>
      <c r="P1387">
        <v>95.09</v>
      </c>
      <c r="Q1387">
        <v>133.13</v>
      </c>
      <c r="R1387">
        <v>0</v>
      </c>
      <c r="S1387">
        <v>133.13</v>
      </c>
      <c r="T1387" t="s">
        <v>845</v>
      </c>
      <c r="U1387">
        <v>95.09</v>
      </c>
      <c r="V1387">
        <v>38.04</v>
      </c>
    </row>
    <row r="1388" spans="1:22" x14ac:dyDescent="0.35">
      <c r="A1388" t="s">
        <v>2864</v>
      </c>
      <c r="B1388" t="s">
        <v>1617</v>
      </c>
      <c r="C1388" t="s">
        <v>388</v>
      </c>
      <c r="D1388" t="s">
        <v>389</v>
      </c>
      <c r="E1388" t="s">
        <v>627</v>
      </c>
      <c r="F1388" t="s">
        <v>243</v>
      </c>
      <c r="G1388" t="s">
        <v>797</v>
      </c>
      <c r="H1388" t="s">
        <v>43</v>
      </c>
      <c r="I1388" t="s">
        <v>113</v>
      </c>
      <c r="J1388" t="s">
        <v>813</v>
      </c>
      <c r="K1388" t="s">
        <v>822</v>
      </c>
      <c r="L1388" t="s">
        <v>788</v>
      </c>
      <c r="M1388" s="5">
        <v>45357</v>
      </c>
      <c r="N1388" s="5">
        <v>45359</v>
      </c>
      <c r="O1388">
        <v>2</v>
      </c>
      <c r="P1388">
        <v>16.91</v>
      </c>
      <c r="Q1388">
        <v>21.14</v>
      </c>
      <c r="R1388">
        <v>0</v>
      </c>
      <c r="S1388">
        <v>42.28</v>
      </c>
      <c r="T1388" t="s">
        <v>869</v>
      </c>
      <c r="U1388">
        <v>33.82</v>
      </c>
      <c r="V1388">
        <v>8.4600000000000009</v>
      </c>
    </row>
    <row r="1389" spans="1:22" x14ac:dyDescent="0.35">
      <c r="A1389" t="s">
        <v>2865</v>
      </c>
      <c r="B1389" t="s">
        <v>1260</v>
      </c>
      <c r="C1389" t="s">
        <v>354</v>
      </c>
      <c r="D1389" t="s">
        <v>321</v>
      </c>
      <c r="E1389" t="s">
        <v>681</v>
      </c>
      <c r="F1389" t="s">
        <v>243</v>
      </c>
      <c r="G1389" t="s">
        <v>797</v>
      </c>
      <c r="H1389" t="s">
        <v>14</v>
      </c>
      <c r="I1389" t="s">
        <v>24</v>
      </c>
      <c r="J1389" t="s">
        <v>786</v>
      </c>
      <c r="K1389" t="s">
        <v>799</v>
      </c>
      <c r="L1389" t="s">
        <v>842</v>
      </c>
      <c r="M1389" s="5">
        <v>46009</v>
      </c>
      <c r="N1389" s="5">
        <v>45996</v>
      </c>
      <c r="O1389">
        <v>12</v>
      </c>
      <c r="P1389">
        <v>37.42</v>
      </c>
      <c r="Q1389">
        <v>50.52</v>
      </c>
      <c r="R1389">
        <v>0</v>
      </c>
      <c r="S1389">
        <v>606.24</v>
      </c>
      <c r="T1389" t="s">
        <v>814</v>
      </c>
      <c r="U1389">
        <v>449.04</v>
      </c>
      <c r="V1389">
        <v>157.19999999999999</v>
      </c>
    </row>
    <row r="1390" spans="1:22" x14ac:dyDescent="0.35">
      <c r="A1390" t="s">
        <v>2866</v>
      </c>
      <c r="B1390" t="s">
        <v>1772</v>
      </c>
      <c r="C1390" t="s">
        <v>582</v>
      </c>
      <c r="D1390" t="s">
        <v>583</v>
      </c>
      <c r="E1390" t="s">
        <v>637</v>
      </c>
      <c r="F1390" t="s">
        <v>264</v>
      </c>
      <c r="G1390" t="s">
        <v>20</v>
      </c>
      <c r="H1390" t="s">
        <v>43</v>
      </c>
      <c r="I1390" t="s">
        <v>215</v>
      </c>
      <c r="J1390" t="s">
        <v>813</v>
      </c>
      <c r="K1390" t="s">
        <v>799</v>
      </c>
      <c r="L1390" t="s">
        <v>788</v>
      </c>
      <c r="M1390" s="5">
        <v>45840</v>
      </c>
      <c r="N1390" s="5">
        <v>45844</v>
      </c>
      <c r="O1390">
        <v>2</v>
      </c>
      <c r="P1390">
        <v>28.96</v>
      </c>
      <c r="Q1390">
        <v>40.54</v>
      </c>
      <c r="R1390">
        <v>0</v>
      </c>
      <c r="S1390">
        <v>81.08</v>
      </c>
      <c r="T1390" t="s">
        <v>888</v>
      </c>
      <c r="U1390">
        <v>57.92</v>
      </c>
      <c r="V1390">
        <v>23.16</v>
      </c>
    </row>
    <row r="1391" spans="1:22" x14ac:dyDescent="0.35">
      <c r="A1391" t="s">
        <v>2867</v>
      </c>
      <c r="B1391" t="s">
        <v>1080</v>
      </c>
      <c r="C1391" t="s">
        <v>390</v>
      </c>
      <c r="D1391" t="s">
        <v>391</v>
      </c>
      <c r="E1391" t="s">
        <v>681</v>
      </c>
      <c r="F1391" t="s">
        <v>235</v>
      </c>
      <c r="G1391" t="s">
        <v>20</v>
      </c>
      <c r="H1391" t="s">
        <v>20</v>
      </c>
      <c r="I1391" t="s">
        <v>134</v>
      </c>
      <c r="J1391" t="s">
        <v>798</v>
      </c>
      <c r="K1391" t="s">
        <v>799</v>
      </c>
      <c r="L1391" t="s">
        <v>800</v>
      </c>
      <c r="M1391" s="5">
        <v>45410</v>
      </c>
      <c r="N1391" s="5">
        <v>45413</v>
      </c>
      <c r="O1391">
        <v>10</v>
      </c>
      <c r="P1391">
        <v>38.36</v>
      </c>
      <c r="Q1391">
        <v>53.7</v>
      </c>
      <c r="R1391">
        <v>0.05</v>
      </c>
      <c r="S1391">
        <v>510.15</v>
      </c>
      <c r="T1391" t="s">
        <v>810</v>
      </c>
      <c r="U1391">
        <v>383.6</v>
      </c>
      <c r="V1391">
        <v>126.55</v>
      </c>
    </row>
    <row r="1392" spans="1:22" x14ac:dyDescent="0.35">
      <c r="A1392" t="s">
        <v>2868</v>
      </c>
      <c r="B1392" t="s">
        <v>1772</v>
      </c>
      <c r="C1392" t="s">
        <v>384</v>
      </c>
      <c r="D1392" t="s">
        <v>385</v>
      </c>
      <c r="E1392" t="s">
        <v>696</v>
      </c>
      <c r="F1392" t="s">
        <v>264</v>
      </c>
      <c r="G1392" t="s">
        <v>797</v>
      </c>
      <c r="H1392" t="s">
        <v>8</v>
      </c>
      <c r="I1392" t="s">
        <v>10</v>
      </c>
      <c r="J1392" t="s">
        <v>798</v>
      </c>
      <c r="K1392" t="s">
        <v>799</v>
      </c>
      <c r="L1392" t="s">
        <v>800</v>
      </c>
      <c r="M1392" s="5">
        <v>45844</v>
      </c>
      <c r="N1392" s="5">
        <v>45847</v>
      </c>
      <c r="O1392">
        <v>1</v>
      </c>
      <c r="P1392">
        <v>22.74</v>
      </c>
      <c r="Q1392">
        <v>28.42</v>
      </c>
      <c r="R1392">
        <v>0</v>
      </c>
      <c r="S1392">
        <v>28.42</v>
      </c>
      <c r="T1392" t="s">
        <v>1017</v>
      </c>
      <c r="U1392">
        <v>22.74</v>
      </c>
      <c r="V1392">
        <v>5.68</v>
      </c>
    </row>
    <row r="1393" spans="1:22" x14ac:dyDescent="0.35">
      <c r="A1393" t="s">
        <v>2869</v>
      </c>
      <c r="B1393" t="s">
        <v>1524</v>
      </c>
      <c r="C1393" t="s">
        <v>374</v>
      </c>
      <c r="D1393" t="s">
        <v>375</v>
      </c>
      <c r="E1393" t="s">
        <v>696</v>
      </c>
      <c r="F1393" t="s">
        <v>264</v>
      </c>
      <c r="G1393" t="s">
        <v>797</v>
      </c>
      <c r="H1393" t="s">
        <v>14</v>
      </c>
      <c r="I1393" t="s">
        <v>138</v>
      </c>
      <c r="J1393" t="s">
        <v>786</v>
      </c>
      <c r="K1393" t="s">
        <v>799</v>
      </c>
      <c r="L1393" t="s">
        <v>842</v>
      </c>
      <c r="M1393" s="5">
        <v>45525</v>
      </c>
      <c r="N1393" s="5">
        <v>45514</v>
      </c>
      <c r="O1393">
        <v>2</v>
      </c>
      <c r="P1393">
        <v>42.6</v>
      </c>
      <c r="Q1393">
        <v>59.64</v>
      </c>
      <c r="R1393">
        <v>0.1</v>
      </c>
      <c r="S1393">
        <v>107.35</v>
      </c>
      <c r="T1393" t="s">
        <v>919</v>
      </c>
      <c r="U1393">
        <v>85.2</v>
      </c>
      <c r="V1393">
        <v>22.15</v>
      </c>
    </row>
    <row r="1394" spans="1:22" x14ac:dyDescent="0.35">
      <c r="A1394" t="s">
        <v>2870</v>
      </c>
      <c r="B1394" t="s">
        <v>1552</v>
      </c>
      <c r="C1394" t="s">
        <v>601</v>
      </c>
      <c r="D1394" t="s">
        <v>602</v>
      </c>
      <c r="E1394" t="s">
        <v>681</v>
      </c>
      <c r="F1394" t="s">
        <v>235</v>
      </c>
      <c r="G1394" t="s">
        <v>14</v>
      </c>
      <c r="H1394" t="s">
        <v>43</v>
      </c>
      <c r="I1394" t="s">
        <v>53</v>
      </c>
      <c r="J1394" t="s">
        <v>786</v>
      </c>
      <c r="K1394" t="s">
        <v>799</v>
      </c>
      <c r="L1394" t="s">
        <v>818</v>
      </c>
      <c r="M1394" s="5">
        <v>45361</v>
      </c>
      <c r="N1394" s="5">
        <v>45350</v>
      </c>
      <c r="O1394">
        <v>12</v>
      </c>
      <c r="P1394">
        <v>54.93</v>
      </c>
      <c r="Q1394">
        <v>79.650000000000006</v>
      </c>
      <c r="R1394">
        <v>0.15</v>
      </c>
      <c r="S1394">
        <v>812.43</v>
      </c>
      <c r="T1394" t="s">
        <v>803</v>
      </c>
      <c r="U1394">
        <v>659.16</v>
      </c>
      <c r="V1394">
        <v>153.27000000000001</v>
      </c>
    </row>
    <row r="1395" spans="1:22" x14ac:dyDescent="0.35">
      <c r="A1395" t="s">
        <v>2871</v>
      </c>
      <c r="B1395" t="s">
        <v>2415</v>
      </c>
      <c r="C1395" t="s">
        <v>367</v>
      </c>
      <c r="D1395" t="s">
        <v>368</v>
      </c>
      <c r="E1395" t="s">
        <v>627</v>
      </c>
      <c r="F1395" t="s">
        <v>264</v>
      </c>
      <c r="G1395" t="s">
        <v>20</v>
      </c>
      <c r="H1395" t="s">
        <v>29</v>
      </c>
      <c r="I1395" t="s">
        <v>182</v>
      </c>
      <c r="J1395" t="s">
        <v>786</v>
      </c>
      <c r="K1395" t="s">
        <v>793</v>
      </c>
      <c r="L1395" t="s">
        <v>842</v>
      </c>
      <c r="M1395" s="5">
        <v>45360</v>
      </c>
      <c r="O1395">
        <v>3</v>
      </c>
      <c r="P1395">
        <v>19.77</v>
      </c>
      <c r="Q1395">
        <v>27.68</v>
      </c>
      <c r="R1395">
        <v>0.1</v>
      </c>
      <c r="S1395">
        <v>74.739999999999995</v>
      </c>
      <c r="T1395" t="s">
        <v>946</v>
      </c>
      <c r="U1395">
        <v>59.31</v>
      </c>
      <c r="V1395">
        <v>15.43</v>
      </c>
    </row>
    <row r="1396" spans="1:22" x14ac:dyDescent="0.35">
      <c r="A1396" t="s">
        <v>2872</v>
      </c>
      <c r="B1396" t="s">
        <v>789</v>
      </c>
      <c r="C1396" t="s">
        <v>397</v>
      </c>
      <c r="D1396" t="s">
        <v>360</v>
      </c>
      <c r="E1396" t="s">
        <v>627</v>
      </c>
      <c r="G1396" t="s">
        <v>14</v>
      </c>
      <c r="H1396" t="s">
        <v>48</v>
      </c>
      <c r="I1396" t="s">
        <v>143</v>
      </c>
      <c r="J1396" t="s">
        <v>798</v>
      </c>
      <c r="K1396" t="s">
        <v>799</v>
      </c>
      <c r="L1396" t="s">
        <v>800</v>
      </c>
      <c r="M1396" s="5">
        <v>45855</v>
      </c>
      <c r="N1396" s="5">
        <v>45857</v>
      </c>
      <c r="O1396">
        <v>5</v>
      </c>
      <c r="P1396">
        <v>29.93</v>
      </c>
      <c r="Q1396">
        <v>38.909999999999997</v>
      </c>
      <c r="R1396">
        <v>0</v>
      </c>
      <c r="S1396">
        <v>194.55</v>
      </c>
      <c r="T1396" t="s">
        <v>1134</v>
      </c>
      <c r="U1396">
        <v>149.65</v>
      </c>
      <c r="V1396">
        <v>44.9</v>
      </c>
    </row>
    <row r="1397" spans="1:22" x14ac:dyDescent="0.35">
      <c r="A1397" t="s">
        <v>2873</v>
      </c>
      <c r="B1397" t="s">
        <v>2814</v>
      </c>
      <c r="C1397" t="s">
        <v>278</v>
      </c>
      <c r="D1397" t="s">
        <v>279</v>
      </c>
      <c r="E1397" t="s">
        <v>696</v>
      </c>
      <c r="F1397" t="s">
        <v>235</v>
      </c>
      <c r="G1397" t="s">
        <v>14</v>
      </c>
      <c r="H1397" t="s">
        <v>38</v>
      </c>
      <c r="I1397" t="s">
        <v>82</v>
      </c>
      <c r="J1397" t="s">
        <v>786</v>
      </c>
      <c r="K1397" t="s">
        <v>787</v>
      </c>
      <c r="L1397" t="s">
        <v>788</v>
      </c>
      <c r="M1397" s="5">
        <v>45445</v>
      </c>
      <c r="O1397">
        <v>5</v>
      </c>
      <c r="P1397">
        <v>12.54</v>
      </c>
      <c r="Q1397">
        <v>16.93</v>
      </c>
      <c r="R1397">
        <v>0.15</v>
      </c>
      <c r="S1397">
        <v>71.95</v>
      </c>
      <c r="T1397" t="s">
        <v>869</v>
      </c>
      <c r="U1397">
        <v>62.7</v>
      </c>
      <c r="V1397">
        <v>9.25</v>
      </c>
    </row>
    <row r="1398" spans="1:22" x14ac:dyDescent="0.35">
      <c r="A1398" t="s">
        <v>2874</v>
      </c>
      <c r="B1398" t="s">
        <v>1036</v>
      </c>
      <c r="C1398" t="s">
        <v>351</v>
      </c>
      <c r="D1398" t="s">
        <v>352</v>
      </c>
      <c r="E1398" t="s">
        <v>627</v>
      </c>
      <c r="F1398" t="s">
        <v>264</v>
      </c>
      <c r="G1398" t="s">
        <v>797</v>
      </c>
      <c r="H1398" t="s">
        <v>43</v>
      </c>
      <c r="I1398" t="s">
        <v>44</v>
      </c>
      <c r="J1398" t="s">
        <v>798</v>
      </c>
      <c r="K1398" t="s">
        <v>799</v>
      </c>
      <c r="L1398" t="s">
        <v>842</v>
      </c>
      <c r="M1398" s="5">
        <v>45390</v>
      </c>
      <c r="N1398" s="5">
        <v>45391</v>
      </c>
      <c r="O1398">
        <v>2</v>
      </c>
      <c r="P1398">
        <v>14.05</v>
      </c>
      <c r="Q1398">
        <v>19.670000000000002</v>
      </c>
      <c r="R1398">
        <v>0.15</v>
      </c>
      <c r="S1398">
        <v>33.44</v>
      </c>
      <c r="T1398" t="s">
        <v>1134</v>
      </c>
      <c r="U1398">
        <v>28.1</v>
      </c>
      <c r="V1398">
        <v>5.34</v>
      </c>
    </row>
    <row r="1399" spans="1:22" x14ac:dyDescent="0.35">
      <c r="A1399" t="s">
        <v>2875</v>
      </c>
      <c r="B1399" t="s">
        <v>2495</v>
      </c>
      <c r="C1399" t="s">
        <v>440</v>
      </c>
      <c r="D1399" t="s">
        <v>441</v>
      </c>
      <c r="E1399" t="s">
        <v>254</v>
      </c>
      <c r="F1399" t="s">
        <v>264</v>
      </c>
      <c r="G1399" t="s">
        <v>797</v>
      </c>
      <c r="H1399" t="s">
        <v>48</v>
      </c>
      <c r="I1399" t="s">
        <v>46</v>
      </c>
      <c r="J1399" t="s">
        <v>813</v>
      </c>
      <c r="K1399" t="s">
        <v>787</v>
      </c>
      <c r="L1399" t="s">
        <v>842</v>
      </c>
      <c r="M1399" s="5">
        <v>45463</v>
      </c>
      <c r="O1399">
        <v>1</v>
      </c>
      <c r="P1399">
        <v>29.16</v>
      </c>
      <c r="Q1399">
        <v>36.450000000000003</v>
      </c>
      <c r="R1399">
        <v>0.15</v>
      </c>
      <c r="S1399">
        <v>30.98</v>
      </c>
      <c r="T1399" t="s">
        <v>839</v>
      </c>
      <c r="U1399">
        <v>29.16</v>
      </c>
      <c r="V1399">
        <v>1.82</v>
      </c>
    </row>
    <row r="1400" spans="1:22" x14ac:dyDescent="0.35">
      <c r="A1400" t="s">
        <v>2876</v>
      </c>
      <c r="B1400" t="s">
        <v>1647</v>
      </c>
      <c r="C1400" t="s">
        <v>359</v>
      </c>
      <c r="D1400" t="s">
        <v>360</v>
      </c>
      <c r="E1400" t="s">
        <v>637</v>
      </c>
      <c r="F1400" t="s">
        <v>235</v>
      </c>
      <c r="G1400" t="s">
        <v>20</v>
      </c>
      <c r="H1400" t="s">
        <v>48</v>
      </c>
      <c r="I1400" t="s">
        <v>139</v>
      </c>
      <c r="J1400" t="s">
        <v>798</v>
      </c>
      <c r="K1400" t="s">
        <v>787</v>
      </c>
      <c r="L1400" t="s">
        <v>788</v>
      </c>
      <c r="M1400" s="5">
        <v>45384</v>
      </c>
      <c r="O1400">
        <v>20</v>
      </c>
      <c r="P1400">
        <v>29.93</v>
      </c>
      <c r="Q1400">
        <v>41.9</v>
      </c>
      <c r="R1400">
        <v>0.05</v>
      </c>
      <c r="S1400">
        <v>796.1</v>
      </c>
      <c r="T1400" t="s">
        <v>919</v>
      </c>
      <c r="U1400">
        <v>598.6</v>
      </c>
      <c r="V1400">
        <v>197.5</v>
      </c>
    </row>
    <row r="1401" spans="1:22" x14ac:dyDescent="0.35">
      <c r="A1401" t="s">
        <v>2877</v>
      </c>
      <c r="B1401" t="s">
        <v>1315</v>
      </c>
      <c r="C1401" t="s">
        <v>569</v>
      </c>
      <c r="D1401" t="s">
        <v>535</v>
      </c>
      <c r="E1401" t="s">
        <v>633</v>
      </c>
      <c r="G1401" t="s">
        <v>797</v>
      </c>
      <c r="H1401" t="s">
        <v>20</v>
      </c>
      <c r="I1401" t="s">
        <v>134</v>
      </c>
      <c r="J1401" t="s">
        <v>798</v>
      </c>
      <c r="K1401" t="s">
        <v>817</v>
      </c>
      <c r="L1401" t="s">
        <v>842</v>
      </c>
      <c r="M1401" s="5">
        <v>45748</v>
      </c>
      <c r="O1401">
        <v>12</v>
      </c>
      <c r="P1401">
        <v>38.36</v>
      </c>
      <c r="Q1401">
        <v>53.7</v>
      </c>
      <c r="R1401">
        <v>0.15</v>
      </c>
      <c r="S1401">
        <v>547.74</v>
      </c>
      <c r="T1401" t="s">
        <v>888</v>
      </c>
      <c r="U1401">
        <v>460.32</v>
      </c>
      <c r="V1401">
        <v>87.42</v>
      </c>
    </row>
    <row r="1402" spans="1:22" x14ac:dyDescent="0.35">
      <c r="A1402" t="s">
        <v>2878</v>
      </c>
      <c r="B1402" t="s">
        <v>1214</v>
      </c>
      <c r="C1402" t="s">
        <v>459</v>
      </c>
      <c r="D1402" t="s">
        <v>460</v>
      </c>
      <c r="E1402" t="s">
        <v>681</v>
      </c>
      <c r="F1402" t="s">
        <v>264</v>
      </c>
      <c r="G1402" t="s">
        <v>797</v>
      </c>
      <c r="H1402" t="s">
        <v>48</v>
      </c>
      <c r="I1402" t="s">
        <v>135</v>
      </c>
      <c r="J1402" t="s">
        <v>786</v>
      </c>
      <c r="K1402" t="s">
        <v>799</v>
      </c>
      <c r="L1402" t="s">
        <v>800</v>
      </c>
      <c r="M1402" s="5">
        <v>45667</v>
      </c>
      <c r="N1402" s="5">
        <v>45655</v>
      </c>
      <c r="O1402">
        <v>5</v>
      </c>
      <c r="P1402">
        <v>51.72</v>
      </c>
      <c r="Q1402">
        <v>67.239999999999995</v>
      </c>
      <c r="R1402">
        <v>0</v>
      </c>
      <c r="S1402">
        <v>336.2</v>
      </c>
      <c r="T1402" t="s">
        <v>810</v>
      </c>
      <c r="U1402">
        <v>258.60000000000002</v>
      </c>
      <c r="V1402">
        <v>77.599999999999994</v>
      </c>
    </row>
    <row r="1403" spans="1:22" x14ac:dyDescent="0.35">
      <c r="A1403" t="s">
        <v>2879</v>
      </c>
      <c r="B1403" t="s">
        <v>1104</v>
      </c>
      <c r="C1403" t="s">
        <v>552</v>
      </c>
      <c r="D1403" t="s">
        <v>553</v>
      </c>
      <c r="E1403" t="s">
        <v>681</v>
      </c>
      <c r="F1403" t="s">
        <v>235</v>
      </c>
      <c r="G1403" t="s">
        <v>14</v>
      </c>
      <c r="H1403" t="s">
        <v>8</v>
      </c>
      <c r="I1403" t="s">
        <v>192</v>
      </c>
      <c r="J1403" t="s">
        <v>798</v>
      </c>
      <c r="K1403" t="s">
        <v>799</v>
      </c>
      <c r="L1403" t="s">
        <v>842</v>
      </c>
      <c r="M1403" s="5">
        <v>45857</v>
      </c>
      <c r="N1403" s="5">
        <v>45855</v>
      </c>
      <c r="O1403">
        <v>5</v>
      </c>
      <c r="P1403">
        <v>19.47</v>
      </c>
      <c r="Q1403">
        <v>28.23</v>
      </c>
      <c r="R1403">
        <v>0</v>
      </c>
      <c r="S1403">
        <v>141.15</v>
      </c>
      <c r="T1403" t="s">
        <v>810</v>
      </c>
      <c r="U1403">
        <v>97.35</v>
      </c>
      <c r="V1403">
        <v>43.8</v>
      </c>
    </row>
    <row r="1404" spans="1:22" x14ac:dyDescent="0.35">
      <c r="A1404" t="s">
        <v>2880</v>
      </c>
      <c r="B1404" t="s">
        <v>2047</v>
      </c>
      <c r="C1404" t="s">
        <v>276</v>
      </c>
      <c r="D1404" t="s">
        <v>277</v>
      </c>
      <c r="E1404" t="s">
        <v>633</v>
      </c>
      <c r="F1404" t="s">
        <v>243</v>
      </c>
      <c r="G1404" t="s">
        <v>797</v>
      </c>
      <c r="H1404" t="s">
        <v>38</v>
      </c>
      <c r="I1404" t="s">
        <v>69</v>
      </c>
      <c r="J1404" t="s">
        <v>813</v>
      </c>
      <c r="K1404" t="s">
        <v>799</v>
      </c>
      <c r="L1404" t="s">
        <v>842</v>
      </c>
      <c r="M1404" s="5">
        <v>45808</v>
      </c>
      <c r="N1404" s="5">
        <v>45806</v>
      </c>
      <c r="O1404">
        <v>10</v>
      </c>
      <c r="P1404">
        <v>20.9</v>
      </c>
      <c r="Q1404">
        <v>28.21</v>
      </c>
      <c r="R1404">
        <v>0</v>
      </c>
      <c r="S1404">
        <v>282.10000000000002</v>
      </c>
      <c r="T1404" t="s">
        <v>946</v>
      </c>
      <c r="U1404">
        <v>209</v>
      </c>
      <c r="V1404">
        <v>73.099999999999994</v>
      </c>
    </row>
    <row r="1405" spans="1:22" x14ac:dyDescent="0.35">
      <c r="A1405" t="s">
        <v>2881</v>
      </c>
      <c r="B1405" t="s">
        <v>1869</v>
      </c>
      <c r="C1405" t="s">
        <v>398</v>
      </c>
      <c r="D1405" t="s">
        <v>399</v>
      </c>
      <c r="E1405" t="s">
        <v>696</v>
      </c>
      <c r="F1405" t="s">
        <v>264</v>
      </c>
      <c r="G1405" t="s">
        <v>797</v>
      </c>
      <c r="H1405" t="s">
        <v>48</v>
      </c>
      <c r="I1405" t="s">
        <v>217</v>
      </c>
      <c r="J1405" t="s">
        <v>798</v>
      </c>
      <c r="K1405" t="s">
        <v>793</v>
      </c>
      <c r="L1405" t="s">
        <v>800</v>
      </c>
      <c r="M1405" s="5">
        <v>45301</v>
      </c>
      <c r="O1405">
        <v>3</v>
      </c>
      <c r="P1405">
        <v>24.07</v>
      </c>
      <c r="Q1405">
        <v>34.9</v>
      </c>
      <c r="R1405">
        <v>0.1</v>
      </c>
      <c r="S1405">
        <v>94.23</v>
      </c>
      <c r="T1405" t="s">
        <v>888</v>
      </c>
      <c r="U1405">
        <v>72.209999999999994</v>
      </c>
      <c r="V1405">
        <v>22.02</v>
      </c>
    </row>
    <row r="1406" spans="1:22" x14ac:dyDescent="0.35">
      <c r="A1406" t="s">
        <v>2882</v>
      </c>
      <c r="B1406" t="s">
        <v>1146</v>
      </c>
      <c r="C1406" t="s">
        <v>538</v>
      </c>
      <c r="D1406" t="s">
        <v>539</v>
      </c>
      <c r="E1406" t="s">
        <v>254</v>
      </c>
      <c r="F1406" t="s">
        <v>264</v>
      </c>
      <c r="G1406" t="s">
        <v>797</v>
      </c>
      <c r="H1406" t="s">
        <v>38</v>
      </c>
      <c r="I1406" t="s">
        <v>126</v>
      </c>
      <c r="J1406" t="s">
        <v>813</v>
      </c>
      <c r="K1406" t="s">
        <v>793</v>
      </c>
      <c r="L1406" t="s">
        <v>788</v>
      </c>
      <c r="M1406" s="5">
        <v>45709</v>
      </c>
      <c r="O1406">
        <v>10</v>
      </c>
      <c r="P1406">
        <v>41.95</v>
      </c>
      <c r="Q1406">
        <v>58.73</v>
      </c>
      <c r="R1406">
        <v>0</v>
      </c>
      <c r="S1406">
        <v>587.29999999999995</v>
      </c>
      <c r="T1406" t="s">
        <v>814</v>
      </c>
      <c r="U1406">
        <v>419.5</v>
      </c>
      <c r="V1406">
        <v>167.8</v>
      </c>
    </row>
    <row r="1407" spans="1:22" x14ac:dyDescent="0.35">
      <c r="A1407" t="s">
        <v>2883</v>
      </c>
      <c r="B1407" t="s">
        <v>1385</v>
      </c>
      <c r="C1407" t="s">
        <v>452</v>
      </c>
      <c r="D1407" t="s">
        <v>420</v>
      </c>
      <c r="E1407" t="s">
        <v>633</v>
      </c>
      <c r="F1407" t="s">
        <v>264</v>
      </c>
      <c r="G1407" t="s">
        <v>20</v>
      </c>
      <c r="H1407" t="s">
        <v>8</v>
      </c>
      <c r="I1407" t="s">
        <v>174</v>
      </c>
      <c r="J1407" t="s">
        <v>786</v>
      </c>
      <c r="K1407" t="s">
        <v>793</v>
      </c>
      <c r="L1407" t="s">
        <v>842</v>
      </c>
      <c r="M1407" s="5">
        <v>45983</v>
      </c>
      <c r="O1407">
        <v>1</v>
      </c>
      <c r="P1407">
        <v>32.53</v>
      </c>
      <c r="Q1407">
        <v>43.92</v>
      </c>
      <c r="R1407">
        <v>0.1</v>
      </c>
      <c r="S1407">
        <v>39.53</v>
      </c>
      <c r="T1407" t="s">
        <v>1001</v>
      </c>
      <c r="U1407">
        <v>32.53</v>
      </c>
      <c r="V1407">
        <v>7</v>
      </c>
    </row>
    <row r="1408" spans="1:22" x14ac:dyDescent="0.35">
      <c r="A1408" t="s">
        <v>2884</v>
      </c>
      <c r="B1408" t="s">
        <v>918</v>
      </c>
      <c r="C1408" t="s">
        <v>498</v>
      </c>
      <c r="D1408" t="s">
        <v>499</v>
      </c>
      <c r="E1408" t="s">
        <v>254</v>
      </c>
      <c r="F1408" t="s">
        <v>235</v>
      </c>
      <c r="G1408" t="s">
        <v>797</v>
      </c>
      <c r="H1408" t="s">
        <v>38</v>
      </c>
      <c r="I1408" t="s">
        <v>109</v>
      </c>
      <c r="J1408" t="s">
        <v>798</v>
      </c>
      <c r="K1408" t="s">
        <v>799</v>
      </c>
      <c r="L1408" t="s">
        <v>818</v>
      </c>
      <c r="M1408" s="5">
        <v>45339</v>
      </c>
      <c r="N1408" s="5">
        <v>45333</v>
      </c>
      <c r="O1408">
        <v>3</v>
      </c>
      <c r="P1408">
        <v>29.32</v>
      </c>
      <c r="Q1408">
        <v>36.65</v>
      </c>
      <c r="R1408">
        <v>0.1</v>
      </c>
      <c r="S1408">
        <v>98.95</v>
      </c>
      <c r="T1408" t="s">
        <v>814</v>
      </c>
      <c r="U1408">
        <v>87.96</v>
      </c>
      <c r="V1408">
        <v>10.99</v>
      </c>
    </row>
    <row r="1409" spans="1:22" x14ac:dyDescent="0.35">
      <c r="A1409" t="s">
        <v>2885</v>
      </c>
      <c r="B1409" t="s">
        <v>1785</v>
      </c>
      <c r="C1409" t="s">
        <v>522</v>
      </c>
      <c r="D1409" t="s">
        <v>523</v>
      </c>
      <c r="E1409" t="s">
        <v>674</v>
      </c>
      <c r="F1409" t="s">
        <v>264</v>
      </c>
      <c r="G1409" t="s">
        <v>797</v>
      </c>
      <c r="H1409" t="s">
        <v>20</v>
      </c>
      <c r="I1409" t="s">
        <v>119</v>
      </c>
      <c r="J1409" t="s">
        <v>813</v>
      </c>
      <c r="K1409" t="s">
        <v>799</v>
      </c>
      <c r="L1409" t="s">
        <v>842</v>
      </c>
      <c r="M1409" s="5">
        <v>45934</v>
      </c>
      <c r="N1409" s="5">
        <v>45940</v>
      </c>
      <c r="O1409">
        <v>10</v>
      </c>
      <c r="P1409">
        <v>40.94</v>
      </c>
      <c r="Q1409">
        <v>53.22</v>
      </c>
      <c r="R1409">
        <v>0.05</v>
      </c>
      <c r="S1409">
        <v>505.59</v>
      </c>
      <c r="T1409" t="s">
        <v>1017</v>
      </c>
      <c r="U1409">
        <v>409.4</v>
      </c>
      <c r="V1409">
        <v>96.19</v>
      </c>
    </row>
    <row r="1410" spans="1:22" x14ac:dyDescent="0.35">
      <c r="A1410" t="s">
        <v>2886</v>
      </c>
      <c r="B1410" t="s">
        <v>2229</v>
      </c>
      <c r="C1410" t="s">
        <v>524</v>
      </c>
      <c r="D1410" t="s">
        <v>484</v>
      </c>
      <c r="E1410" t="s">
        <v>681</v>
      </c>
      <c r="G1410" t="s">
        <v>797</v>
      </c>
      <c r="H1410" t="s">
        <v>14</v>
      </c>
      <c r="I1410" t="s">
        <v>56</v>
      </c>
      <c r="J1410" t="s">
        <v>798</v>
      </c>
      <c r="K1410" t="s">
        <v>793</v>
      </c>
      <c r="L1410" t="s">
        <v>788</v>
      </c>
      <c r="M1410" s="5">
        <v>45426</v>
      </c>
      <c r="O1410">
        <v>3</v>
      </c>
      <c r="P1410">
        <v>25.46</v>
      </c>
      <c r="Q1410">
        <v>31.83</v>
      </c>
      <c r="R1410">
        <v>0.1</v>
      </c>
      <c r="S1410">
        <v>85.94</v>
      </c>
      <c r="T1410" t="s">
        <v>819</v>
      </c>
      <c r="U1410">
        <v>76.38</v>
      </c>
      <c r="V1410">
        <v>9.56</v>
      </c>
    </row>
    <row r="1411" spans="1:22" x14ac:dyDescent="0.35">
      <c r="A1411" t="s">
        <v>2887</v>
      </c>
      <c r="B1411" t="s">
        <v>1795</v>
      </c>
      <c r="C1411" t="s">
        <v>518</v>
      </c>
      <c r="D1411" t="s">
        <v>519</v>
      </c>
      <c r="E1411" t="s">
        <v>674</v>
      </c>
      <c r="F1411" t="s">
        <v>264</v>
      </c>
      <c r="G1411" t="s">
        <v>797</v>
      </c>
      <c r="H1411" t="s">
        <v>48</v>
      </c>
      <c r="I1411" t="s">
        <v>143</v>
      </c>
      <c r="J1411" t="s">
        <v>786</v>
      </c>
      <c r="K1411" t="s">
        <v>799</v>
      </c>
      <c r="L1411" t="s">
        <v>842</v>
      </c>
      <c r="M1411" s="5">
        <v>45816</v>
      </c>
      <c r="N1411" s="5">
        <v>45806</v>
      </c>
      <c r="O1411">
        <v>5</v>
      </c>
      <c r="P1411">
        <v>29.93</v>
      </c>
      <c r="Q1411">
        <v>38.909999999999997</v>
      </c>
      <c r="R1411">
        <v>0.05</v>
      </c>
      <c r="S1411">
        <v>184.82</v>
      </c>
      <c r="T1411" t="s">
        <v>1017</v>
      </c>
      <c r="U1411">
        <v>149.65</v>
      </c>
      <c r="V1411">
        <v>35.17</v>
      </c>
    </row>
    <row r="1412" spans="1:22" x14ac:dyDescent="0.35">
      <c r="A1412" t="s">
        <v>2888</v>
      </c>
      <c r="B1412" t="s">
        <v>1196</v>
      </c>
      <c r="C1412" t="s">
        <v>347</v>
      </c>
      <c r="D1412" t="s">
        <v>348</v>
      </c>
      <c r="E1412" t="s">
        <v>681</v>
      </c>
      <c r="F1412" t="s">
        <v>243</v>
      </c>
      <c r="G1412" t="s">
        <v>797</v>
      </c>
      <c r="H1412" t="s">
        <v>38</v>
      </c>
      <c r="I1412" t="s">
        <v>206</v>
      </c>
      <c r="J1412" t="s">
        <v>798</v>
      </c>
      <c r="K1412" t="s">
        <v>799</v>
      </c>
      <c r="L1412" t="s">
        <v>800</v>
      </c>
      <c r="M1412" s="5">
        <v>45457</v>
      </c>
      <c r="N1412" s="5">
        <v>45453</v>
      </c>
      <c r="O1412">
        <v>20</v>
      </c>
      <c r="P1412">
        <v>23.55</v>
      </c>
      <c r="Q1412">
        <v>31.79</v>
      </c>
      <c r="R1412">
        <v>0.05</v>
      </c>
      <c r="S1412">
        <v>604.01</v>
      </c>
      <c r="T1412" t="s">
        <v>859</v>
      </c>
      <c r="U1412">
        <v>471</v>
      </c>
      <c r="V1412">
        <v>133.01</v>
      </c>
    </row>
    <row r="1413" spans="1:22" x14ac:dyDescent="0.35">
      <c r="A1413" t="s">
        <v>2889</v>
      </c>
      <c r="B1413" t="s">
        <v>1603</v>
      </c>
      <c r="C1413" t="s">
        <v>475</v>
      </c>
      <c r="D1413" t="s">
        <v>476</v>
      </c>
      <c r="E1413" t="s">
        <v>637</v>
      </c>
      <c r="F1413" t="s">
        <v>243</v>
      </c>
      <c r="G1413" t="s">
        <v>20</v>
      </c>
      <c r="H1413" t="s">
        <v>48</v>
      </c>
      <c r="I1413" t="s">
        <v>217</v>
      </c>
      <c r="J1413" t="s">
        <v>798</v>
      </c>
      <c r="K1413" t="s">
        <v>799</v>
      </c>
      <c r="L1413" t="s">
        <v>818</v>
      </c>
      <c r="M1413" s="5">
        <v>45320</v>
      </c>
      <c r="N1413" s="5">
        <v>45318</v>
      </c>
      <c r="O1413">
        <v>5</v>
      </c>
      <c r="P1413">
        <v>24.07</v>
      </c>
      <c r="Q1413">
        <v>34.9</v>
      </c>
      <c r="R1413">
        <v>0</v>
      </c>
      <c r="S1413">
        <v>174.5</v>
      </c>
      <c r="T1413" t="s">
        <v>919</v>
      </c>
      <c r="U1413">
        <v>120.35</v>
      </c>
      <c r="V1413">
        <v>54.15</v>
      </c>
    </row>
    <row r="1414" spans="1:22" x14ac:dyDescent="0.35">
      <c r="A1414" t="s">
        <v>2890</v>
      </c>
      <c r="B1414" t="s">
        <v>1779</v>
      </c>
      <c r="C1414" t="s">
        <v>495</v>
      </c>
      <c r="D1414" t="s">
        <v>496</v>
      </c>
      <c r="E1414" t="s">
        <v>637</v>
      </c>
      <c r="F1414" t="s">
        <v>264</v>
      </c>
      <c r="G1414" t="s">
        <v>797</v>
      </c>
      <c r="H1414" t="s">
        <v>8</v>
      </c>
      <c r="I1414" t="s">
        <v>192</v>
      </c>
      <c r="J1414" t="s">
        <v>798</v>
      </c>
      <c r="K1414" t="s">
        <v>822</v>
      </c>
      <c r="L1414" t="s">
        <v>818</v>
      </c>
      <c r="M1414" s="5">
        <v>45556</v>
      </c>
      <c r="N1414" s="5">
        <v>45555</v>
      </c>
      <c r="O1414">
        <v>20</v>
      </c>
      <c r="P1414">
        <v>19.47</v>
      </c>
      <c r="Q1414">
        <v>28.23</v>
      </c>
      <c r="R1414">
        <v>0</v>
      </c>
      <c r="S1414">
        <v>564.6</v>
      </c>
      <c r="T1414" t="s">
        <v>814</v>
      </c>
      <c r="U1414">
        <v>389.4</v>
      </c>
      <c r="V1414">
        <v>175.2</v>
      </c>
    </row>
    <row r="1415" spans="1:22" x14ac:dyDescent="0.35">
      <c r="A1415" t="s">
        <v>2891</v>
      </c>
      <c r="B1415" t="s">
        <v>981</v>
      </c>
      <c r="C1415" t="s">
        <v>369</v>
      </c>
      <c r="D1415" t="s">
        <v>282</v>
      </c>
      <c r="E1415" t="s">
        <v>696</v>
      </c>
      <c r="F1415" t="s">
        <v>243</v>
      </c>
      <c r="G1415" t="s">
        <v>20</v>
      </c>
      <c r="H1415" t="s">
        <v>43</v>
      </c>
      <c r="I1415" t="s">
        <v>222</v>
      </c>
      <c r="J1415" t="s">
        <v>798</v>
      </c>
      <c r="K1415" t="s">
        <v>793</v>
      </c>
      <c r="L1415" t="s">
        <v>788</v>
      </c>
      <c r="M1415" s="5">
        <v>45596</v>
      </c>
      <c r="O1415">
        <v>2</v>
      </c>
      <c r="P1415">
        <v>37.1</v>
      </c>
      <c r="Q1415">
        <v>48.23</v>
      </c>
      <c r="R1415">
        <v>0</v>
      </c>
      <c r="S1415">
        <v>96.46</v>
      </c>
      <c r="T1415" t="s">
        <v>963</v>
      </c>
      <c r="U1415">
        <v>74.2</v>
      </c>
      <c r="V1415">
        <v>22.26</v>
      </c>
    </row>
    <row r="1416" spans="1:22" x14ac:dyDescent="0.35">
      <c r="A1416" t="s">
        <v>2892</v>
      </c>
      <c r="B1416" t="s">
        <v>1956</v>
      </c>
      <c r="C1416" t="s">
        <v>576</v>
      </c>
      <c r="D1416" t="s">
        <v>577</v>
      </c>
      <c r="E1416" t="s">
        <v>254</v>
      </c>
      <c r="F1416" t="s">
        <v>243</v>
      </c>
      <c r="G1416" t="s">
        <v>14</v>
      </c>
      <c r="H1416" t="s">
        <v>79</v>
      </c>
      <c r="I1416" t="s">
        <v>124</v>
      </c>
      <c r="J1416" t="s">
        <v>798</v>
      </c>
      <c r="K1416" t="s">
        <v>799</v>
      </c>
      <c r="L1416" t="s">
        <v>800</v>
      </c>
      <c r="M1416" s="5">
        <v>46045</v>
      </c>
      <c r="N1416" s="5">
        <v>46047</v>
      </c>
      <c r="O1416">
        <v>10</v>
      </c>
      <c r="P1416">
        <v>29.44</v>
      </c>
      <c r="Q1416">
        <v>41.22</v>
      </c>
      <c r="R1416">
        <v>0.1</v>
      </c>
      <c r="S1416">
        <v>370.98</v>
      </c>
      <c r="T1416" t="s">
        <v>803</v>
      </c>
      <c r="U1416">
        <v>294.39999999999998</v>
      </c>
      <c r="V1416">
        <v>76.58</v>
      </c>
    </row>
    <row r="1417" spans="1:22" x14ac:dyDescent="0.35">
      <c r="A1417" t="s">
        <v>2893</v>
      </c>
      <c r="B1417" t="s">
        <v>1031</v>
      </c>
      <c r="C1417" t="s">
        <v>613</v>
      </c>
      <c r="D1417" t="s">
        <v>304</v>
      </c>
      <c r="E1417" t="s">
        <v>674</v>
      </c>
      <c r="F1417" t="s">
        <v>243</v>
      </c>
      <c r="G1417" t="s">
        <v>20</v>
      </c>
      <c r="H1417" t="s">
        <v>48</v>
      </c>
      <c r="I1417" t="s">
        <v>46</v>
      </c>
      <c r="J1417" t="s">
        <v>798</v>
      </c>
      <c r="K1417" t="s">
        <v>799</v>
      </c>
      <c r="L1417" t="s">
        <v>788</v>
      </c>
      <c r="M1417" s="5">
        <v>45816</v>
      </c>
      <c r="N1417" s="5">
        <v>45812</v>
      </c>
      <c r="O1417">
        <v>5</v>
      </c>
      <c r="P1417">
        <v>29.16</v>
      </c>
      <c r="Q1417">
        <v>36.450000000000003</v>
      </c>
      <c r="R1417">
        <v>0</v>
      </c>
      <c r="S1417">
        <v>182.25</v>
      </c>
      <c r="T1417" t="s">
        <v>1134</v>
      </c>
      <c r="U1417">
        <v>145.80000000000001</v>
      </c>
      <c r="V1417">
        <v>36.450000000000003</v>
      </c>
    </row>
    <row r="1418" spans="1:22" x14ac:dyDescent="0.35">
      <c r="A1418" t="s">
        <v>2894</v>
      </c>
      <c r="B1418" t="s">
        <v>939</v>
      </c>
      <c r="C1418" t="s">
        <v>587</v>
      </c>
      <c r="D1418" t="s">
        <v>431</v>
      </c>
      <c r="E1418" t="s">
        <v>254</v>
      </c>
      <c r="F1418" t="s">
        <v>235</v>
      </c>
      <c r="G1418" t="s">
        <v>14</v>
      </c>
      <c r="H1418" t="s">
        <v>79</v>
      </c>
      <c r="I1418" t="s">
        <v>124</v>
      </c>
      <c r="J1418" t="s">
        <v>798</v>
      </c>
      <c r="K1418" t="s">
        <v>793</v>
      </c>
      <c r="L1418" t="s">
        <v>842</v>
      </c>
      <c r="M1418" s="5">
        <v>45775</v>
      </c>
      <c r="O1418">
        <v>5</v>
      </c>
      <c r="P1418">
        <v>29.44</v>
      </c>
      <c r="Q1418">
        <v>41.22</v>
      </c>
      <c r="R1418">
        <v>0</v>
      </c>
      <c r="S1418">
        <v>206.1</v>
      </c>
      <c r="T1418" t="s">
        <v>794</v>
      </c>
      <c r="U1418">
        <v>147.19999999999999</v>
      </c>
      <c r="V1418">
        <v>58.9</v>
      </c>
    </row>
    <row r="1419" spans="1:22" x14ac:dyDescent="0.35">
      <c r="A1419" t="s">
        <v>2895</v>
      </c>
      <c r="B1419" t="s">
        <v>1371</v>
      </c>
      <c r="C1419" t="s">
        <v>379</v>
      </c>
      <c r="D1419" t="s">
        <v>380</v>
      </c>
      <c r="E1419" t="s">
        <v>637</v>
      </c>
      <c r="F1419" t="s">
        <v>264</v>
      </c>
      <c r="G1419" t="s">
        <v>20</v>
      </c>
      <c r="H1419" t="s">
        <v>8</v>
      </c>
      <c r="I1419" t="s">
        <v>204</v>
      </c>
      <c r="J1419" t="s">
        <v>813</v>
      </c>
      <c r="K1419" t="s">
        <v>799</v>
      </c>
      <c r="L1419" t="s">
        <v>800</v>
      </c>
      <c r="M1419" s="5">
        <v>45504</v>
      </c>
      <c r="N1419" s="5">
        <v>45508</v>
      </c>
      <c r="O1419">
        <v>1</v>
      </c>
      <c r="P1419">
        <v>28.27</v>
      </c>
      <c r="Q1419">
        <v>40.99</v>
      </c>
      <c r="R1419">
        <v>0.15</v>
      </c>
      <c r="S1419">
        <v>34.840000000000003</v>
      </c>
      <c r="T1419" t="s">
        <v>919</v>
      </c>
      <c r="U1419">
        <v>28.27</v>
      </c>
      <c r="V1419">
        <v>6.57</v>
      </c>
    </row>
    <row r="1420" spans="1:22" x14ac:dyDescent="0.35">
      <c r="A1420" t="s">
        <v>2896</v>
      </c>
      <c r="B1420" t="s">
        <v>1575</v>
      </c>
      <c r="C1420" t="s">
        <v>347</v>
      </c>
      <c r="D1420" t="s">
        <v>348</v>
      </c>
      <c r="E1420" t="s">
        <v>637</v>
      </c>
      <c r="F1420" t="s">
        <v>243</v>
      </c>
      <c r="G1420" t="s">
        <v>797</v>
      </c>
      <c r="H1420" t="s">
        <v>8</v>
      </c>
      <c r="I1420" t="s">
        <v>65</v>
      </c>
      <c r="J1420" t="s">
        <v>813</v>
      </c>
      <c r="K1420" t="s">
        <v>799</v>
      </c>
      <c r="L1420" t="s">
        <v>818</v>
      </c>
      <c r="M1420" s="5">
        <v>46040</v>
      </c>
      <c r="N1420" s="5">
        <v>46046</v>
      </c>
      <c r="O1420">
        <v>10</v>
      </c>
      <c r="P1420">
        <v>30.16</v>
      </c>
      <c r="Q1420">
        <v>40.72</v>
      </c>
      <c r="R1420">
        <v>0.15</v>
      </c>
      <c r="S1420">
        <v>346.12</v>
      </c>
      <c r="T1420" t="s">
        <v>919</v>
      </c>
      <c r="U1420">
        <v>301.60000000000002</v>
      </c>
      <c r="V1420">
        <v>44.52</v>
      </c>
    </row>
    <row r="1421" spans="1:22" x14ac:dyDescent="0.35">
      <c r="A1421" t="s">
        <v>2897</v>
      </c>
      <c r="B1421" t="s">
        <v>2522</v>
      </c>
      <c r="C1421" t="s">
        <v>374</v>
      </c>
      <c r="D1421" t="s">
        <v>375</v>
      </c>
      <c r="E1421" t="s">
        <v>674</v>
      </c>
      <c r="F1421" t="s">
        <v>264</v>
      </c>
      <c r="G1421" t="s">
        <v>14</v>
      </c>
      <c r="H1421" t="s">
        <v>79</v>
      </c>
      <c r="I1421" t="s">
        <v>184</v>
      </c>
      <c r="J1421" t="s">
        <v>798</v>
      </c>
      <c r="K1421" t="s">
        <v>793</v>
      </c>
      <c r="L1421" t="s">
        <v>788</v>
      </c>
      <c r="M1421" s="5">
        <v>45348</v>
      </c>
      <c r="O1421">
        <v>10</v>
      </c>
      <c r="P1421">
        <v>28.87</v>
      </c>
      <c r="Q1421">
        <v>40.42</v>
      </c>
      <c r="R1421">
        <v>0</v>
      </c>
      <c r="S1421">
        <v>404.2</v>
      </c>
      <c r="T1421" t="s">
        <v>935</v>
      </c>
      <c r="U1421">
        <v>288.7</v>
      </c>
      <c r="V1421">
        <v>115.5</v>
      </c>
    </row>
    <row r="1422" spans="1:22" x14ac:dyDescent="0.35">
      <c r="A1422" t="s">
        <v>2898</v>
      </c>
      <c r="B1422" t="s">
        <v>1009</v>
      </c>
      <c r="C1422" t="s">
        <v>388</v>
      </c>
      <c r="D1422" t="s">
        <v>389</v>
      </c>
      <c r="E1422" t="s">
        <v>254</v>
      </c>
      <c r="F1422" t="s">
        <v>243</v>
      </c>
      <c r="G1422" t="s">
        <v>20</v>
      </c>
      <c r="H1422" t="s">
        <v>14</v>
      </c>
      <c r="I1422" t="s">
        <v>138</v>
      </c>
      <c r="J1422" t="s">
        <v>786</v>
      </c>
      <c r="K1422" t="s">
        <v>799</v>
      </c>
      <c r="L1422" t="s">
        <v>842</v>
      </c>
      <c r="M1422" s="5">
        <v>45965</v>
      </c>
      <c r="N1422" s="5">
        <v>45959</v>
      </c>
      <c r="O1422">
        <v>10</v>
      </c>
      <c r="P1422">
        <v>42.6</v>
      </c>
      <c r="Q1422">
        <v>59.64</v>
      </c>
      <c r="R1422">
        <v>0.1</v>
      </c>
      <c r="S1422">
        <v>536.76</v>
      </c>
      <c r="T1422" t="s">
        <v>892</v>
      </c>
      <c r="U1422">
        <v>426</v>
      </c>
      <c r="V1422">
        <v>110.76</v>
      </c>
    </row>
    <row r="1423" spans="1:22" x14ac:dyDescent="0.35">
      <c r="A1423" t="s">
        <v>2899</v>
      </c>
      <c r="B1423" t="s">
        <v>1304</v>
      </c>
      <c r="C1423" t="s">
        <v>320</v>
      </c>
      <c r="D1423" t="s">
        <v>321</v>
      </c>
      <c r="E1423" t="s">
        <v>696</v>
      </c>
      <c r="F1423" t="s">
        <v>235</v>
      </c>
      <c r="G1423" t="s">
        <v>48</v>
      </c>
      <c r="H1423" t="s">
        <v>38</v>
      </c>
      <c r="I1423" t="s">
        <v>117</v>
      </c>
      <c r="J1423" t="s">
        <v>786</v>
      </c>
      <c r="K1423" t="s">
        <v>799</v>
      </c>
      <c r="L1423" t="s">
        <v>842</v>
      </c>
      <c r="M1423" s="5">
        <v>45641</v>
      </c>
      <c r="N1423" s="5">
        <v>45631</v>
      </c>
      <c r="O1423">
        <v>10</v>
      </c>
      <c r="P1423">
        <v>43.25</v>
      </c>
      <c r="Q1423">
        <v>60.55</v>
      </c>
      <c r="R1423">
        <v>0</v>
      </c>
      <c r="S1423">
        <v>605.5</v>
      </c>
      <c r="T1423" t="s">
        <v>810</v>
      </c>
      <c r="U1423">
        <v>432.5</v>
      </c>
      <c r="V1423">
        <v>173</v>
      </c>
    </row>
    <row r="1424" spans="1:22" x14ac:dyDescent="0.35">
      <c r="A1424" t="s">
        <v>2900</v>
      </c>
      <c r="B1424" t="s">
        <v>809</v>
      </c>
      <c r="C1424" t="s">
        <v>548</v>
      </c>
      <c r="D1424" t="s">
        <v>549</v>
      </c>
      <c r="E1424" t="s">
        <v>254</v>
      </c>
      <c r="F1424" t="s">
        <v>264</v>
      </c>
      <c r="G1424" t="s">
        <v>797</v>
      </c>
      <c r="H1424" t="s">
        <v>79</v>
      </c>
      <c r="I1424" t="s">
        <v>124</v>
      </c>
      <c r="J1424" t="s">
        <v>798</v>
      </c>
      <c r="K1424" t="s">
        <v>799</v>
      </c>
      <c r="L1424" t="s">
        <v>842</v>
      </c>
      <c r="M1424" s="5">
        <v>45326</v>
      </c>
      <c r="N1424" s="5">
        <v>45326</v>
      </c>
      <c r="O1424">
        <v>5</v>
      </c>
      <c r="P1424">
        <v>29.44</v>
      </c>
      <c r="Q1424">
        <v>41.22</v>
      </c>
      <c r="R1424">
        <v>0</v>
      </c>
      <c r="S1424">
        <v>206.1</v>
      </c>
      <c r="T1424" t="s">
        <v>1001</v>
      </c>
      <c r="U1424">
        <v>147.19999999999999</v>
      </c>
      <c r="V1424">
        <v>58.9</v>
      </c>
    </row>
    <row r="1425" spans="1:22" x14ac:dyDescent="0.35">
      <c r="A1425" t="s">
        <v>2901</v>
      </c>
      <c r="B1425" t="s">
        <v>1278</v>
      </c>
      <c r="C1425" t="s">
        <v>565</v>
      </c>
      <c r="D1425" t="s">
        <v>566</v>
      </c>
      <c r="E1425" t="s">
        <v>681</v>
      </c>
      <c r="G1425" t="s">
        <v>14</v>
      </c>
      <c r="H1425" t="s">
        <v>14</v>
      </c>
      <c r="I1425" t="s">
        <v>214</v>
      </c>
      <c r="J1425" t="s">
        <v>798</v>
      </c>
      <c r="K1425" t="s">
        <v>799</v>
      </c>
      <c r="L1425" t="s">
        <v>842</v>
      </c>
      <c r="M1425" s="5">
        <v>45640</v>
      </c>
      <c r="N1425" s="5">
        <v>45634</v>
      </c>
      <c r="O1425">
        <v>3</v>
      </c>
      <c r="P1425">
        <v>22.07</v>
      </c>
      <c r="Q1425">
        <v>27.59</v>
      </c>
      <c r="R1425">
        <v>0.15</v>
      </c>
      <c r="S1425">
        <v>70.349999999999994</v>
      </c>
      <c r="T1425" t="s">
        <v>876</v>
      </c>
      <c r="U1425">
        <v>66.209999999999994</v>
      </c>
      <c r="V1425">
        <v>4.1399999999999997</v>
      </c>
    </row>
    <row r="1426" spans="1:22" x14ac:dyDescent="0.35">
      <c r="A1426" t="s">
        <v>2902</v>
      </c>
      <c r="B1426" t="s">
        <v>1084</v>
      </c>
      <c r="C1426" t="s">
        <v>465</v>
      </c>
      <c r="D1426" t="s">
        <v>348</v>
      </c>
      <c r="E1426" t="s">
        <v>633</v>
      </c>
      <c r="F1426" t="s">
        <v>264</v>
      </c>
      <c r="G1426" t="s">
        <v>14</v>
      </c>
      <c r="H1426" t="s">
        <v>38</v>
      </c>
      <c r="I1426" t="s">
        <v>206</v>
      </c>
      <c r="J1426" t="s">
        <v>798</v>
      </c>
      <c r="K1426" t="s">
        <v>822</v>
      </c>
      <c r="L1426" t="s">
        <v>842</v>
      </c>
      <c r="M1426" s="5">
        <v>45934</v>
      </c>
      <c r="N1426" s="5">
        <v>45929</v>
      </c>
      <c r="O1426">
        <v>2</v>
      </c>
      <c r="P1426">
        <v>23.55</v>
      </c>
      <c r="Q1426">
        <v>31.79</v>
      </c>
      <c r="R1426">
        <v>0</v>
      </c>
      <c r="S1426">
        <v>63.58</v>
      </c>
      <c r="T1426" t="s">
        <v>946</v>
      </c>
      <c r="U1426">
        <v>47.1</v>
      </c>
      <c r="V1426">
        <v>16.48</v>
      </c>
    </row>
    <row r="1427" spans="1:22" x14ac:dyDescent="0.35">
      <c r="A1427" t="s">
        <v>2903</v>
      </c>
      <c r="B1427" t="s">
        <v>1693</v>
      </c>
      <c r="C1427" t="s">
        <v>565</v>
      </c>
      <c r="D1427" t="s">
        <v>566</v>
      </c>
      <c r="E1427" t="s">
        <v>637</v>
      </c>
      <c r="G1427" t="s">
        <v>14</v>
      </c>
      <c r="H1427" t="s">
        <v>14</v>
      </c>
      <c r="I1427" t="s">
        <v>209</v>
      </c>
      <c r="J1427" t="s">
        <v>813</v>
      </c>
      <c r="K1427" t="s">
        <v>793</v>
      </c>
      <c r="L1427" t="s">
        <v>788</v>
      </c>
      <c r="M1427" s="5">
        <v>45421</v>
      </c>
      <c r="O1427">
        <v>5</v>
      </c>
      <c r="P1427">
        <v>24.18</v>
      </c>
      <c r="Q1427">
        <v>33.85</v>
      </c>
      <c r="R1427">
        <v>0.05</v>
      </c>
      <c r="S1427">
        <v>160.79</v>
      </c>
      <c r="T1427" t="s">
        <v>892</v>
      </c>
      <c r="U1427">
        <v>120.9</v>
      </c>
      <c r="V1427">
        <v>39.89</v>
      </c>
    </row>
    <row r="1428" spans="1:22" x14ac:dyDescent="0.35">
      <c r="A1428" t="s">
        <v>2904</v>
      </c>
      <c r="B1428" t="s">
        <v>1190</v>
      </c>
      <c r="C1428" t="s">
        <v>260</v>
      </c>
      <c r="D1428" t="s">
        <v>261</v>
      </c>
      <c r="E1428" t="s">
        <v>627</v>
      </c>
      <c r="F1428" t="s">
        <v>264</v>
      </c>
      <c r="G1428" t="s">
        <v>797</v>
      </c>
      <c r="H1428" t="s">
        <v>20</v>
      </c>
      <c r="I1428" t="s">
        <v>97</v>
      </c>
      <c r="J1428" t="s">
        <v>786</v>
      </c>
      <c r="K1428" t="s">
        <v>793</v>
      </c>
      <c r="L1428" t="s">
        <v>788</v>
      </c>
      <c r="M1428" s="5">
        <v>45794</v>
      </c>
      <c r="O1428">
        <v>3</v>
      </c>
      <c r="P1428">
        <v>20.79</v>
      </c>
      <c r="Q1428">
        <v>28.07</v>
      </c>
      <c r="R1428">
        <v>0</v>
      </c>
      <c r="S1428">
        <v>84.21</v>
      </c>
      <c r="T1428" t="s">
        <v>946</v>
      </c>
      <c r="U1428">
        <v>62.37</v>
      </c>
      <c r="V1428">
        <v>21.84</v>
      </c>
    </row>
    <row r="1429" spans="1:22" x14ac:dyDescent="0.35">
      <c r="A1429" t="s">
        <v>2905</v>
      </c>
      <c r="B1429" t="s">
        <v>831</v>
      </c>
      <c r="C1429" t="s">
        <v>351</v>
      </c>
      <c r="D1429" t="s">
        <v>352</v>
      </c>
      <c r="E1429" t="s">
        <v>254</v>
      </c>
      <c r="F1429" t="s">
        <v>264</v>
      </c>
      <c r="G1429" t="s">
        <v>797</v>
      </c>
      <c r="H1429" t="s">
        <v>8</v>
      </c>
      <c r="I1429" t="s">
        <v>192</v>
      </c>
      <c r="J1429" t="s">
        <v>798</v>
      </c>
      <c r="K1429" t="s">
        <v>793</v>
      </c>
      <c r="L1429" t="s">
        <v>842</v>
      </c>
      <c r="M1429" s="5">
        <v>45915</v>
      </c>
      <c r="O1429">
        <v>2</v>
      </c>
      <c r="P1429">
        <v>19.47</v>
      </c>
      <c r="Q1429">
        <v>28.23</v>
      </c>
      <c r="R1429">
        <v>0</v>
      </c>
      <c r="S1429">
        <v>56.46</v>
      </c>
      <c r="T1429" t="s">
        <v>1017</v>
      </c>
      <c r="U1429">
        <v>38.94</v>
      </c>
      <c r="V1429">
        <v>17.52</v>
      </c>
    </row>
    <row r="1430" spans="1:22" x14ac:dyDescent="0.35">
      <c r="A1430" t="s">
        <v>2906</v>
      </c>
      <c r="B1430" t="s">
        <v>851</v>
      </c>
      <c r="C1430" t="s">
        <v>342</v>
      </c>
      <c r="D1430" t="s">
        <v>245</v>
      </c>
      <c r="E1430" t="s">
        <v>627</v>
      </c>
      <c r="F1430" t="s">
        <v>235</v>
      </c>
      <c r="G1430" t="s">
        <v>14</v>
      </c>
      <c r="H1430" t="s">
        <v>43</v>
      </c>
      <c r="I1430" t="s">
        <v>75</v>
      </c>
      <c r="J1430" t="s">
        <v>786</v>
      </c>
      <c r="K1430" t="s">
        <v>787</v>
      </c>
      <c r="L1430" t="s">
        <v>800</v>
      </c>
      <c r="M1430" s="5">
        <v>45343</v>
      </c>
      <c r="O1430">
        <v>1</v>
      </c>
      <c r="P1430">
        <v>24.35</v>
      </c>
      <c r="Q1430">
        <v>34.090000000000003</v>
      </c>
      <c r="R1430">
        <v>0.15</v>
      </c>
      <c r="S1430">
        <v>28.98</v>
      </c>
      <c r="T1430" t="s">
        <v>839</v>
      </c>
      <c r="U1430">
        <v>24.35</v>
      </c>
      <c r="V1430">
        <v>4.63</v>
      </c>
    </row>
    <row r="1431" spans="1:22" x14ac:dyDescent="0.35">
      <c r="A1431" t="s">
        <v>2907</v>
      </c>
      <c r="B1431" t="s">
        <v>1426</v>
      </c>
      <c r="C1431" t="s">
        <v>507</v>
      </c>
      <c r="D1431" t="s">
        <v>508</v>
      </c>
      <c r="E1431" t="s">
        <v>696</v>
      </c>
      <c r="F1431" t="s">
        <v>243</v>
      </c>
      <c r="G1431" t="s">
        <v>797</v>
      </c>
      <c r="H1431" t="s">
        <v>20</v>
      </c>
      <c r="I1431" t="s">
        <v>39</v>
      </c>
      <c r="J1431" t="s">
        <v>786</v>
      </c>
      <c r="K1431" t="s">
        <v>799</v>
      </c>
      <c r="L1431" t="s">
        <v>842</v>
      </c>
      <c r="M1431" s="5">
        <v>45651</v>
      </c>
      <c r="N1431" s="5">
        <v>45644</v>
      </c>
      <c r="O1431">
        <v>20</v>
      </c>
      <c r="P1431">
        <v>9.5</v>
      </c>
      <c r="Q1431">
        <v>12.83</v>
      </c>
      <c r="R1431">
        <v>0</v>
      </c>
      <c r="S1431">
        <v>256.60000000000002</v>
      </c>
      <c r="T1431" t="s">
        <v>888</v>
      </c>
      <c r="U1431">
        <v>190</v>
      </c>
      <c r="V1431">
        <v>66.599999999999994</v>
      </c>
    </row>
    <row r="1432" spans="1:22" x14ac:dyDescent="0.35">
      <c r="A1432" t="s">
        <v>2908</v>
      </c>
      <c r="B1432" t="s">
        <v>1007</v>
      </c>
      <c r="C1432" t="s">
        <v>372</v>
      </c>
      <c r="D1432" t="s">
        <v>373</v>
      </c>
      <c r="E1432" t="s">
        <v>637</v>
      </c>
      <c r="F1432" t="s">
        <v>235</v>
      </c>
      <c r="G1432" t="s">
        <v>48</v>
      </c>
      <c r="H1432" t="s">
        <v>8</v>
      </c>
      <c r="I1432" t="s">
        <v>73</v>
      </c>
      <c r="J1432" t="s">
        <v>798</v>
      </c>
      <c r="K1432" t="s">
        <v>793</v>
      </c>
      <c r="L1432" t="s">
        <v>818</v>
      </c>
      <c r="M1432" s="5">
        <v>45317</v>
      </c>
      <c r="O1432">
        <v>2</v>
      </c>
      <c r="P1432">
        <v>67.95</v>
      </c>
      <c r="Q1432">
        <v>88.34</v>
      </c>
      <c r="R1432">
        <v>0.05</v>
      </c>
      <c r="S1432">
        <v>167.85</v>
      </c>
      <c r="T1432" t="s">
        <v>946</v>
      </c>
      <c r="U1432">
        <v>135.9</v>
      </c>
      <c r="V1432">
        <v>31.95</v>
      </c>
    </row>
    <row r="1433" spans="1:22" x14ac:dyDescent="0.35">
      <c r="A1433" t="s">
        <v>2909</v>
      </c>
      <c r="B1433" t="s">
        <v>868</v>
      </c>
      <c r="C1433" t="s">
        <v>462</v>
      </c>
      <c r="D1433" t="s">
        <v>396</v>
      </c>
      <c r="E1433" t="s">
        <v>674</v>
      </c>
      <c r="F1433" t="s">
        <v>264</v>
      </c>
      <c r="G1433" t="s">
        <v>14</v>
      </c>
      <c r="H1433" t="s">
        <v>29</v>
      </c>
      <c r="I1433" t="s">
        <v>182</v>
      </c>
      <c r="J1433" t="s">
        <v>813</v>
      </c>
      <c r="K1433" t="s">
        <v>822</v>
      </c>
      <c r="L1433" t="s">
        <v>788</v>
      </c>
      <c r="M1433" s="5">
        <v>45385</v>
      </c>
      <c r="N1433" s="5">
        <v>45386</v>
      </c>
      <c r="O1433">
        <v>2</v>
      </c>
      <c r="P1433">
        <v>19.77</v>
      </c>
      <c r="Q1433">
        <v>27.68</v>
      </c>
      <c r="R1433">
        <v>0</v>
      </c>
      <c r="S1433">
        <v>55.36</v>
      </c>
      <c r="T1433" t="s">
        <v>810</v>
      </c>
      <c r="U1433">
        <v>39.54</v>
      </c>
      <c r="V1433">
        <v>15.82</v>
      </c>
    </row>
    <row r="1434" spans="1:22" x14ac:dyDescent="0.35">
      <c r="A1434" t="s">
        <v>2910</v>
      </c>
      <c r="B1434" t="s">
        <v>1274</v>
      </c>
      <c r="C1434" t="s">
        <v>449</v>
      </c>
      <c r="D1434" t="s">
        <v>450</v>
      </c>
      <c r="E1434" t="s">
        <v>254</v>
      </c>
      <c r="F1434" t="s">
        <v>235</v>
      </c>
      <c r="G1434" t="s">
        <v>20</v>
      </c>
      <c r="H1434" t="s">
        <v>8</v>
      </c>
      <c r="I1434" t="s">
        <v>181</v>
      </c>
      <c r="J1434" t="s">
        <v>798</v>
      </c>
      <c r="K1434" t="s">
        <v>793</v>
      </c>
      <c r="L1434" t="s">
        <v>842</v>
      </c>
      <c r="M1434" s="5">
        <v>45559</v>
      </c>
      <c r="O1434">
        <v>5</v>
      </c>
      <c r="P1434">
        <v>20.49</v>
      </c>
      <c r="Q1434">
        <v>29.71</v>
      </c>
      <c r="R1434">
        <v>0.05</v>
      </c>
      <c r="S1434">
        <v>141.12</v>
      </c>
      <c r="T1434" t="s">
        <v>869</v>
      </c>
      <c r="U1434">
        <v>102.45</v>
      </c>
      <c r="V1434">
        <v>38.67</v>
      </c>
    </row>
    <row r="1435" spans="1:22" x14ac:dyDescent="0.35">
      <c r="A1435" t="s">
        <v>2911</v>
      </c>
      <c r="B1435" t="s">
        <v>1029</v>
      </c>
      <c r="C1435" t="s">
        <v>611</v>
      </c>
      <c r="D1435" t="s">
        <v>287</v>
      </c>
      <c r="E1435" t="s">
        <v>627</v>
      </c>
      <c r="F1435" t="s">
        <v>235</v>
      </c>
      <c r="G1435" t="s">
        <v>14</v>
      </c>
      <c r="H1435" t="s">
        <v>29</v>
      </c>
      <c r="I1435" t="s">
        <v>115</v>
      </c>
      <c r="J1435" t="s">
        <v>813</v>
      </c>
      <c r="K1435" t="s">
        <v>793</v>
      </c>
      <c r="L1435" t="s">
        <v>800</v>
      </c>
      <c r="M1435" s="5">
        <v>45791</v>
      </c>
      <c r="O1435">
        <v>1</v>
      </c>
      <c r="P1435">
        <v>34.340000000000003</v>
      </c>
      <c r="Q1435">
        <v>44.64</v>
      </c>
      <c r="R1435">
        <v>0</v>
      </c>
      <c r="S1435">
        <v>44.64</v>
      </c>
      <c r="T1435" t="s">
        <v>829</v>
      </c>
      <c r="U1435">
        <v>34.340000000000003</v>
      </c>
      <c r="V1435">
        <v>10.3</v>
      </c>
    </row>
    <row r="1436" spans="1:22" x14ac:dyDescent="0.35">
      <c r="A1436" t="s">
        <v>2912</v>
      </c>
      <c r="B1436" t="s">
        <v>2319</v>
      </c>
      <c r="C1436" t="s">
        <v>425</v>
      </c>
      <c r="D1436" t="s">
        <v>404</v>
      </c>
      <c r="E1436" t="s">
        <v>627</v>
      </c>
      <c r="F1436" t="s">
        <v>264</v>
      </c>
      <c r="G1436" t="s">
        <v>797</v>
      </c>
      <c r="H1436" t="s">
        <v>29</v>
      </c>
      <c r="I1436" t="s">
        <v>183</v>
      </c>
      <c r="J1436" t="s">
        <v>798</v>
      </c>
      <c r="K1436" t="s">
        <v>799</v>
      </c>
      <c r="L1436" t="s">
        <v>788</v>
      </c>
      <c r="M1436" s="5">
        <v>45417</v>
      </c>
      <c r="N1436" s="5">
        <v>45414</v>
      </c>
      <c r="O1436">
        <v>10</v>
      </c>
      <c r="P1436">
        <v>10.97</v>
      </c>
      <c r="Q1436">
        <v>15.91</v>
      </c>
      <c r="R1436">
        <v>0</v>
      </c>
      <c r="S1436">
        <v>159.1</v>
      </c>
      <c r="T1436" t="s">
        <v>859</v>
      </c>
      <c r="U1436">
        <v>109.7</v>
      </c>
      <c r="V1436">
        <v>49.4</v>
      </c>
    </row>
    <row r="1437" spans="1:22" x14ac:dyDescent="0.35">
      <c r="A1437" t="s">
        <v>2913</v>
      </c>
      <c r="B1437" t="s">
        <v>1190</v>
      </c>
      <c r="C1437" t="s">
        <v>601</v>
      </c>
      <c r="D1437" t="s">
        <v>602</v>
      </c>
      <c r="E1437" t="s">
        <v>627</v>
      </c>
      <c r="F1437" t="s">
        <v>235</v>
      </c>
      <c r="G1437" t="s">
        <v>797</v>
      </c>
      <c r="H1437" t="s">
        <v>14</v>
      </c>
      <c r="I1437" t="s">
        <v>16</v>
      </c>
      <c r="J1437" t="s">
        <v>813</v>
      </c>
      <c r="K1437" t="s">
        <v>793</v>
      </c>
      <c r="L1437" t="s">
        <v>800</v>
      </c>
      <c r="M1437" s="5">
        <v>45783</v>
      </c>
      <c r="O1437">
        <v>5</v>
      </c>
      <c r="P1437">
        <v>56.69</v>
      </c>
      <c r="Q1437">
        <v>79.37</v>
      </c>
      <c r="R1437">
        <v>0.1</v>
      </c>
      <c r="S1437">
        <v>357.17</v>
      </c>
      <c r="T1437" t="s">
        <v>919</v>
      </c>
      <c r="U1437">
        <v>283.45</v>
      </c>
      <c r="V1437">
        <v>73.72</v>
      </c>
    </row>
    <row r="1438" spans="1:22" x14ac:dyDescent="0.35">
      <c r="A1438" t="s">
        <v>2914</v>
      </c>
      <c r="B1438" t="s">
        <v>2415</v>
      </c>
      <c r="C1438" t="s">
        <v>575</v>
      </c>
      <c r="D1438" t="s">
        <v>439</v>
      </c>
      <c r="E1438" t="s">
        <v>633</v>
      </c>
      <c r="F1438" t="s">
        <v>264</v>
      </c>
      <c r="G1438" t="s">
        <v>14</v>
      </c>
      <c r="H1438" t="s">
        <v>14</v>
      </c>
      <c r="I1438" t="s">
        <v>93</v>
      </c>
      <c r="J1438" t="s">
        <v>798</v>
      </c>
      <c r="K1438" t="s">
        <v>799</v>
      </c>
      <c r="L1438" t="s">
        <v>842</v>
      </c>
      <c r="M1438" s="5">
        <v>45353</v>
      </c>
      <c r="N1438" s="5">
        <v>45356</v>
      </c>
      <c r="O1438">
        <v>3</v>
      </c>
      <c r="P1438">
        <v>26.96</v>
      </c>
      <c r="Q1438">
        <v>37.74</v>
      </c>
      <c r="R1438">
        <v>0.1</v>
      </c>
      <c r="S1438">
        <v>101.9</v>
      </c>
      <c r="T1438" t="s">
        <v>814</v>
      </c>
      <c r="U1438">
        <v>80.88</v>
      </c>
      <c r="V1438">
        <v>21.02</v>
      </c>
    </row>
    <row r="1439" spans="1:22" x14ac:dyDescent="0.35">
      <c r="A1439" t="s">
        <v>2915</v>
      </c>
      <c r="B1439" t="s">
        <v>2014</v>
      </c>
      <c r="C1439" t="s">
        <v>419</v>
      </c>
      <c r="D1439" t="s">
        <v>420</v>
      </c>
      <c r="E1439" t="s">
        <v>633</v>
      </c>
      <c r="F1439" t="s">
        <v>243</v>
      </c>
      <c r="G1439" t="s">
        <v>14</v>
      </c>
      <c r="H1439" t="s">
        <v>48</v>
      </c>
      <c r="I1439" t="s">
        <v>46</v>
      </c>
      <c r="J1439" t="s">
        <v>786</v>
      </c>
      <c r="K1439" t="s">
        <v>799</v>
      </c>
      <c r="L1439" t="s">
        <v>818</v>
      </c>
      <c r="M1439" s="5">
        <v>45900</v>
      </c>
      <c r="N1439" s="5">
        <v>45889</v>
      </c>
      <c r="O1439">
        <v>12</v>
      </c>
      <c r="P1439">
        <v>29.16</v>
      </c>
      <c r="Q1439">
        <v>36.450000000000003</v>
      </c>
      <c r="R1439">
        <v>0</v>
      </c>
      <c r="S1439">
        <v>437.4</v>
      </c>
      <c r="T1439" t="s">
        <v>803</v>
      </c>
      <c r="U1439">
        <v>349.92</v>
      </c>
      <c r="V1439">
        <v>87.48</v>
      </c>
    </row>
    <row r="1440" spans="1:22" x14ac:dyDescent="0.35">
      <c r="A1440" t="s">
        <v>2916</v>
      </c>
      <c r="B1440" t="s">
        <v>1127</v>
      </c>
      <c r="C1440" t="s">
        <v>589</v>
      </c>
      <c r="D1440" t="s">
        <v>484</v>
      </c>
      <c r="E1440" t="s">
        <v>627</v>
      </c>
      <c r="F1440" t="s">
        <v>264</v>
      </c>
      <c r="G1440" t="s">
        <v>14</v>
      </c>
      <c r="H1440" t="s">
        <v>29</v>
      </c>
      <c r="I1440" t="s">
        <v>191</v>
      </c>
      <c r="J1440" t="s">
        <v>798</v>
      </c>
      <c r="K1440" t="s">
        <v>799</v>
      </c>
      <c r="L1440" t="s">
        <v>818</v>
      </c>
      <c r="M1440" s="5">
        <v>45711</v>
      </c>
      <c r="N1440" s="5">
        <v>45713</v>
      </c>
      <c r="O1440">
        <v>3</v>
      </c>
      <c r="P1440">
        <v>11.26</v>
      </c>
      <c r="Q1440">
        <v>15.2</v>
      </c>
      <c r="R1440">
        <v>0.15</v>
      </c>
      <c r="S1440">
        <v>38.76</v>
      </c>
      <c r="T1440" t="s">
        <v>859</v>
      </c>
      <c r="U1440">
        <v>33.78</v>
      </c>
      <c r="V1440">
        <v>4.9800000000000004</v>
      </c>
    </row>
    <row r="1441" spans="1:22" x14ac:dyDescent="0.35">
      <c r="A1441" t="s">
        <v>2917</v>
      </c>
      <c r="B1441" t="s">
        <v>1053</v>
      </c>
      <c r="C1441" t="s">
        <v>609</v>
      </c>
      <c r="D1441" t="s">
        <v>610</v>
      </c>
      <c r="E1441" t="s">
        <v>627</v>
      </c>
      <c r="G1441" t="s">
        <v>20</v>
      </c>
      <c r="H1441" t="s">
        <v>20</v>
      </c>
      <c r="I1441" t="s">
        <v>51</v>
      </c>
      <c r="J1441" t="s">
        <v>798</v>
      </c>
      <c r="K1441" t="s">
        <v>799</v>
      </c>
      <c r="L1441" t="s">
        <v>818</v>
      </c>
      <c r="M1441" s="5">
        <v>45956</v>
      </c>
      <c r="N1441" s="5">
        <v>45954</v>
      </c>
      <c r="O1441">
        <v>12</v>
      </c>
      <c r="P1441">
        <v>11.28</v>
      </c>
      <c r="Q1441">
        <v>15.23</v>
      </c>
      <c r="R1441">
        <v>0</v>
      </c>
      <c r="S1441">
        <v>182.76</v>
      </c>
      <c r="T1441" t="s">
        <v>892</v>
      </c>
      <c r="U1441">
        <v>135.36000000000001</v>
      </c>
      <c r="V1441">
        <v>47.4</v>
      </c>
    </row>
    <row r="1442" spans="1:22" x14ac:dyDescent="0.35">
      <c r="A1442" t="s">
        <v>2918</v>
      </c>
      <c r="B1442" t="s">
        <v>1262</v>
      </c>
      <c r="C1442" t="s">
        <v>452</v>
      </c>
      <c r="D1442" t="s">
        <v>420</v>
      </c>
      <c r="E1442" t="s">
        <v>627</v>
      </c>
      <c r="F1442" t="s">
        <v>264</v>
      </c>
      <c r="G1442" t="s">
        <v>797</v>
      </c>
      <c r="H1442" t="s">
        <v>48</v>
      </c>
      <c r="I1442" t="s">
        <v>217</v>
      </c>
      <c r="J1442" t="s">
        <v>786</v>
      </c>
      <c r="K1442" t="s">
        <v>793</v>
      </c>
      <c r="L1442" t="s">
        <v>800</v>
      </c>
      <c r="M1442" s="5">
        <v>45454</v>
      </c>
      <c r="O1442">
        <v>1</v>
      </c>
      <c r="P1442">
        <v>24.07</v>
      </c>
      <c r="Q1442">
        <v>34.9</v>
      </c>
      <c r="R1442">
        <v>0.1</v>
      </c>
      <c r="S1442">
        <v>31.41</v>
      </c>
      <c r="T1442" t="s">
        <v>919</v>
      </c>
      <c r="U1442">
        <v>24.07</v>
      </c>
      <c r="V1442">
        <v>7.34</v>
      </c>
    </row>
    <row r="1443" spans="1:22" x14ac:dyDescent="0.35">
      <c r="A1443" t="s">
        <v>2919</v>
      </c>
      <c r="B1443" t="s">
        <v>1775</v>
      </c>
      <c r="C1443" t="s">
        <v>613</v>
      </c>
      <c r="D1443" t="s">
        <v>304</v>
      </c>
      <c r="E1443" t="s">
        <v>627</v>
      </c>
      <c r="F1443" t="s">
        <v>243</v>
      </c>
      <c r="G1443" t="s">
        <v>20</v>
      </c>
      <c r="H1443" t="s">
        <v>43</v>
      </c>
      <c r="I1443" t="s">
        <v>75</v>
      </c>
      <c r="J1443" t="s">
        <v>798</v>
      </c>
      <c r="K1443" t="s">
        <v>799</v>
      </c>
      <c r="L1443" t="s">
        <v>788</v>
      </c>
      <c r="M1443" s="5">
        <v>45600</v>
      </c>
      <c r="N1443" s="5">
        <v>45595</v>
      </c>
      <c r="O1443">
        <v>5</v>
      </c>
      <c r="P1443">
        <v>24.35</v>
      </c>
      <c r="Q1443">
        <v>34.090000000000003</v>
      </c>
      <c r="R1443">
        <v>0</v>
      </c>
      <c r="S1443">
        <v>170.45</v>
      </c>
      <c r="T1443" t="s">
        <v>963</v>
      </c>
      <c r="U1443">
        <v>121.75</v>
      </c>
      <c r="V1443">
        <v>48.7</v>
      </c>
    </row>
    <row r="1444" spans="1:22" x14ac:dyDescent="0.35">
      <c r="A1444" t="s">
        <v>2920</v>
      </c>
      <c r="B1444" t="s">
        <v>1407</v>
      </c>
      <c r="C1444" t="s">
        <v>421</v>
      </c>
      <c r="D1444" t="s">
        <v>422</v>
      </c>
      <c r="E1444" t="s">
        <v>637</v>
      </c>
      <c r="F1444" t="s">
        <v>235</v>
      </c>
      <c r="G1444" t="s">
        <v>797</v>
      </c>
      <c r="H1444" t="s">
        <v>48</v>
      </c>
      <c r="I1444" t="s">
        <v>139</v>
      </c>
      <c r="J1444" t="s">
        <v>786</v>
      </c>
      <c r="K1444" t="s">
        <v>793</v>
      </c>
      <c r="L1444" t="s">
        <v>842</v>
      </c>
      <c r="M1444" s="5">
        <v>45495</v>
      </c>
      <c r="O1444">
        <v>20</v>
      </c>
      <c r="P1444">
        <v>29.93</v>
      </c>
      <c r="Q1444">
        <v>41.9</v>
      </c>
      <c r="R1444">
        <v>0.05</v>
      </c>
      <c r="S1444">
        <v>796.1</v>
      </c>
      <c r="T1444" t="s">
        <v>946</v>
      </c>
      <c r="U1444">
        <v>598.6</v>
      </c>
      <c r="V1444">
        <v>197.5</v>
      </c>
    </row>
    <row r="1445" spans="1:22" x14ac:dyDescent="0.35">
      <c r="A1445" t="s">
        <v>2921</v>
      </c>
      <c r="B1445" t="s">
        <v>1063</v>
      </c>
      <c r="C1445" t="s">
        <v>534</v>
      </c>
      <c r="D1445" t="s">
        <v>535</v>
      </c>
      <c r="E1445" t="s">
        <v>696</v>
      </c>
      <c r="G1445" t="s">
        <v>797</v>
      </c>
      <c r="H1445" t="s">
        <v>8</v>
      </c>
      <c r="I1445" t="s">
        <v>192</v>
      </c>
      <c r="J1445" t="s">
        <v>798</v>
      </c>
      <c r="K1445" t="s">
        <v>799</v>
      </c>
      <c r="L1445" t="s">
        <v>818</v>
      </c>
      <c r="M1445" s="5">
        <v>46015</v>
      </c>
      <c r="N1445" s="5">
        <v>46016</v>
      </c>
      <c r="O1445">
        <v>5</v>
      </c>
      <c r="P1445">
        <v>19.47</v>
      </c>
      <c r="Q1445">
        <v>28.23</v>
      </c>
      <c r="R1445">
        <v>0</v>
      </c>
      <c r="S1445">
        <v>141.15</v>
      </c>
      <c r="T1445" t="s">
        <v>869</v>
      </c>
      <c r="U1445">
        <v>97.35</v>
      </c>
      <c r="V1445">
        <v>43.8</v>
      </c>
    </row>
    <row r="1446" spans="1:22" x14ac:dyDescent="0.35">
      <c r="A1446" t="s">
        <v>2922</v>
      </c>
      <c r="B1446" t="s">
        <v>1308</v>
      </c>
      <c r="C1446" t="s">
        <v>428</v>
      </c>
      <c r="D1446" t="s">
        <v>429</v>
      </c>
      <c r="E1446" t="s">
        <v>627</v>
      </c>
      <c r="F1446" t="s">
        <v>264</v>
      </c>
      <c r="G1446" t="s">
        <v>48</v>
      </c>
      <c r="H1446" t="s">
        <v>48</v>
      </c>
      <c r="I1446" t="s">
        <v>219</v>
      </c>
      <c r="J1446" t="s">
        <v>798</v>
      </c>
      <c r="K1446" t="s">
        <v>799</v>
      </c>
      <c r="L1446" t="s">
        <v>788</v>
      </c>
      <c r="M1446" s="5">
        <v>45477</v>
      </c>
      <c r="N1446" s="5">
        <v>45480</v>
      </c>
      <c r="O1446">
        <v>1</v>
      </c>
      <c r="P1446">
        <v>12.9</v>
      </c>
      <c r="Q1446">
        <v>18.7</v>
      </c>
      <c r="R1446">
        <v>0</v>
      </c>
      <c r="S1446">
        <v>18.7</v>
      </c>
      <c r="T1446" t="s">
        <v>825</v>
      </c>
      <c r="U1446">
        <v>12.9</v>
      </c>
      <c r="V1446">
        <v>5.8</v>
      </c>
    </row>
    <row r="1447" spans="1:22" x14ac:dyDescent="0.35">
      <c r="A1447" t="s">
        <v>2923</v>
      </c>
      <c r="B1447" t="s">
        <v>1216</v>
      </c>
      <c r="C1447" t="s">
        <v>398</v>
      </c>
      <c r="D1447" t="s">
        <v>399</v>
      </c>
      <c r="E1447" t="s">
        <v>627</v>
      </c>
      <c r="F1447" t="s">
        <v>264</v>
      </c>
      <c r="G1447" t="s">
        <v>797</v>
      </c>
      <c r="H1447" t="s">
        <v>38</v>
      </c>
      <c r="I1447" t="s">
        <v>172</v>
      </c>
      <c r="J1447" t="s">
        <v>786</v>
      </c>
      <c r="K1447" t="s">
        <v>799</v>
      </c>
      <c r="L1447" t="s">
        <v>800</v>
      </c>
      <c r="M1447" s="5">
        <v>45676</v>
      </c>
      <c r="N1447" s="5">
        <v>45669</v>
      </c>
      <c r="O1447">
        <v>2</v>
      </c>
      <c r="P1447">
        <v>18.329999999999998</v>
      </c>
      <c r="Q1447">
        <v>22.91</v>
      </c>
      <c r="R1447">
        <v>0</v>
      </c>
      <c r="S1447">
        <v>45.82</v>
      </c>
      <c r="T1447" t="s">
        <v>814</v>
      </c>
      <c r="U1447">
        <v>36.659999999999997</v>
      </c>
      <c r="V1447">
        <v>9.16</v>
      </c>
    </row>
    <row r="1448" spans="1:22" x14ac:dyDescent="0.35">
      <c r="A1448" t="s">
        <v>2924</v>
      </c>
      <c r="B1448" t="s">
        <v>1122</v>
      </c>
      <c r="C1448" t="s">
        <v>347</v>
      </c>
      <c r="D1448" t="s">
        <v>348</v>
      </c>
      <c r="E1448" t="s">
        <v>681</v>
      </c>
      <c r="F1448" t="s">
        <v>243</v>
      </c>
      <c r="G1448" t="s">
        <v>14</v>
      </c>
      <c r="H1448" t="s">
        <v>20</v>
      </c>
      <c r="I1448" t="s">
        <v>134</v>
      </c>
      <c r="J1448" t="s">
        <v>798</v>
      </c>
      <c r="K1448" t="s">
        <v>787</v>
      </c>
      <c r="L1448" t="s">
        <v>788</v>
      </c>
      <c r="M1448" s="5">
        <v>45978</v>
      </c>
      <c r="O1448">
        <v>12</v>
      </c>
      <c r="P1448">
        <v>38.36</v>
      </c>
      <c r="Q1448">
        <v>53.7</v>
      </c>
      <c r="R1448">
        <v>0.05</v>
      </c>
      <c r="S1448">
        <v>612.17999999999995</v>
      </c>
      <c r="T1448" t="s">
        <v>803</v>
      </c>
      <c r="U1448">
        <v>460.32</v>
      </c>
      <c r="V1448">
        <v>151.86000000000001</v>
      </c>
    </row>
    <row r="1449" spans="1:22" x14ac:dyDescent="0.35">
      <c r="A1449" t="s">
        <v>2925</v>
      </c>
      <c r="B1449" t="s">
        <v>1313</v>
      </c>
      <c r="C1449" t="s">
        <v>579</v>
      </c>
      <c r="D1449" t="s">
        <v>514</v>
      </c>
      <c r="E1449" t="s">
        <v>674</v>
      </c>
      <c r="F1449" t="s">
        <v>243</v>
      </c>
      <c r="G1449" t="s">
        <v>797</v>
      </c>
      <c r="H1449" t="s">
        <v>8</v>
      </c>
      <c r="I1449" t="s">
        <v>73</v>
      </c>
      <c r="J1449" t="s">
        <v>798</v>
      </c>
      <c r="K1449" t="s">
        <v>799</v>
      </c>
      <c r="L1449" t="s">
        <v>818</v>
      </c>
      <c r="M1449" s="5">
        <v>45666</v>
      </c>
      <c r="N1449" s="5">
        <v>45665</v>
      </c>
      <c r="O1449">
        <v>2</v>
      </c>
      <c r="P1449">
        <v>67.95</v>
      </c>
      <c r="Q1449">
        <v>88.34</v>
      </c>
      <c r="R1449">
        <v>0.1</v>
      </c>
      <c r="S1449">
        <v>159.01</v>
      </c>
      <c r="T1449" t="s">
        <v>935</v>
      </c>
      <c r="U1449">
        <v>135.9</v>
      </c>
      <c r="V1449">
        <v>23.11</v>
      </c>
    </row>
    <row r="1450" spans="1:22" x14ac:dyDescent="0.35">
      <c r="A1450" t="s">
        <v>2926</v>
      </c>
      <c r="B1450" t="s">
        <v>911</v>
      </c>
      <c r="C1450" t="s">
        <v>303</v>
      </c>
      <c r="D1450" t="s">
        <v>304</v>
      </c>
      <c r="E1450" t="s">
        <v>637</v>
      </c>
      <c r="F1450" t="s">
        <v>243</v>
      </c>
      <c r="G1450" t="s">
        <v>797</v>
      </c>
      <c r="H1450" t="s">
        <v>20</v>
      </c>
      <c r="I1450" t="s">
        <v>159</v>
      </c>
      <c r="J1450" t="s">
        <v>798</v>
      </c>
      <c r="K1450" t="s">
        <v>799</v>
      </c>
      <c r="L1450" t="s">
        <v>842</v>
      </c>
      <c r="M1450" s="5">
        <v>45715</v>
      </c>
      <c r="N1450" s="5">
        <v>45711</v>
      </c>
      <c r="O1450">
        <v>12</v>
      </c>
      <c r="P1450">
        <v>8.2200000000000006</v>
      </c>
      <c r="Q1450">
        <v>11.1</v>
      </c>
      <c r="R1450">
        <v>0.15</v>
      </c>
      <c r="S1450">
        <v>113.22</v>
      </c>
      <c r="T1450" t="s">
        <v>825</v>
      </c>
      <c r="U1450">
        <v>98.64</v>
      </c>
      <c r="V1450">
        <v>14.58</v>
      </c>
    </row>
    <row r="1451" spans="1:22" x14ac:dyDescent="0.35">
      <c r="A1451" t="s">
        <v>2927</v>
      </c>
      <c r="B1451" t="s">
        <v>1229</v>
      </c>
      <c r="C1451" t="s">
        <v>430</v>
      </c>
      <c r="D1451" t="s">
        <v>431</v>
      </c>
      <c r="E1451" t="s">
        <v>627</v>
      </c>
      <c r="F1451" t="s">
        <v>264</v>
      </c>
      <c r="G1451" t="s">
        <v>797</v>
      </c>
      <c r="H1451" t="s">
        <v>20</v>
      </c>
      <c r="I1451" t="s">
        <v>196</v>
      </c>
      <c r="J1451" t="s">
        <v>786</v>
      </c>
      <c r="K1451" t="s">
        <v>787</v>
      </c>
      <c r="L1451" t="s">
        <v>788</v>
      </c>
      <c r="M1451" s="5">
        <v>45500</v>
      </c>
      <c r="O1451">
        <v>10</v>
      </c>
      <c r="P1451">
        <v>15.78</v>
      </c>
      <c r="Q1451">
        <v>19.72</v>
      </c>
      <c r="R1451">
        <v>0</v>
      </c>
      <c r="S1451">
        <v>197.2</v>
      </c>
      <c r="T1451" t="s">
        <v>935</v>
      </c>
      <c r="U1451">
        <v>157.80000000000001</v>
      </c>
      <c r="V1451">
        <v>39.4</v>
      </c>
    </row>
    <row r="1452" spans="1:22" x14ac:dyDescent="0.35">
      <c r="A1452" t="s">
        <v>2928</v>
      </c>
      <c r="B1452" t="s">
        <v>1985</v>
      </c>
      <c r="C1452" t="s">
        <v>397</v>
      </c>
      <c r="D1452" t="s">
        <v>360</v>
      </c>
      <c r="E1452" t="s">
        <v>627</v>
      </c>
      <c r="G1452" t="s">
        <v>20</v>
      </c>
      <c r="H1452" t="s">
        <v>20</v>
      </c>
      <c r="I1452" t="s">
        <v>104</v>
      </c>
      <c r="J1452" t="s">
        <v>798</v>
      </c>
      <c r="K1452" t="s">
        <v>799</v>
      </c>
      <c r="L1452" t="s">
        <v>842</v>
      </c>
      <c r="M1452" s="5">
        <v>45853</v>
      </c>
      <c r="N1452" s="5">
        <v>45854</v>
      </c>
      <c r="O1452">
        <v>12</v>
      </c>
      <c r="P1452">
        <v>43.88</v>
      </c>
      <c r="Q1452">
        <v>54.85</v>
      </c>
      <c r="R1452">
        <v>0</v>
      </c>
      <c r="S1452">
        <v>658.2</v>
      </c>
      <c r="T1452" t="s">
        <v>810</v>
      </c>
      <c r="U1452">
        <v>526.55999999999995</v>
      </c>
      <c r="V1452">
        <v>131.63999999999999</v>
      </c>
    </row>
    <row r="1453" spans="1:22" x14ac:dyDescent="0.35">
      <c r="A1453" t="s">
        <v>2929</v>
      </c>
      <c r="B1453" t="s">
        <v>1441</v>
      </c>
      <c r="C1453" t="s">
        <v>238</v>
      </c>
      <c r="D1453" t="s">
        <v>239</v>
      </c>
      <c r="E1453" t="s">
        <v>681</v>
      </c>
      <c r="F1453" t="s">
        <v>243</v>
      </c>
      <c r="G1453" t="s">
        <v>20</v>
      </c>
      <c r="H1453" t="s">
        <v>79</v>
      </c>
      <c r="I1453" t="s">
        <v>124</v>
      </c>
      <c r="J1453" t="s">
        <v>798</v>
      </c>
      <c r="K1453" t="s">
        <v>793</v>
      </c>
      <c r="L1453" t="s">
        <v>818</v>
      </c>
      <c r="M1453" s="5">
        <v>45528</v>
      </c>
      <c r="O1453">
        <v>12</v>
      </c>
      <c r="P1453">
        <v>29.44</v>
      </c>
      <c r="Q1453">
        <v>41.22</v>
      </c>
      <c r="R1453">
        <v>0</v>
      </c>
      <c r="S1453">
        <v>494.64</v>
      </c>
      <c r="T1453" t="s">
        <v>829</v>
      </c>
      <c r="U1453">
        <v>353.28</v>
      </c>
      <c r="V1453">
        <v>141.36000000000001</v>
      </c>
    </row>
    <row r="1454" spans="1:22" x14ac:dyDescent="0.35">
      <c r="A1454" t="s">
        <v>2930</v>
      </c>
      <c r="B1454" t="s">
        <v>1692</v>
      </c>
      <c r="C1454" t="s">
        <v>511</v>
      </c>
      <c r="D1454" t="s">
        <v>512</v>
      </c>
      <c r="E1454" t="s">
        <v>674</v>
      </c>
      <c r="F1454" t="s">
        <v>264</v>
      </c>
      <c r="G1454" t="s">
        <v>797</v>
      </c>
      <c r="H1454" t="s">
        <v>8</v>
      </c>
      <c r="I1454" t="s">
        <v>23</v>
      </c>
      <c r="J1454" t="s">
        <v>798</v>
      </c>
      <c r="K1454" t="s">
        <v>799</v>
      </c>
      <c r="L1454" t="s">
        <v>800</v>
      </c>
      <c r="M1454" s="5">
        <v>45418</v>
      </c>
      <c r="N1454" s="5">
        <v>45413</v>
      </c>
      <c r="O1454">
        <v>3</v>
      </c>
      <c r="P1454">
        <v>58.47</v>
      </c>
      <c r="Q1454">
        <v>84.78</v>
      </c>
      <c r="R1454">
        <v>0</v>
      </c>
      <c r="S1454">
        <v>254.34</v>
      </c>
      <c r="T1454" t="s">
        <v>829</v>
      </c>
      <c r="U1454">
        <v>175.41</v>
      </c>
      <c r="V1454">
        <v>78.930000000000007</v>
      </c>
    </row>
    <row r="1455" spans="1:22" x14ac:dyDescent="0.35">
      <c r="A1455" t="s">
        <v>2931</v>
      </c>
      <c r="B1455" t="s">
        <v>1939</v>
      </c>
      <c r="C1455" t="s">
        <v>286</v>
      </c>
      <c r="D1455" t="s">
        <v>287</v>
      </c>
      <c r="E1455" t="s">
        <v>627</v>
      </c>
      <c r="F1455" t="s">
        <v>264</v>
      </c>
      <c r="G1455" t="s">
        <v>14</v>
      </c>
      <c r="H1455" t="s">
        <v>20</v>
      </c>
      <c r="I1455" t="s">
        <v>119</v>
      </c>
      <c r="J1455" t="s">
        <v>813</v>
      </c>
      <c r="K1455" t="s">
        <v>799</v>
      </c>
      <c r="L1455" t="s">
        <v>842</v>
      </c>
      <c r="M1455" s="5">
        <v>45679</v>
      </c>
      <c r="N1455" s="5">
        <v>45677</v>
      </c>
      <c r="O1455">
        <v>10</v>
      </c>
      <c r="P1455">
        <v>40.94</v>
      </c>
      <c r="Q1455">
        <v>53.22</v>
      </c>
      <c r="R1455">
        <v>0.15</v>
      </c>
      <c r="S1455">
        <v>452.37</v>
      </c>
      <c r="T1455" t="s">
        <v>1134</v>
      </c>
      <c r="U1455">
        <v>409.4</v>
      </c>
      <c r="V1455">
        <v>42.97</v>
      </c>
    </row>
    <row r="1456" spans="1:22" x14ac:dyDescent="0.35">
      <c r="A1456" t="s">
        <v>2932</v>
      </c>
      <c r="B1456" t="s">
        <v>1088</v>
      </c>
      <c r="C1456" t="s">
        <v>614</v>
      </c>
      <c r="D1456" t="s">
        <v>615</v>
      </c>
      <c r="E1456" t="s">
        <v>674</v>
      </c>
      <c r="F1456" t="s">
        <v>235</v>
      </c>
      <c r="G1456" t="s">
        <v>20</v>
      </c>
      <c r="H1456" t="s">
        <v>8</v>
      </c>
      <c r="I1456" t="s">
        <v>192</v>
      </c>
      <c r="J1456" t="s">
        <v>798</v>
      </c>
      <c r="K1456" t="s">
        <v>799</v>
      </c>
      <c r="L1456" t="s">
        <v>818</v>
      </c>
      <c r="M1456" s="5">
        <v>45763</v>
      </c>
      <c r="N1456" s="5">
        <v>45759</v>
      </c>
      <c r="O1456">
        <v>3</v>
      </c>
      <c r="P1456">
        <v>19.47</v>
      </c>
      <c r="Q1456">
        <v>28.23</v>
      </c>
      <c r="R1456">
        <v>0.15</v>
      </c>
      <c r="S1456">
        <v>71.989999999999995</v>
      </c>
      <c r="T1456" t="s">
        <v>876</v>
      </c>
      <c r="U1456">
        <v>58.41</v>
      </c>
      <c r="V1456">
        <v>13.58</v>
      </c>
    </row>
    <row r="1457" spans="1:22" x14ac:dyDescent="0.35">
      <c r="A1457" t="s">
        <v>2933</v>
      </c>
      <c r="B1457" t="s">
        <v>2116</v>
      </c>
      <c r="C1457" t="s">
        <v>386</v>
      </c>
      <c r="D1457" t="s">
        <v>387</v>
      </c>
      <c r="E1457" t="s">
        <v>681</v>
      </c>
      <c r="F1457" t="s">
        <v>243</v>
      </c>
      <c r="G1457" t="s">
        <v>797</v>
      </c>
      <c r="H1457" t="s">
        <v>29</v>
      </c>
      <c r="I1457" t="s">
        <v>106</v>
      </c>
      <c r="J1457" t="s">
        <v>813</v>
      </c>
      <c r="K1457" t="s">
        <v>799</v>
      </c>
      <c r="L1457" t="s">
        <v>818</v>
      </c>
      <c r="M1457" s="5">
        <v>45346</v>
      </c>
      <c r="N1457" s="5">
        <v>45350</v>
      </c>
      <c r="O1457">
        <v>1</v>
      </c>
      <c r="P1457">
        <v>29.64</v>
      </c>
      <c r="Q1457">
        <v>41.5</v>
      </c>
      <c r="R1457">
        <v>0.1</v>
      </c>
      <c r="S1457">
        <v>37.35</v>
      </c>
      <c r="T1457" t="s">
        <v>859</v>
      </c>
      <c r="U1457">
        <v>29.64</v>
      </c>
      <c r="V1457">
        <v>7.71</v>
      </c>
    </row>
    <row r="1458" spans="1:22" x14ac:dyDescent="0.35">
      <c r="A1458" t="s">
        <v>2934</v>
      </c>
      <c r="B1458" t="s">
        <v>2009</v>
      </c>
      <c r="C1458" t="s">
        <v>592</v>
      </c>
      <c r="D1458" t="s">
        <v>478</v>
      </c>
      <c r="E1458" t="s">
        <v>696</v>
      </c>
      <c r="F1458" t="s">
        <v>243</v>
      </c>
      <c r="G1458" t="s">
        <v>20</v>
      </c>
      <c r="H1458" t="s">
        <v>38</v>
      </c>
      <c r="I1458" t="s">
        <v>126</v>
      </c>
      <c r="J1458" t="s">
        <v>798</v>
      </c>
      <c r="K1458" t="s">
        <v>799</v>
      </c>
      <c r="L1458" t="s">
        <v>818</v>
      </c>
      <c r="M1458" s="5">
        <v>45465</v>
      </c>
      <c r="N1458" s="5">
        <v>45468</v>
      </c>
      <c r="O1458">
        <v>10</v>
      </c>
      <c r="P1458">
        <v>41.95</v>
      </c>
      <c r="Q1458">
        <v>58.73</v>
      </c>
      <c r="R1458">
        <v>0.15</v>
      </c>
      <c r="S1458">
        <v>499.2</v>
      </c>
      <c r="T1458" t="s">
        <v>888</v>
      </c>
      <c r="U1458">
        <v>419.5</v>
      </c>
      <c r="V1458">
        <v>79.7</v>
      </c>
    </row>
    <row r="1459" spans="1:22" x14ac:dyDescent="0.35">
      <c r="A1459" t="s">
        <v>2935</v>
      </c>
      <c r="B1459" t="s">
        <v>1527</v>
      </c>
      <c r="C1459" t="s">
        <v>252</v>
      </c>
      <c r="D1459" t="s">
        <v>253</v>
      </c>
      <c r="E1459" t="s">
        <v>627</v>
      </c>
      <c r="F1459" t="s">
        <v>243</v>
      </c>
      <c r="G1459" t="s">
        <v>20</v>
      </c>
      <c r="H1459" t="s">
        <v>43</v>
      </c>
      <c r="I1459" t="s">
        <v>75</v>
      </c>
      <c r="J1459" t="s">
        <v>798</v>
      </c>
      <c r="K1459" t="s">
        <v>799</v>
      </c>
      <c r="L1459" t="s">
        <v>818</v>
      </c>
      <c r="M1459" s="5">
        <v>45439</v>
      </c>
      <c r="N1459" s="5">
        <v>45435</v>
      </c>
      <c r="O1459">
        <v>10</v>
      </c>
      <c r="P1459">
        <v>24.35</v>
      </c>
      <c r="Q1459">
        <v>34.090000000000003</v>
      </c>
      <c r="R1459">
        <v>0.05</v>
      </c>
      <c r="S1459">
        <v>323.86</v>
      </c>
      <c r="T1459" t="s">
        <v>829</v>
      </c>
      <c r="U1459">
        <v>243.5</v>
      </c>
      <c r="V1459">
        <v>80.36</v>
      </c>
    </row>
    <row r="1460" spans="1:22" x14ac:dyDescent="0.35">
      <c r="A1460" t="s">
        <v>2936</v>
      </c>
      <c r="B1460" t="s">
        <v>1253</v>
      </c>
      <c r="C1460" t="s">
        <v>299</v>
      </c>
      <c r="D1460" t="s">
        <v>300</v>
      </c>
      <c r="E1460" t="s">
        <v>637</v>
      </c>
      <c r="F1460" t="s">
        <v>264</v>
      </c>
      <c r="G1460" t="s">
        <v>20</v>
      </c>
      <c r="H1460" t="s">
        <v>43</v>
      </c>
      <c r="I1460" t="s">
        <v>113</v>
      </c>
      <c r="J1460" t="s">
        <v>813</v>
      </c>
      <c r="K1460" t="s">
        <v>822</v>
      </c>
      <c r="L1460" t="s">
        <v>800</v>
      </c>
      <c r="M1460" s="5">
        <v>45873</v>
      </c>
      <c r="N1460" s="5">
        <v>45874</v>
      </c>
      <c r="O1460">
        <v>2</v>
      </c>
      <c r="P1460">
        <v>16.91</v>
      </c>
      <c r="Q1460">
        <v>21.14</v>
      </c>
      <c r="R1460">
        <v>0</v>
      </c>
      <c r="S1460">
        <v>42.28</v>
      </c>
      <c r="T1460" t="s">
        <v>963</v>
      </c>
      <c r="U1460">
        <v>33.82</v>
      </c>
      <c r="V1460">
        <v>8.4600000000000009</v>
      </c>
    </row>
    <row r="1461" spans="1:22" x14ac:dyDescent="0.35">
      <c r="A1461" t="s">
        <v>2937</v>
      </c>
      <c r="B1461" t="s">
        <v>1048</v>
      </c>
      <c r="C1461" t="s">
        <v>394</v>
      </c>
      <c r="D1461" t="s">
        <v>356</v>
      </c>
      <c r="E1461" t="s">
        <v>254</v>
      </c>
      <c r="F1461" t="s">
        <v>264</v>
      </c>
      <c r="G1461" t="s">
        <v>48</v>
      </c>
      <c r="H1461" t="s">
        <v>20</v>
      </c>
      <c r="I1461" t="s">
        <v>163</v>
      </c>
      <c r="J1461" t="s">
        <v>786</v>
      </c>
      <c r="K1461" t="s">
        <v>793</v>
      </c>
      <c r="L1461" t="s">
        <v>788</v>
      </c>
      <c r="M1461" s="5">
        <v>45513</v>
      </c>
      <c r="O1461">
        <v>5</v>
      </c>
      <c r="P1461">
        <v>55.3</v>
      </c>
      <c r="Q1461">
        <v>74.66</v>
      </c>
      <c r="R1461">
        <v>0</v>
      </c>
      <c r="S1461">
        <v>373.3</v>
      </c>
      <c r="T1461" t="s">
        <v>814</v>
      </c>
      <c r="U1461">
        <v>276.5</v>
      </c>
      <c r="V1461">
        <v>96.8</v>
      </c>
    </row>
    <row r="1462" spans="1:22" x14ac:dyDescent="0.35">
      <c r="A1462" t="s">
        <v>2938</v>
      </c>
      <c r="B1462" t="s">
        <v>1126</v>
      </c>
      <c r="C1462" t="s">
        <v>497</v>
      </c>
      <c r="D1462" t="s">
        <v>296</v>
      </c>
      <c r="E1462" t="s">
        <v>627</v>
      </c>
      <c r="F1462" t="s">
        <v>235</v>
      </c>
      <c r="G1462" t="s">
        <v>48</v>
      </c>
      <c r="H1462" t="s">
        <v>79</v>
      </c>
      <c r="I1462" t="s">
        <v>88</v>
      </c>
      <c r="J1462" t="s">
        <v>798</v>
      </c>
      <c r="K1462" t="s">
        <v>793</v>
      </c>
      <c r="L1462" t="s">
        <v>788</v>
      </c>
      <c r="M1462" s="5">
        <v>45709</v>
      </c>
      <c r="O1462">
        <v>3</v>
      </c>
      <c r="P1462">
        <v>11.82</v>
      </c>
      <c r="Q1462">
        <v>17.14</v>
      </c>
      <c r="R1462">
        <v>0.15</v>
      </c>
      <c r="S1462">
        <v>43.71</v>
      </c>
      <c r="T1462" t="s">
        <v>919</v>
      </c>
      <c r="U1462">
        <v>35.46</v>
      </c>
      <c r="V1462">
        <v>8.25</v>
      </c>
    </row>
    <row r="1463" spans="1:22" x14ac:dyDescent="0.35">
      <c r="A1463" t="s">
        <v>2939</v>
      </c>
      <c r="B1463" t="s">
        <v>1537</v>
      </c>
      <c r="C1463" t="s">
        <v>358</v>
      </c>
      <c r="D1463" t="s">
        <v>287</v>
      </c>
      <c r="E1463" t="s">
        <v>254</v>
      </c>
      <c r="F1463" t="s">
        <v>243</v>
      </c>
      <c r="G1463" t="s">
        <v>797</v>
      </c>
      <c r="H1463" t="s">
        <v>48</v>
      </c>
      <c r="I1463" t="s">
        <v>148</v>
      </c>
      <c r="J1463" t="s">
        <v>798</v>
      </c>
      <c r="K1463" t="s">
        <v>793</v>
      </c>
      <c r="L1463" t="s">
        <v>800</v>
      </c>
      <c r="M1463" s="5">
        <v>45379</v>
      </c>
      <c r="O1463">
        <v>2</v>
      </c>
      <c r="P1463">
        <v>58.01</v>
      </c>
      <c r="Q1463">
        <v>72.510000000000005</v>
      </c>
      <c r="R1463">
        <v>0</v>
      </c>
      <c r="S1463">
        <v>145.02000000000001</v>
      </c>
      <c r="T1463" t="s">
        <v>845</v>
      </c>
      <c r="U1463">
        <v>116.02</v>
      </c>
      <c r="V1463">
        <v>29</v>
      </c>
    </row>
    <row r="1464" spans="1:22" x14ac:dyDescent="0.35">
      <c r="A1464" t="s">
        <v>2940</v>
      </c>
      <c r="B1464" t="s">
        <v>1591</v>
      </c>
      <c r="C1464" t="s">
        <v>541</v>
      </c>
      <c r="D1464" t="s">
        <v>542</v>
      </c>
      <c r="E1464" t="s">
        <v>633</v>
      </c>
      <c r="F1464" t="s">
        <v>235</v>
      </c>
      <c r="G1464" t="s">
        <v>797</v>
      </c>
      <c r="H1464" t="s">
        <v>20</v>
      </c>
      <c r="I1464" t="s">
        <v>18</v>
      </c>
      <c r="J1464" t="s">
        <v>813</v>
      </c>
      <c r="K1464" t="s">
        <v>799</v>
      </c>
      <c r="L1464" t="s">
        <v>800</v>
      </c>
      <c r="M1464" s="5">
        <v>45802</v>
      </c>
      <c r="N1464" s="5">
        <v>45809</v>
      </c>
      <c r="O1464">
        <v>2</v>
      </c>
      <c r="P1464">
        <v>21.57</v>
      </c>
      <c r="Q1464">
        <v>26.96</v>
      </c>
      <c r="R1464">
        <v>0</v>
      </c>
      <c r="S1464">
        <v>53.92</v>
      </c>
      <c r="T1464" t="s">
        <v>1017</v>
      </c>
      <c r="U1464">
        <v>43.14</v>
      </c>
      <c r="V1464">
        <v>10.78</v>
      </c>
    </row>
    <row r="1465" spans="1:22" x14ac:dyDescent="0.35">
      <c r="A1465" t="s">
        <v>2941</v>
      </c>
      <c r="B1465" t="s">
        <v>1297</v>
      </c>
      <c r="C1465" t="s">
        <v>545</v>
      </c>
      <c r="D1465" t="s">
        <v>546</v>
      </c>
      <c r="E1465" t="s">
        <v>633</v>
      </c>
      <c r="F1465" t="s">
        <v>235</v>
      </c>
      <c r="G1465" t="s">
        <v>797</v>
      </c>
      <c r="H1465" t="s">
        <v>20</v>
      </c>
      <c r="I1465" t="s">
        <v>134</v>
      </c>
      <c r="J1465" t="s">
        <v>786</v>
      </c>
      <c r="K1465" t="s">
        <v>793</v>
      </c>
      <c r="L1465" t="s">
        <v>842</v>
      </c>
      <c r="M1465" s="5">
        <v>45356</v>
      </c>
      <c r="O1465">
        <v>2</v>
      </c>
      <c r="P1465">
        <v>38.36</v>
      </c>
      <c r="Q1465">
        <v>53.7</v>
      </c>
      <c r="R1465">
        <v>0</v>
      </c>
      <c r="S1465">
        <v>107.4</v>
      </c>
      <c r="T1465" t="s">
        <v>876</v>
      </c>
      <c r="U1465">
        <v>76.72</v>
      </c>
      <c r="V1465">
        <v>30.68</v>
      </c>
    </row>
    <row r="1466" spans="1:22" x14ac:dyDescent="0.35">
      <c r="A1466" t="s">
        <v>2942</v>
      </c>
      <c r="B1466" t="s">
        <v>875</v>
      </c>
      <c r="C1466" t="s">
        <v>283</v>
      </c>
      <c r="D1466" t="s">
        <v>284</v>
      </c>
      <c r="E1466" t="s">
        <v>674</v>
      </c>
      <c r="F1466" t="s">
        <v>264</v>
      </c>
      <c r="G1466" t="s">
        <v>14</v>
      </c>
      <c r="H1466" t="s">
        <v>43</v>
      </c>
      <c r="I1466" t="s">
        <v>171</v>
      </c>
      <c r="J1466" t="s">
        <v>798</v>
      </c>
      <c r="K1466" t="s">
        <v>799</v>
      </c>
      <c r="L1466" t="s">
        <v>818</v>
      </c>
      <c r="M1466" s="5">
        <v>45581</v>
      </c>
      <c r="N1466" s="5">
        <v>45576</v>
      </c>
      <c r="O1466">
        <v>5</v>
      </c>
      <c r="P1466">
        <v>29.39</v>
      </c>
      <c r="Q1466">
        <v>39.68</v>
      </c>
      <c r="R1466">
        <v>0.05</v>
      </c>
      <c r="S1466">
        <v>188.48</v>
      </c>
      <c r="T1466" t="s">
        <v>790</v>
      </c>
      <c r="U1466">
        <v>146.94999999999999</v>
      </c>
      <c r="V1466">
        <v>41.53</v>
      </c>
    </row>
    <row r="1467" spans="1:22" x14ac:dyDescent="0.35">
      <c r="A1467" t="s">
        <v>2943</v>
      </c>
      <c r="B1467" t="s">
        <v>956</v>
      </c>
      <c r="C1467" t="s">
        <v>603</v>
      </c>
      <c r="D1467" t="s">
        <v>508</v>
      </c>
      <c r="E1467" t="s">
        <v>637</v>
      </c>
      <c r="F1467" t="s">
        <v>264</v>
      </c>
      <c r="G1467" t="s">
        <v>14</v>
      </c>
      <c r="H1467" t="s">
        <v>38</v>
      </c>
      <c r="I1467" t="s">
        <v>82</v>
      </c>
      <c r="J1467" t="s">
        <v>798</v>
      </c>
      <c r="K1467" t="s">
        <v>822</v>
      </c>
      <c r="L1467" t="s">
        <v>842</v>
      </c>
      <c r="M1467" s="5">
        <v>45444</v>
      </c>
      <c r="N1467" s="5">
        <v>45439</v>
      </c>
      <c r="O1467">
        <v>5</v>
      </c>
      <c r="P1467">
        <v>12.54</v>
      </c>
      <c r="Q1467">
        <v>16.93</v>
      </c>
      <c r="R1467">
        <v>0</v>
      </c>
      <c r="S1467">
        <v>84.65</v>
      </c>
      <c r="T1467" t="s">
        <v>810</v>
      </c>
      <c r="U1467">
        <v>62.7</v>
      </c>
      <c r="V1467">
        <v>21.95</v>
      </c>
    </row>
    <row r="1468" spans="1:22" x14ac:dyDescent="0.35">
      <c r="A1468" t="s">
        <v>2944</v>
      </c>
      <c r="B1468" t="s">
        <v>1025</v>
      </c>
      <c r="C1468" t="s">
        <v>527</v>
      </c>
      <c r="D1468" t="s">
        <v>282</v>
      </c>
      <c r="E1468" t="s">
        <v>637</v>
      </c>
      <c r="F1468" t="s">
        <v>235</v>
      </c>
      <c r="G1468" t="s">
        <v>797</v>
      </c>
      <c r="H1468" t="s">
        <v>20</v>
      </c>
      <c r="I1468" t="s">
        <v>163</v>
      </c>
      <c r="J1468" t="s">
        <v>798</v>
      </c>
      <c r="K1468" t="s">
        <v>793</v>
      </c>
      <c r="L1468" t="s">
        <v>818</v>
      </c>
      <c r="M1468" s="5">
        <v>45802</v>
      </c>
      <c r="O1468">
        <v>5</v>
      </c>
      <c r="P1468">
        <v>55.3</v>
      </c>
      <c r="Q1468">
        <v>74.66</v>
      </c>
      <c r="R1468">
        <v>0</v>
      </c>
      <c r="S1468">
        <v>373.3</v>
      </c>
      <c r="T1468" t="s">
        <v>803</v>
      </c>
      <c r="U1468">
        <v>276.5</v>
      </c>
      <c r="V1468">
        <v>96.8</v>
      </c>
    </row>
    <row r="1469" spans="1:22" x14ac:dyDescent="0.35">
      <c r="A1469" t="s">
        <v>2945</v>
      </c>
      <c r="B1469" t="s">
        <v>2187</v>
      </c>
      <c r="C1469" t="s">
        <v>601</v>
      </c>
      <c r="D1469" t="s">
        <v>602</v>
      </c>
      <c r="E1469" t="s">
        <v>637</v>
      </c>
      <c r="F1469" t="s">
        <v>235</v>
      </c>
      <c r="G1469" t="s">
        <v>14</v>
      </c>
      <c r="H1469" t="s">
        <v>14</v>
      </c>
      <c r="I1469" t="s">
        <v>150</v>
      </c>
      <c r="J1469" t="s">
        <v>798</v>
      </c>
      <c r="K1469" t="s">
        <v>799</v>
      </c>
      <c r="L1469" t="s">
        <v>788</v>
      </c>
      <c r="M1469" s="5">
        <v>45858</v>
      </c>
      <c r="N1469" s="5">
        <v>45860</v>
      </c>
      <c r="O1469">
        <v>3</v>
      </c>
      <c r="P1469">
        <v>5.81</v>
      </c>
      <c r="Q1469">
        <v>7.55</v>
      </c>
      <c r="R1469">
        <v>0.05</v>
      </c>
      <c r="S1469">
        <v>21.52</v>
      </c>
      <c r="T1469" t="s">
        <v>794</v>
      </c>
      <c r="U1469">
        <v>17.43</v>
      </c>
      <c r="V1469">
        <v>4.09</v>
      </c>
    </row>
    <row r="1470" spans="1:22" x14ac:dyDescent="0.35">
      <c r="A1470" t="s">
        <v>2946</v>
      </c>
      <c r="B1470" t="s">
        <v>2104</v>
      </c>
      <c r="C1470" t="s">
        <v>516</v>
      </c>
      <c r="D1470" t="s">
        <v>517</v>
      </c>
      <c r="E1470" t="s">
        <v>674</v>
      </c>
      <c r="F1470" t="s">
        <v>243</v>
      </c>
      <c r="G1470" t="s">
        <v>14</v>
      </c>
      <c r="H1470" t="s">
        <v>14</v>
      </c>
      <c r="I1470" t="s">
        <v>169</v>
      </c>
      <c r="J1470" t="s">
        <v>786</v>
      </c>
      <c r="K1470" t="s">
        <v>793</v>
      </c>
      <c r="L1470" t="s">
        <v>800</v>
      </c>
      <c r="M1470" s="5">
        <v>45554</v>
      </c>
      <c r="O1470">
        <v>1</v>
      </c>
      <c r="P1470">
        <v>40.590000000000003</v>
      </c>
      <c r="Q1470">
        <v>58.86</v>
      </c>
      <c r="R1470">
        <v>0</v>
      </c>
      <c r="S1470">
        <v>58.86</v>
      </c>
      <c r="T1470" t="s">
        <v>803</v>
      </c>
      <c r="U1470">
        <v>40.590000000000003</v>
      </c>
      <c r="V1470">
        <v>18.27</v>
      </c>
    </row>
    <row r="1471" spans="1:22" x14ac:dyDescent="0.35">
      <c r="A1471" t="s">
        <v>2947</v>
      </c>
      <c r="B1471" t="s">
        <v>1530</v>
      </c>
      <c r="C1471" t="s">
        <v>507</v>
      </c>
      <c r="D1471" t="s">
        <v>508</v>
      </c>
      <c r="E1471" t="s">
        <v>637</v>
      </c>
      <c r="F1471" t="s">
        <v>243</v>
      </c>
      <c r="G1471" t="s">
        <v>20</v>
      </c>
      <c r="H1471" t="s">
        <v>8</v>
      </c>
      <c r="I1471" t="s">
        <v>192</v>
      </c>
      <c r="J1471" t="s">
        <v>798</v>
      </c>
      <c r="K1471" t="s">
        <v>799</v>
      </c>
      <c r="L1471" t="s">
        <v>818</v>
      </c>
      <c r="M1471" s="5">
        <v>45759</v>
      </c>
      <c r="N1471" s="5">
        <v>45760</v>
      </c>
      <c r="O1471">
        <v>10</v>
      </c>
      <c r="P1471">
        <v>19.47</v>
      </c>
      <c r="Q1471">
        <v>28.23</v>
      </c>
      <c r="R1471">
        <v>0.15</v>
      </c>
      <c r="S1471">
        <v>239.96</v>
      </c>
      <c r="T1471" t="s">
        <v>919</v>
      </c>
      <c r="U1471">
        <v>194.7</v>
      </c>
      <c r="V1471">
        <v>45.26</v>
      </c>
    </row>
    <row r="1472" spans="1:22" x14ac:dyDescent="0.35">
      <c r="A1472" t="s">
        <v>2948</v>
      </c>
      <c r="B1472" t="s">
        <v>1044</v>
      </c>
      <c r="C1472" t="s">
        <v>469</v>
      </c>
      <c r="D1472" t="s">
        <v>470</v>
      </c>
      <c r="E1472" t="s">
        <v>637</v>
      </c>
      <c r="F1472" t="s">
        <v>235</v>
      </c>
      <c r="G1472" t="s">
        <v>48</v>
      </c>
      <c r="H1472" t="s">
        <v>20</v>
      </c>
      <c r="I1472" t="s">
        <v>196</v>
      </c>
      <c r="J1472" t="s">
        <v>798</v>
      </c>
      <c r="K1472" t="s">
        <v>793</v>
      </c>
      <c r="L1472" t="s">
        <v>788</v>
      </c>
      <c r="M1472" s="5">
        <v>45788</v>
      </c>
      <c r="O1472">
        <v>3</v>
      </c>
      <c r="P1472">
        <v>15.78</v>
      </c>
      <c r="Q1472">
        <v>19.72</v>
      </c>
      <c r="R1472">
        <v>0</v>
      </c>
      <c r="S1472">
        <v>59.16</v>
      </c>
      <c r="T1472" t="s">
        <v>814</v>
      </c>
      <c r="U1472">
        <v>47.34</v>
      </c>
      <c r="V1472">
        <v>11.82</v>
      </c>
    </row>
    <row r="1473" spans="1:22" x14ac:dyDescent="0.35">
      <c r="A1473" t="s">
        <v>2949</v>
      </c>
      <c r="B1473" t="s">
        <v>1869</v>
      </c>
      <c r="C1473" t="s">
        <v>528</v>
      </c>
      <c r="D1473" t="s">
        <v>433</v>
      </c>
      <c r="E1473" t="s">
        <v>674</v>
      </c>
      <c r="F1473" t="s">
        <v>264</v>
      </c>
      <c r="G1473" t="s">
        <v>797</v>
      </c>
      <c r="H1473" t="s">
        <v>48</v>
      </c>
      <c r="I1473" t="s">
        <v>139</v>
      </c>
      <c r="J1473" t="s">
        <v>786</v>
      </c>
      <c r="K1473" t="s">
        <v>793</v>
      </c>
      <c r="L1473" t="s">
        <v>800</v>
      </c>
      <c r="M1473" s="5">
        <v>45308</v>
      </c>
      <c r="O1473">
        <v>5</v>
      </c>
      <c r="P1473">
        <v>29.93</v>
      </c>
      <c r="Q1473">
        <v>41.9</v>
      </c>
      <c r="R1473">
        <v>0</v>
      </c>
      <c r="S1473">
        <v>209.5</v>
      </c>
      <c r="T1473" t="s">
        <v>825</v>
      </c>
      <c r="U1473">
        <v>149.65</v>
      </c>
      <c r="V1473">
        <v>59.85</v>
      </c>
    </row>
    <row r="1474" spans="1:22" x14ac:dyDescent="0.35">
      <c r="A1474" t="s">
        <v>2950</v>
      </c>
      <c r="B1474" t="s">
        <v>1154</v>
      </c>
      <c r="C1474" t="s">
        <v>465</v>
      </c>
      <c r="D1474" t="s">
        <v>348</v>
      </c>
      <c r="E1474" t="s">
        <v>681</v>
      </c>
      <c r="F1474" t="s">
        <v>264</v>
      </c>
      <c r="G1474" t="s">
        <v>20</v>
      </c>
      <c r="H1474" t="s">
        <v>43</v>
      </c>
      <c r="I1474" t="s">
        <v>141</v>
      </c>
      <c r="J1474" t="s">
        <v>798</v>
      </c>
      <c r="K1474" t="s">
        <v>799</v>
      </c>
      <c r="L1474" t="s">
        <v>818</v>
      </c>
      <c r="M1474" s="5">
        <v>45462</v>
      </c>
      <c r="N1474" s="5">
        <v>45460</v>
      </c>
      <c r="O1474">
        <v>12</v>
      </c>
      <c r="P1474">
        <v>17.2</v>
      </c>
      <c r="Q1474">
        <v>22.36</v>
      </c>
      <c r="R1474">
        <v>0</v>
      </c>
      <c r="S1474">
        <v>268.32</v>
      </c>
      <c r="T1474" t="s">
        <v>825</v>
      </c>
      <c r="U1474">
        <v>206.4</v>
      </c>
      <c r="V1474">
        <v>61.92</v>
      </c>
    </row>
    <row r="1475" spans="1:22" x14ac:dyDescent="0.35">
      <c r="A1475" t="s">
        <v>2951</v>
      </c>
      <c r="B1475" t="s">
        <v>1146</v>
      </c>
      <c r="C1475" t="s">
        <v>353</v>
      </c>
      <c r="D1475" t="s">
        <v>258</v>
      </c>
      <c r="E1475" t="s">
        <v>681</v>
      </c>
      <c r="F1475" t="s">
        <v>264</v>
      </c>
      <c r="G1475" t="s">
        <v>797</v>
      </c>
      <c r="H1475" t="s">
        <v>43</v>
      </c>
      <c r="I1475" t="s">
        <v>200</v>
      </c>
      <c r="J1475" t="s">
        <v>798</v>
      </c>
      <c r="K1475" t="s">
        <v>822</v>
      </c>
      <c r="L1475" t="s">
        <v>842</v>
      </c>
      <c r="M1475" s="5">
        <v>45713</v>
      </c>
      <c r="N1475" s="5">
        <v>45712</v>
      </c>
      <c r="O1475">
        <v>2</v>
      </c>
      <c r="P1475">
        <v>69.23</v>
      </c>
      <c r="Q1475">
        <v>86.54</v>
      </c>
      <c r="R1475">
        <v>0.1</v>
      </c>
      <c r="S1475">
        <v>155.77000000000001</v>
      </c>
      <c r="T1475" t="s">
        <v>888</v>
      </c>
      <c r="U1475">
        <v>138.46</v>
      </c>
      <c r="V1475">
        <v>17.309999999999999</v>
      </c>
    </row>
    <row r="1476" spans="1:22" x14ac:dyDescent="0.35">
      <c r="A1476" t="s">
        <v>2952</v>
      </c>
      <c r="B1476" t="s">
        <v>941</v>
      </c>
      <c r="C1476" t="s">
        <v>493</v>
      </c>
      <c r="D1476" t="s">
        <v>311</v>
      </c>
      <c r="E1476" t="s">
        <v>637</v>
      </c>
      <c r="F1476" t="s">
        <v>243</v>
      </c>
      <c r="G1476" t="s">
        <v>14</v>
      </c>
      <c r="H1476" t="s">
        <v>20</v>
      </c>
      <c r="I1476" t="s">
        <v>188</v>
      </c>
      <c r="J1476" t="s">
        <v>813</v>
      </c>
      <c r="K1476" t="s">
        <v>799</v>
      </c>
      <c r="L1476" t="s">
        <v>800</v>
      </c>
      <c r="M1476" s="5">
        <v>45876</v>
      </c>
      <c r="N1476" s="5">
        <v>45883</v>
      </c>
      <c r="O1476">
        <v>3</v>
      </c>
      <c r="P1476">
        <v>24.6</v>
      </c>
      <c r="Q1476">
        <v>35.67</v>
      </c>
      <c r="R1476">
        <v>0</v>
      </c>
      <c r="S1476">
        <v>107.01</v>
      </c>
      <c r="T1476" t="s">
        <v>876</v>
      </c>
      <c r="U1476">
        <v>73.8</v>
      </c>
      <c r="V1476">
        <v>33.21</v>
      </c>
    </row>
    <row r="1477" spans="1:22" x14ac:dyDescent="0.35">
      <c r="A1477" t="s">
        <v>2953</v>
      </c>
      <c r="B1477" t="s">
        <v>1899</v>
      </c>
      <c r="C1477" t="s">
        <v>418</v>
      </c>
      <c r="D1477" t="s">
        <v>253</v>
      </c>
      <c r="E1477" t="s">
        <v>637</v>
      </c>
      <c r="F1477" t="s">
        <v>264</v>
      </c>
      <c r="G1477" t="s">
        <v>14</v>
      </c>
      <c r="H1477" t="s">
        <v>14</v>
      </c>
      <c r="I1477" t="s">
        <v>214</v>
      </c>
      <c r="J1477" t="s">
        <v>813</v>
      </c>
      <c r="K1477" t="s">
        <v>787</v>
      </c>
      <c r="L1477" t="s">
        <v>842</v>
      </c>
      <c r="M1477" s="5">
        <v>45918</v>
      </c>
      <c r="O1477">
        <v>20</v>
      </c>
      <c r="P1477">
        <v>22.07</v>
      </c>
      <c r="Q1477">
        <v>27.59</v>
      </c>
      <c r="R1477">
        <v>0</v>
      </c>
      <c r="S1477">
        <v>551.79999999999995</v>
      </c>
      <c r="T1477" t="s">
        <v>829</v>
      </c>
      <c r="U1477">
        <v>441.4</v>
      </c>
      <c r="V1477">
        <v>110.4</v>
      </c>
    </row>
    <row r="1478" spans="1:22" x14ac:dyDescent="0.35">
      <c r="A1478" t="s">
        <v>2954</v>
      </c>
      <c r="B1478" t="s">
        <v>832</v>
      </c>
      <c r="C1478" t="s">
        <v>574</v>
      </c>
      <c r="D1478" t="s">
        <v>458</v>
      </c>
      <c r="E1478" t="s">
        <v>637</v>
      </c>
      <c r="G1478" t="s">
        <v>14</v>
      </c>
      <c r="H1478" t="s">
        <v>79</v>
      </c>
      <c r="I1478" t="s">
        <v>184</v>
      </c>
      <c r="J1478" t="s">
        <v>786</v>
      </c>
      <c r="K1478" t="s">
        <v>799</v>
      </c>
      <c r="L1478" t="s">
        <v>800</v>
      </c>
      <c r="M1478" s="5">
        <v>45925</v>
      </c>
      <c r="N1478" s="5">
        <v>45914</v>
      </c>
      <c r="O1478">
        <v>1</v>
      </c>
      <c r="P1478">
        <v>28.87</v>
      </c>
      <c r="Q1478">
        <v>40.42</v>
      </c>
      <c r="R1478">
        <v>0.1</v>
      </c>
      <c r="S1478">
        <v>36.380000000000003</v>
      </c>
      <c r="T1478" t="s">
        <v>859</v>
      </c>
      <c r="U1478">
        <v>28.87</v>
      </c>
      <c r="V1478">
        <v>7.51</v>
      </c>
    </row>
    <row r="1479" spans="1:22" x14ac:dyDescent="0.35">
      <c r="A1479" t="s">
        <v>2955</v>
      </c>
      <c r="B1479" t="s">
        <v>1124</v>
      </c>
      <c r="C1479" t="s">
        <v>440</v>
      </c>
      <c r="D1479" t="s">
        <v>441</v>
      </c>
      <c r="E1479" t="s">
        <v>637</v>
      </c>
      <c r="F1479" t="s">
        <v>264</v>
      </c>
      <c r="G1479" t="s">
        <v>20</v>
      </c>
      <c r="H1479" t="s">
        <v>14</v>
      </c>
      <c r="I1479" t="s">
        <v>30</v>
      </c>
      <c r="J1479" t="s">
        <v>798</v>
      </c>
      <c r="K1479" t="s">
        <v>799</v>
      </c>
      <c r="L1479" t="s">
        <v>842</v>
      </c>
      <c r="M1479" s="5">
        <v>45604</v>
      </c>
      <c r="N1479" s="5">
        <v>45605</v>
      </c>
      <c r="O1479">
        <v>2</v>
      </c>
      <c r="P1479">
        <v>19.010000000000002</v>
      </c>
      <c r="Q1479">
        <v>27.56</v>
      </c>
      <c r="R1479">
        <v>0</v>
      </c>
      <c r="S1479">
        <v>55.12</v>
      </c>
      <c r="T1479" t="s">
        <v>814</v>
      </c>
      <c r="U1479">
        <v>38.020000000000003</v>
      </c>
      <c r="V1479">
        <v>17.100000000000001</v>
      </c>
    </row>
    <row r="1480" spans="1:22" x14ac:dyDescent="0.35">
      <c r="A1480" t="s">
        <v>2956</v>
      </c>
      <c r="B1480" t="s">
        <v>1917</v>
      </c>
      <c r="C1480" t="s">
        <v>513</v>
      </c>
      <c r="D1480" t="s">
        <v>514</v>
      </c>
      <c r="E1480" t="s">
        <v>696</v>
      </c>
      <c r="F1480" t="s">
        <v>264</v>
      </c>
      <c r="G1480" t="s">
        <v>48</v>
      </c>
      <c r="H1480" t="s">
        <v>29</v>
      </c>
      <c r="I1480" t="s">
        <v>121</v>
      </c>
      <c r="J1480" t="s">
        <v>786</v>
      </c>
      <c r="K1480" t="s">
        <v>787</v>
      </c>
      <c r="L1480" t="s">
        <v>818</v>
      </c>
      <c r="M1480" s="5">
        <v>45947</v>
      </c>
      <c r="O1480">
        <v>2</v>
      </c>
      <c r="P1480">
        <v>15.46</v>
      </c>
      <c r="Q1480">
        <v>22.42</v>
      </c>
      <c r="R1480">
        <v>0</v>
      </c>
      <c r="S1480">
        <v>44.84</v>
      </c>
      <c r="T1480" t="s">
        <v>814</v>
      </c>
      <c r="U1480">
        <v>30.92</v>
      </c>
      <c r="V1480">
        <v>13.92</v>
      </c>
    </row>
    <row r="1481" spans="1:22" x14ac:dyDescent="0.35">
      <c r="A1481" t="s">
        <v>2957</v>
      </c>
      <c r="B1481" t="s">
        <v>1745</v>
      </c>
      <c r="C1481" t="s">
        <v>529</v>
      </c>
      <c r="D1481" t="s">
        <v>253</v>
      </c>
      <c r="E1481" t="s">
        <v>696</v>
      </c>
      <c r="F1481" t="s">
        <v>235</v>
      </c>
      <c r="G1481" t="s">
        <v>797</v>
      </c>
      <c r="H1481" t="s">
        <v>29</v>
      </c>
      <c r="I1481" t="s">
        <v>115</v>
      </c>
      <c r="J1481" t="s">
        <v>798</v>
      </c>
      <c r="K1481" t="s">
        <v>799</v>
      </c>
      <c r="L1481" t="s">
        <v>788</v>
      </c>
      <c r="M1481" s="5">
        <v>45482</v>
      </c>
      <c r="N1481" s="5">
        <v>45483</v>
      </c>
      <c r="O1481">
        <v>1</v>
      </c>
      <c r="P1481">
        <v>34.340000000000003</v>
      </c>
      <c r="Q1481">
        <v>44.64</v>
      </c>
      <c r="R1481">
        <v>0</v>
      </c>
      <c r="S1481">
        <v>44.64</v>
      </c>
      <c r="T1481" t="s">
        <v>946</v>
      </c>
      <c r="U1481">
        <v>34.340000000000003</v>
      </c>
      <c r="V1481">
        <v>10.3</v>
      </c>
    </row>
    <row r="1482" spans="1:22" x14ac:dyDescent="0.35">
      <c r="A1482" t="s">
        <v>2958</v>
      </c>
      <c r="B1482" t="s">
        <v>1320</v>
      </c>
      <c r="C1482" t="s">
        <v>616</v>
      </c>
      <c r="D1482" t="s">
        <v>231</v>
      </c>
      <c r="E1482" t="s">
        <v>254</v>
      </c>
      <c r="F1482" t="s">
        <v>264</v>
      </c>
      <c r="G1482" t="s">
        <v>48</v>
      </c>
      <c r="H1482" t="s">
        <v>14</v>
      </c>
      <c r="I1482" t="s">
        <v>150</v>
      </c>
      <c r="J1482" t="s">
        <v>813</v>
      </c>
      <c r="K1482" t="s">
        <v>799</v>
      </c>
      <c r="L1482" t="s">
        <v>818</v>
      </c>
      <c r="M1482" s="5">
        <v>45576</v>
      </c>
      <c r="N1482" s="5">
        <v>45582</v>
      </c>
      <c r="O1482">
        <v>2</v>
      </c>
      <c r="P1482">
        <v>5.81</v>
      </c>
      <c r="Q1482">
        <v>7.55</v>
      </c>
      <c r="R1482">
        <v>0.05</v>
      </c>
      <c r="S1482">
        <v>14.34</v>
      </c>
      <c r="T1482" t="s">
        <v>946</v>
      </c>
      <c r="U1482">
        <v>11.62</v>
      </c>
      <c r="V1482">
        <v>2.72</v>
      </c>
    </row>
    <row r="1483" spans="1:22" x14ac:dyDescent="0.35">
      <c r="A1483" t="s">
        <v>2959</v>
      </c>
      <c r="B1483" t="s">
        <v>1828</v>
      </c>
      <c r="C1483" t="s">
        <v>528</v>
      </c>
      <c r="D1483" t="s">
        <v>433</v>
      </c>
      <c r="E1483" t="s">
        <v>674</v>
      </c>
      <c r="F1483" t="s">
        <v>264</v>
      </c>
      <c r="G1483" t="s">
        <v>20</v>
      </c>
      <c r="H1483" t="s">
        <v>8</v>
      </c>
      <c r="I1483" t="s">
        <v>21</v>
      </c>
      <c r="J1483" t="s">
        <v>798</v>
      </c>
      <c r="K1483" t="s">
        <v>799</v>
      </c>
      <c r="L1483" t="s">
        <v>818</v>
      </c>
      <c r="M1483" s="5">
        <v>45803</v>
      </c>
      <c r="N1483" s="5">
        <v>45799</v>
      </c>
      <c r="O1483">
        <v>3</v>
      </c>
      <c r="P1483">
        <v>21.57</v>
      </c>
      <c r="Q1483">
        <v>26.96</v>
      </c>
      <c r="R1483">
        <v>0.15</v>
      </c>
      <c r="S1483">
        <v>68.75</v>
      </c>
      <c r="T1483" t="s">
        <v>888</v>
      </c>
      <c r="U1483">
        <v>64.709999999999994</v>
      </c>
      <c r="V1483">
        <v>4.04</v>
      </c>
    </row>
    <row r="1484" spans="1:22" x14ac:dyDescent="0.35">
      <c r="A1484" t="s">
        <v>2960</v>
      </c>
      <c r="B1484" t="s">
        <v>970</v>
      </c>
      <c r="C1484" t="s">
        <v>543</v>
      </c>
      <c r="D1484" t="s">
        <v>544</v>
      </c>
      <c r="E1484" t="s">
        <v>674</v>
      </c>
      <c r="F1484" t="s">
        <v>243</v>
      </c>
      <c r="G1484" t="s">
        <v>14</v>
      </c>
      <c r="H1484" t="s">
        <v>8</v>
      </c>
      <c r="I1484" t="s">
        <v>192</v>
      </c>
      <c r="J1484" t="s">
        <v>798</v>
      </c>
      <c r="K1484" t="s">
        <v>799</v>
      </c>
      <c r="L1484" t="s">
        <v>800</v>
      </c>
      <c r="M1484" s="5">
        <v>45626</v>
      </c>
      <c r="N1484" s="5">
        <v>45620</v>
      </c>
      <c r="O1484">
        <v>10</v>
      </c>
      <c r="P1484">
        <v>19.47</v>
      </c>
      <c r="Q1484">
        <v>28.23</v>
      </c>
      <c r="R1484">
        <v>0.15</v>
      </c>
      <c r="S1484">
        <v>239.96</v>
      </c>
      <c r="T1484" t="s">
        <v>892</v>
      </c>
      <c r="U1484">
        <v>194.7</v>
      </c>
      <c r="V1484">
        <v>45.26</v>
      </c>
    </row>
    <row r="1485" spans="1:22" x14ac:dyDescent="0.35">
      <c r="A1485" t="s">
        <v>2961</v>
      </c>
      <c r="B1485" t="s">
        <v>1805</v>
      </c>
      <c r="C1485" t="s">
        <v>369</v>
      </c>
      <c r="D1485" t="s">
        <v>282</v>
      </c>
      <c r="E1485" t="s">
        <v>681</v>
      </c>
      <c r="F1485" t="s">
        <v>243</v>
      </c>
      <c r="G1485" t="s">
        <v>14</v>
      </c>
      <c r="H1485" t="s">
        <v>20</v>
      </c>
      <c r="I1485" t="s">
        <v>159</v>
      </c>
      <c r="J1485" t="s">
        <v>798</v>
      </c>
      <c r="K1485" t="s">
        <v>787</v>
      </c>
      <c r="L1485" t="s">
        <v>800</v>
      </c>
      <c r="M1485" s="5">
        <v>45707</v>
      </c>
      <c r="O1485">
        <v>12</v>
      </c>
      <c r="P1485">
        <v>8.2200000000000006</v>
      </c>
      <c r="Q1485">
        <v>11.1</v>
      </c>
      <c r="R1485">
        <v>0</v>
      </c>
      <c r="S1485">
        <v>133.19999999999999</v>
      </c>
      <c r="T1485" t="s">
        <v>825</v>
      </c>
      <c r="U1485">
        <v>98.64</v>
      </c>
      <c r="V1485">
        <v>34.56</v>
      </c>
    </row>
    <row r="1486" spans="1:22" x14ac:dyDescent="0.35">
      <c r="A1486" t="s">
        <v>2962</v>
      </c>
      <c r="B1486" t="s">
        <v>1238</v>
      </c>
      <c r="C1486" t="s">
        <v>459</v>
      </c>
      <c r="D1486" t="s">
        <v>460</v>
      </c>
      <c r="E1486" t="s">
        <v>681</v>
      </c>
      <c r="F1486" t="s">
        <v>264</v>
      </c>
      <c r="G1486" t="s">
        <v>14</v>
      </c>
      <c r="H1486" t="s">
        <v>43</v>
      </c>
      <c r="I1486" t="s">
        <v>75</v>
      </c>
      <c r="J1486" t="s">
        <v>798</v>
      </c>
      <c r="K1486" t="s">
        <v>799</v>
      </c>
      <c r="L1486" t="s">
        <v>842</v>
      </c>
      <c r="M1486" s="5">
        <v>45668</v>
      </c>
      <c r="N1486" s="5">
        <v>45664</v>
      </c>
      <c r="O1486">
        <v>2</v>
      </c>
      <c r="P1486">
        <v>24.35</v>
      </c>
      <c r="Q1486">
        <v>34.090000000000003</v>
      </c>
      <c r="R1486">
        <v>0.15</v>
      </c>
      <c r="S1486">
        <v>57.95</v>
      </c>
      <c r="T1486" t="s">
        <v>919</v>
      </c>
      <c r="U1486">
        <v>48.7</v>
      </c>
      <c r="V1486">
        <v>9.25</v>
      </c>
    </row>
    <row r="1487" spans="1:22" x14ac:dyDescent="0.35">
      <c r="A1487" t="s">
        <v>2963</v>
      </c>
      <c r="B1487" t="s">
        <v>1236</v>
      </c>
      <c r="C1487" t="s">
        <v>366</v>
      </c>
      <c r="D1487" t="s">
        <v>245</v>
      </c>
      <c r="E1487" t="s">
        <v>637</v>
      </c>
      <c r="F1487" t="s">
        <v>243</v>
      </c>
      <c r="G1487" t="s">
        <v>20</v>
      </c>
      <c r="H1487" t="s">
        <v>43</v>
      </c>
      <c r="I1487" t="s">
        <v>58</v>
      </c>
      <c r="J1487" t="s">
        <v>786</v>
      </c>
      <c r="K1487" t="s">
        <v>793</v>
      </c>
      <c r="L1487" t="s">
        <v>788</v>
      </c>
      <c r="M1487" s="5">
        <v>45592</v>
      </c>
      <c r="O1487">
        <v>1</v>
      </c>
      <c r="P1487">
        <v>11.21</v>
      </c>
      <c r="Q1487">
        <v>15.13</v>
      </c>
      <c r="R1487">
        <v>0.1</v>
      </c>
      <c r="S1487">
        <v>13.62</v>
      </c>
      <c r="T1487" t="s">
        <v>935</v>
      </c>
      <c r="U1487">
        <v>11.21</v>
      </c>
      <c r="V1487">
        <v>2.41</v>
      </c>
    </row>
    <row r="1488" spans="1:22" x14ac:dyDescent="0.35">
      <c r="A1488" t="s">
        <v>2964</v>
      </c>
      <c r="B1488" t="s">
        <v>1204</v>
      </c>
      <c r="C1488" t="s">
        <v>465</v>
      </c>
      <c r="D1488" t="s">
        <v>348</v>
      </c>
      <c r="E1488" t="s">
        <v>674</v>
      </c>
      <c r="F1488" t="s">
        <v>264</v>
      </c>
      <c r="G1488" t="s">
        <v>797</v>
      </c>
      <c r="H1488" t="s">
        <v>20</v>
      </c>
      <c r="I1488" t="s">
        <v>18</v>
      </c>
      <c r="J1488" t="s">
        <v>786</v>
      </c>
      <c r="K1488" t="s">
        <v>799</v>
      </c>
      <c r="L1488" t="s">
        <v>788</v>
      </c>
      <c r="M1488" s="5">
        <v>45777</v>
      </c>
      <c r="N1488" s="5">
        <v>45766</v>
      </c>
      <c r="O1488">
        <v>2</v>
      </c>
      <c r="P1488">
        <v>21.57</v>
      </c>
      <c r="Q1488">
        <v>26.96</v>
      </c>
      <c r="R1488">
        <v>0.15</v>
      </c>
      <c r="S1488">
        <v>45.83</v>
      </c>
      <c r="T1488" t="s">
        <v>794</v>
      </c>
      <c r="U1488">
        <v>43.14</v>
      </c>
      <c r="V1488">
        <v>2.69</v>
      </c>
    </row>
    <row r="1489" spans="1:22" x14ac:dyDescent="0.35">
      <c r="A1489" t="s">
        <v>2965</v>
      </c>
      <c r="B1489" t="s">
        <v>1076</v>
      </c>
      <c r="C1489" t="s">
        <v>603</v>
      </c>
      <c r="D1489" t="s">
        <v>508</v>
      </c>
      <c r="E1489" t="s">
        <v>627</v>
      </c>
      <c r="F1489" t="s">
        <v>264</v>
      </c>
      <c r="G1489" t="s">
        <v>20</v>
      </c>
      <c r="H1489" t="s">
        <v>14</v>
      </c>
      <c r="I1489" t="s">
        <v>138</v>
      </c>
      <c r="J1489" t="s">
        <v>786</v>
      </c>
      <c r="K1489" t="s">
        <v>799</v>
      </c>
      <c r="L1489" t="s">
        <v>788</v>
      </c>
      <c r="M1489" s="5">
        <v>46005</v>
      </c>
      <c r="N1489" s="5">
        <v>46001</v>
      </c>
      <c r="O1489">
        <v>20</v>
      </c>
      <c r="P1489">
        <v>42.6</v>
      </c>
      <c r="Q1489">
        <v>59.64</v>
      </c>
      <c r="R1489">
        <v>0</v>
      </c>
      <c r="S1489">
        <v>1192.8</v>
      </c>
      <c r="T1489" t="s">
        <v>790</v>
      </c>
      <c r="U1489">
        <v>852</v>
      </c>
      <c r="V1489">
        <v>340.8</v>
      </c>
    </row>
    <row r="1490" spans="1:22" x14ac:dyDescent="0.35">
      <c r="A1490" t="s">
        <v>2966</v>
      </c>
      <c r="B1490" t="s">
        <v>1256</v>
      </c>
      <c r="C1490" t="s">
        <v>469</v>
      </c>
      <c r="D1490" t="s">
        <v>470</v>
      </c>
      <c r="E1490" t="s">
        <v>674</v>
      </c>
      <c r="F1490" t="s">
        <v>235</v>
      </c>
      <c r="G1490" t="s">
        <v>797</v>
      </c>
      <c r="H1490" t="s">
        <v>8</v>
      </c>
      <c r="I1490" t="s">
        <v>212</v>
      </c>
      <c r="J1490" t="s">
        <v>798</v>
      </c>
      <c r="K1490" t="s">
        <v>822</v>
      </c>
      <c r="L1490" t="s">
        <v>788</v>
      </c>
      <c r="M1490" s="5">
        <v>45404</v>
      </c>
      <c r="N1490" s="5">
        <v>45405</v>
      </c>
      <c r="O1490">
        <v>1</v>
      </c>
      <c r="P1490">
        <v>95.09</v>
      </c>
      <c r="Q1490">
        <v>133.13</v>
      </c>
      <c r="R1490">
        <v>0.1</v>
      </c>
      <c r="S1490">
        <v>119.82</v>
      </c>
      <c r="T1490" t="s">
        <v>1134</v>
      </c>
      <c r="U1490">
        <v>95.09</v>
      </c>
      <c r="V1490">
        <v>24.73</v>
      </c>
    </row>
    <row r="1491" spans="1:22" x14ac:dyDescent="0.35">
      <c r="A1491" t="s">
        <v>2967</v>
      </c>
      <c r="B1491" t="s">
        <v>828</v>
      </c>
      <c r="C1491" t="s">
        <v>463</v>
      </c>
      <c r="D1491" t="s">
        <v>464</v>
      </c>
      <c r="E1491" t="s">
        <v>674</v>
      </c>
      <c r="F1491" t="s">
        <v>264</v>
      </c>
      <c r="G1491" t="s">
        <v>48</v>
      </c>
      <c r="H1491" t="s">
        <v>48</v>
      </c>
      <c r="I1491" t="s">
        <v>139</v>
      </c>
      <c r="J1491" t="s">
        <v>813</v>
      </c>
      <c r="K1491" t="s">
        <v>822</v>
      </c>
      <c r="L1491" t="s">
        <v>788</v>
      </c>
      <c r="M1491" s="5">
        <v>45477</v>
      </c>
      <c r="N1491" s="5">
        <v>45480</v>
      </c>
      <c r="O1491">
        <v>10</v>
      </c>
      <c r="P1491">
        <v>29.93</v>
      </c>
      <c r="Q1491">
        <v>41.9</v>
      </c>
      <c r="R1491">
        <v>0.15</v>
      </c>
      <c r="S1491">
        <v>356.15</v>
      </c>
      <c r="T1491" t="s">
        <v>794</v>
      </c>
      <c r="U1491">
        <v>299.3</v>
      </c>
      <c r="V1491">
        <v>56.85</v>
      </c>
    </row>
    <row r="1492" spans="1:22" x14ac:dyDescent="0.35">
      <c r="A1492" t="s">
        <v>2968</v>
      </c>
      <c r="B1492" t="s">
        <v>785</v>
      </c>
      <c r="C1492" t="s">
        <v>582</v>
      </c>
      <c r="D1492" t="s">
        <v>583</v>
      </c>
      <c r="E1492" t="s">
        <v>633</v>
      </c>
      <c r="F1492" t="s">
        <v>264</v>
      </c>
      <c r="G1492" t="s">
        <v>797</v>
      </c>
      <c r="H1492" t="s">
        <v>20</v>
      </c>
      <c r="I1492" t="s">
        <v>197</v>
      </c>
      <c r="J1492" t="s">
        <v>786</v>
      </c>
      <c r="K1492" t="s">
        <v>822</v>
      </c>
      <c r="L1492" t="s">
        <v>842</v>
      </c>
      <c r="M1492" s="5">
        <v>45848</v>
      </c>
      <c r="N1492" s="5">
        <v>45841</v>
      </c>
      <c r="O1492">
        <v>20</v>
      </c>
      <c r="P1492">
        <v>22.45</v>
      </c>
      <c r="Q1492">
        <v>29.18</v>
      </c>
      <c r="R1492">
        <v>0.1</v>
      </c>
      <c r="S1492">
        <v>525.24</v>
      </c>
      <c r="T1492" t="s">
        <v>1001</v>
      </c>
      <c r="U1492">
        <v>449</v>
      </c>
      <c r="V1492">
        <v>76.239999999999995</v>
      </c>
    </row>
    <row r="1493" spans="1:22" x14ac:dyDescent="0.35">
      <c r="A1493" t="s">
        <v>2969</v>
      </c>
      <c r="B1493" t="s">
        <v>1672</v>
      </c>
      <c r="C1493" t="s">
        <v>260</v>
      </c>
      <c r="D1493" t="s">
        <v>261</v>
      </c>
      <c r="E1493" t="s">
        <v>681</v>
      </c>
      <c r="F1493" t="s">
        <v>264</v>
      </c>
      <c r="G1493" t="s">
        <v>14</v>
      </c>
      <c r="H1493" t="s">
        <v>8</v>
      </c>
      <c r="I1493" t="s">
        <v>212</v>
      </c>
      <c r="J1493" t="s">
        <v>798</v>
      </c>
      <c r="K1493" t="s">
        <v>793</v>
      </c>
      <c r="L1493" t="s">
        <v>800</v>
      </c>
      <c r="M1493" s="5">
        <v>45677</v>
      </c>
      <c r="O1493">
        <v>5</v>
      </c>
      <c r="P1493">
        <v>95.09</v>
      </c>
      <c r="Q1493">
        <v>133.13</v>
      </c>
      <c r="R1493">
        <v>0</v>
      </c>
      <c r="S1493">
        <v>665.65</v>
      </c>
      <c r="T1493" t="s">
        <v>946</v>
      </c>
      <c r="U1493">
        <v>475.45</v>
      </c>
      <c r="V1493">
        <v>190.2</v>
      </c>
    </row>
    <row r="1494" spans="1:22" x14ac:dyDescent="0.35">
      <c r="A1494" t="s">
        <v>2970</v>
      </c>
      <c r="B1494" t="s">
        <v>1376</v>
      </c>
      <c r="C1494" t="s">
        <v>613</v>
      </c>
      <c r="D1494" t="s">
        <v>304</v>
      </c>
      <c r="E1494" t="s">
        <v>681</v>
      </c>
      <c r="F1494" t="s">
        <v>243</v>
      </c>
      <c r="G1494" t="s">
        <v>797</v>
      </c>
      <c r="H1494" t="s">
        <v>20</v>
      </c>
      <c r="I1494" t="s">
        <v>196</v>
      </c>
      <c r="J1494" t="s">
        <v>798</v>
      </c>
      <c r="K1494" t="s">
        <v>787</v>
      </c>
      <c r="L1494" t="s">
        <v>800</v>
      </c>
      <c r="M1494" s="5">
        <v>45627</v>
      </c>
      <c r="O1494">
        <v>2</v>
      </c>
      <c r="P1494">
        <v>15.78</v>
      </c>
      <c r="Q1494">
        <v>19.72</v>
      </c>
      <c r="R1494">
        <v>0.15</v>
      </c>
      <c r="S1494">
        <v>33.520000000000003</v>
      </c>
      <c r="T1494" t="s">
        <v>946</v>
      </c>
      <c r="U1494">
        <v>31.56</v>
      </c>
      <c r="V1494">
        <v>1.96</v>
      </c>
    </row>
    <row r="1495" spans="1:22" x14ac:dyDescent="0.35">
      <c r="A1495" t="s">
        <v>2971</v>
      </c>
      <c r="B1495" t="s">
        <v>965</v>
      </c>
      <c r="C1495" t="s">
        <v>543</v>
      </c>
      <c r="D1495" t="s">
        <v>544</v>
      </c>
      <c r="E1495" t="s">
        <v>254</v>
      </c>
      <c r="F1495" t="s">
        <v>243</v>
      </c>
      <c r="G1495" t="s">
        <v>48</v>
      </c>
      <c r="H1495" t="s">
        <v>8</v>
      </c>
      <c r="I1495" t="s">
        <v>6</v>
      </c>
      <c r="J1495" t="s">
        <v>813</v>
      </c>
      <c r="K1495" t="s">
        <v>799</v>
      </c>
      <c r="L1495" t="s">
        <v>818</v>
      </c>
      <c r="M1495" s="5">
        <v>45417</v>
      </c>
      <c r="N1495" s="5">
        <v>45418</v>
      </c>
      <c r="O1495">
        <v>1</v>
      </c>
      <c r="P1495">
        <v>32.24</v>
      </c>
      <c r="Q1495">
        <v>41.91</v>
      </c>
      <c r="R1495">
        <v>0</v>
      </c>
      <c r="S1495">
        <v>41.91</v>
      </c>
      <c r="T1495" t="s">
        <v>829</v>
      </c>
      <c r="U1495">
        <v>32.24</v>
      </c>
      <c r="V1495">
        <v>9.67</v>
      </c>
    </row>
    <row r="1496" spans="1:22" x14ac:dyDescent="0.35">
      <c r="A1496" t="s">
        <v>2972</v>
      </c>
      <c r="B1496" t="s">
        <v>1638</v>
      </c>
      <c r="C1496" t="s">
        <v>545</v>
      </c>
      <c r="D1496" t="s">
        <v>546</v>
      </c>
      <c r="E1496" t="s">
        <v>674</v>
      </c>
      <c r="F1496" t="s">
        <v>235</v>
      </c>
      <c r="G1496" t="s">
        <v>797</v>
      </c>
      <c r="H1496" t="s">
        <v>48</v>
      </c>
      <c r="I1496" t="s">
        <v>54</v>
      </c>
      <c r="J1496" t="s">
        <v>813</v>
      </c>
      <c r="K1496" t="s">
        <v>799</v>
      </c>
      <c r="L1496" t="s">
        <v>788</v>
      </c>
      <c r="M1496" s="5">
        <v>45829</v>
      </c>
      <c r="N1496" s="5">
        <v>45828</v>
      </c>
      <c r="O1496">
        <v>3</v>
      </c>
      <c r="P1496">
        <v>21.67</v>
      </c>
      <c r="Q1496">
        <v>28.17</v>
      </c>
      <c r="R1496">
        <v>0.05</v>
      </c>
      <c r="S1496">
        <v>80.28</v>
      </c>
      <c r="T1496" t="s">
        <v>859</v>
      </c>
      <c r="U1496">
        <v>65.010000000000005</v>
      </c>
      <c r="V1496">
        <v>15.27</v>
      </c>
    </row>
    <row r="1497" spans="1:22" x14ac:dyDescent="0.35">
      <c r="A1497" t="s">
        <v>2973</v>
      </c>
      <c r="B1497" t="s">
        <v>1276</v>
      </c>
      <c r="C1497" t="s">
        <v>493</v>
      </c>
      <c r="D1497" t="s">
        <v>311</v>
      </c>
      <c r="E1497" t="s">
        <v>254</v>
      </c>
      <c r="F1497" t="s">
        <v>243</v>
      </c>
      <c r="G1497" t="s">
        <v>797</v>
      </c>
      <c r="H1497" t="s">
        <v>20</v>
      </c>
      <c r="I1497" t="s">
        <v>102</v>
      </c>
      <c r="J1497" t="s">
        <v>798</v>
      </c>
      <c r="K1497" t="s">
        <v>787</v>
      </c>
      <c r="L1497" t="s">
        <v>788</v>
      </c>
      <c r="M1497" s="5">
        <v>45632</v>
      </c>
      <c r="O1497">
        <v>2</v>
      </c>
      <c r="P1497">
        <v>19.04</v>
      </c>
      <c r="Q1497">
        <v>25.7</v>
      </c>
      <c r="R1497">
        <v>0</v>
      </c>
      <c r="S1497">
        <v>51.4</v>
      </c>
      <c r="T1497" t="s">
        <v>946</v>
      </c>
      <c r="U1497">
        <v>38.08</v>
      </c>
      <c r="V1497">
        <v>13.32</v>
      </c>
    </row>
    <row r="1498" spans="1:22" x14ac:dyDescent="0.35">
      <c r="A1498" t="s">
        <v>2974</v>
      </c>
      <c r="B1498" t="s">
        <v>1524</v>
      </c>
      <c r="C1498" t="s">
        <v>500</v>
      </c>
      <c r="D1498" t="s">
        <v>447</v>
      </c>
      <c r="E1498" t="s">
        <v>681</v>
      </c>
      <c r="F1498" t="s">
        <v>235</v>
      </c>
      <c r="G1498" t="s">
        <v>20</v>
      </c>
      <c r="H1498" t="s">
        <v>43</v>
      </c>
      <c r="I1498" t="s">
        <v>141</v>
      </c>
      <c r="J1498" t="s">
        <v>798</v>
      </c>
      <c r="K1498" t="s">
        <v>793</v>
      </c>
      <c r="L1498" t="s">
        <v>818</v>
      </c>
      <c r="M1498" s="5">
        <v>45518</v>
      </c>
      <c r="O1498">
        <v>10</v>
      </c>
      <c r="P1498">
        <v>17.2</v>
      </c>
      <c r="Q1498">
        <v>22.36</v>
      </c>
      <c r="R1498">
        <v>0.05</v>
      </c>
      <c r="S1498">
        <v>212.42</v>
      </c>
      <c r="T1498" t="s">
        <v>1134</v>
      </c>
      <c r="U1498">
        <v>172</v>
      </c>
      <c r="V1498">
        <v>40.42</v>
      </c>
    </row>
    <row r="1499" spans="1:22" x14ac:dyDescent="0.35">
      <c r="A1499" t="s">
        <v>2975</v>
      </c>
      <c r="B1499" t="s">
        <v>725</v>
      </c>
      <c r="C1499" t="s">
        <v>559</v>
      </c>
      <c r="D1499" t="s">
        <v>311</v>
      </c>
      <c r="E1499" t="s">
        <v>633</v>
      </c>
      <c r="F1499" t="s">
        <v>235</v>
      </c>
      <c r="G1499" t="s">
        <v>48</v>
      </c>
      <c r="H1499" t="s">
        <v>29</v>
      </c>
      <c r="I1499" t="s">
        <v>191</v>
      </c>
      <c r="J1499" t="s">
        <v>813</v>
      </c>
      <c r="K1499" t="s">
        <v>799</v>
      </c>
      <c r="L1499" t="s">
        <v>842</v>
      </c>
      <c r="M1499" s="5">
        <v>45341</v>
      </c>
      <c r="N1499" s="5">
        <v>45339</v>
      </c>
      <c r="O1499">
        <v>12</v>
      </c>
      <c r="P1499">
        <v>11.26</v>
      </c>
      <c r="Q1499">
        <v>15.2</v>
      </c>
      <c r="R1499">
        <v>0</v>
      </c>
      <c r="S1499">
        <v>182.4</v>
      </c>
      <c r="T1499" t="s">
        <v>834</v>
      </c>
      <c r="U1499">
        <v>135.12</v>
      </c>
      <c r="V1499">
        <v>47.28</v>
      </c>
    </row>
    <row r="1500" spans="1:22" x14ac:dyDescent="0.35">
      <c r="A1500" t="s">
        <v>2976</v>
      </c>
      <c r="B1500" t="s">
        <v>1513</v>
      </c>
      <c r="C1500" t="s">
        <v>493</v>
      </c>
      <c r="D1500" t="s">
        <v>311</v>
      </c>
      <c r="E1500" t="s">
        <v>696</v>
      </c>
      <c r="F1500" t="s">
        <v>243</v>
      </c>
      <c r="G1500" t="s">
        <v>14</v>
      </c>
      <c r="H1500" t="s">
        <v>29</v>
      </c>
      <c r="I1500" t="s">
        <v>106</v>
      </c>
      <c r="J1500" t="s">
        <v>786</v>
      </c>
      <c r="K1500" t="s">
        <v>787</v>
      </c>
      <c r="L1500" t="s">
        <v>818</v>
      </c>
      <c r="M1500" s="5">
        <v>45668</v>
      </c>
      <c r="O1500">
        <v>2</v>
      </c>
      <c r="P1500">
        <v>29.64</v>
      </c>
      <c r="Q1500">
        <v>41.5</v>
      </c>
      <c r="R1500">
        <v>0.1</v>
      </c>
      <c r="S1500">
        <v>74.7</v>
      </c>
      <c r="T1500" t="s">
        <v>829</v>
      </c>
      <c r="U1500">
        <v>59.28</v>
      </c>
      <c r="V1500">
        <v>15.42</v>
      </c>
    </row>
    <row r="1501" spans="1:22" x14ac:dyDescent="0.35">
      <c r="A1501" t="s">
        <v>2977</v>
      </c>
      <c r="B1501" t="s">
        <v>832</v>
      </c>
      <c r="C1501" t="s">
        <v>607</v>
      </c>
      <c r="D1501" t="s">
        <v>608</v>
      </c>
      <c r="E1501" t="s">
        <v>696</v>
      </c>
      <c r="F1501" t="s">
        <v>264</v>
      </c>
      <c r="G1501" t="s">
        <v>797</v>
      </c>
      <c r="H1501" t="s">
        <v>38</v>
      </c>
      <c r="I1501" t="s">
        <v>71</v>
      </c>
      <c r="J1501" t="s">
        <v>798</v>
      </c>
      <c r="K1501" t="s">
        <v>793</v>
      </c>
      <c r="L1501" t="s">
        <v>800</v>
      </c>
      <c r="M1501" s="5">
        <v>45918</v>
      </c>
      <c r="O1501">
        <v>1</v>
      </c>
      <c r="P1501">
        <v>17.62</v>
      </c>
      <c r="Q1501">
        <v>24.67</v>
      </c>
      <c r="R1501">
        <v>0.05</v>
      </c>
      <c r="S1501">
        <v>23.44</v>
      </c>
      <c r="T1501" t="s">
        <v>810</v>
      </c>
      <c r="U1501">
        <v>17.62</v>
      </c>
      <c r="V1501">
        <v>5.82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1"/>
  <sheetViews>
    <sheetView zoomScale="190" zoomScaleNormal="190" workbookViewId="0">
      <pane ySplit="1" topLeftCell="A324" activePane="bottomLeft" state="frozen"/>
      <selection pane="bottomLeft" activeCell="A324" sqref="A324"/>
    </sheetView>
  </sheetViews>
  <sheetFormatPr defaultRowHeight="14.5" x14ac:dyDescent="0.35"/>
  <cols>
    <col min="1" max="1" width="10.1796875" bestFit="1" customWidth="1"/>
    <col min="2" max="2" width="12.453125" bestFit="1" customWidth="1"/>
    <col min="3" max="3" width="21.7265625" bestFit="1" customWidth="1"/>
    <col min="4" max="4" width="16.453125" bestFit="1" customWidth="1"/>
    <col min="5" max="5" width="8.453125" bestFit="1" customWidth="1"/>
    <col min="6" max="6" width="10.7265625" bestFit="1" customWidth="1"/>
    <col min="7" max="7" width="18" bestFit="1" customWidth="1"/>
    <col min="8" max="8" width="8.26953125" bestFit="1" customWidth="1"/>
    <col min="9" max="9" width="13.81640625" bestFit="1" customWidth="1"/>
    <col min="10" max="10" width="14.81640625" bestFit="1" customWidth="1"/>
    <col min="11" max="11" width="35.54296875" bestFit="1" customWidth="1"/>
  </cols>
  <sheetData>
    <row r="1" spans="1:11" ht="15" thickBot="1" x14ac:dyDescent="0.4">
      <c r="A1" s="1" t="s">
        <v>2980</v>
      </c>
      <c r="B1" s="2" t="s">
        <v>2981</v>
      </c>
      <c r="C1" s="2" t="s">
        <v>224</v>
      </c>
      <c r="D1" s="2" t="s">
        <v>2982</v>
      </c>
      <c r="E1" s="2" t="s">
        <v>2983</v>
      </c>
      <c r="F1" s="2" t="s">
        <v>5</v>
      </c>
      <c r="G1" s="2" t="s">
        <v>2984</v>
      </c>
      <c r="H1" s="2" t="s">
        <v>2985</v>
      </c>
      <c r="I1" s="2" t="s">
        <v>2986</v>
      </c>
      <c r="J1" s="2" t="s">
        <v>2987</v>
      </c>
      <c r="K1" s="2" t="s">
        <v>2988</v>
      </c>
    </row>
    <row r="2" spans="1:11" ht="15" thickTop="1" x14ac:dyDescent="0.35">
      <c r="A2" s="9" t="s">
        <v>2989</v>
      </c>
      <c r="B2" s="20">
        <v>45432</v>
      </c>
      <c r="C2" s="10" t="s">
        <v>396</v>
      </c>
      <c r="D2" s="10" t="s">
        <v>650</v>
      </c>
      <c r="E2" s="10" t="s">
        <v>798</v>
      </c>
      <c r="F2" s="10" t="s">
        <v>2990</v>
      </c>
      <c r="G2" s="10" t="s">
        <v>876</v>
      </c>
      <c r="H2" s="10" t="s">
        <v>2991</v>
      </c>
      <c r="I2" s="10">
        <v>55.02</v>
      </c>
      <c r="J2" s="20">
        <v>45433</v>
      </c>
      <c r="K2" s="10" t="s">
        <v>2992</v>
      </c>
    </row>
    <row r="3" spans="1:11" x14ac:dyDescent="0.35">
      <c r="A3" s="11" t="s">
        <v>2993</v>
      </c>
      <c r="B3" s="21">
        <v>45889</v>
      </c>
      <c r="C3" s="12" t="s">
        <v>514</v>
      </c>
      <c r="D3" s="12" t="s">
        <v>2994</v>
      </c>
      <c r="E3" s="12" t="s">
        <v>798</v>
      </c>
      <c r="F3" s="12" t="s">
        <v>2995</v>
      </c>
      <c r="G3" s="12" t="s">
        <v>2996</v>
      </c>
      <c r="H3" s="12" t="s">
        <v>2997</v>
      </c>
      <c r="I3" s="12">
        <v>31.66</v>
      </c>
      <c r="J3" s="12"/>
      <c r="K3" s="12" t="s">
        <v>2998</v>
      </c>
    </row>
    <row r="4" spans="1:11" x14ac:dyDescent="0.35">
      <c r="A4" s="13" t="s">
        <v>2999</v>
      </c>
      <c r="B4" s="22">
        <v>45463</v>
      </c>
      <c r="C4" s="14" t="s">
        <v>346</v>
      </c>
      <c r="D4" s="14" t="s">
        <v>2994</v>
      </c>
      <c r="E4" s="14" t="s">
        <v>798</v>
      </c>
      <c r="F4" s="14" t="s">
        <v>2995</v>
      </c>
      <c r="G4" s="14" t="s">
        <v>834</v>
      </c>
      <c r="H4" s="14" t="s">
        <v>2997</v>
      </c>
      <c r="I4" s="14">
        <v>49.8</v>
      </c>
      <c r="J4" s="14"/>
      <c r="K4" s="14" t="s">
        <v>3000</v>
      </c>
    </row>
    <row r="5" spans="1:11" x14ac:dyDescent="0.35">
      <c r="A5" s="11" t="s">
        <v>3001</v>
      </c>
      <c r="B5" s="21">
        <v>45724</v>
      </c>
      <c r="C5" s="12" t="s">
        <v>420</v>
      </c>
      <c r="D5" s="12" t="s">
        <v>3002</v>
      </c>
      <c r="E5" s="12" t="s">
        <v>798</v>
      </c>
      <c r="F5" s="12" t="s">
        <v>2990</v>
      </c>
      <c r="G5" s="12" t="s">
        <v>859</v>
      </c>
      <c r="H5" s="12" t="s">
        <v>3003</v>
      </c>
      <c r="I5" s="12">
        <v>65.8</v>
      </c>
      <c r="J5" s="21">
        <v>45733</v>
      </c>
      <c r="K5" s="12" t="s">
        <v>3004</v>
      </c>
    </row>
    <row r="6" spans="1:11" x14ac:dyDescent="0.35">
      <c r="A6" s="13" t="s">
        <v>3005</v>
      </c>
      <c r="B6" s="22">
        <v>45603</v>
      </c>
      <c r="C6" s="14" t="s">
        <v>558</v>
      </c>
      <c r="D6" s="14" t="s">
        <v>3006</v>
      </c>
      <c r="E6" s="14" t="s">
        <v>813</v>
      </c>
      <c r="F6" s="14" t="s">
        <v>2990</v>
      </c>
      <c r="G6" s="14" t="s">
        <v>876</v>
      </c>
      <c r="H6" s="14" t="s">
        <v>2997</v>
      </c>
      <c r="I6" s="14">
        <v>72.209999999999994</v>
      </c>
      <c r="J6" s="22">
        <v>45604</v>
      </c>
      <c r="K6" s="14" t="s">
        <v>3004</v>
      </c>
    </row>
    <row r="7" spans="1:11" x14ac:dyDescent="0.35">
      <c r="A7" s="11" t="s">
        <v>3007</v>
      </c>
      <c r="B7" s="21">
        <v>45298</v>
      </c>
      <c r="C7" s="12" t="s">
        <v>277</v>
      </c>
      <c r="D7" s="12" t="s">
        <v>3006</v>
      </c>
      <c r="E7" s="12" t="s">
        <v>786</v>
      </c>
      <c r="F7" s="12" t="s">
        <v>3008</v>
      </c>
      <c r="G7" s="12" t="s">
        <v>3009</v>
      </c>
      <c r="H7" s="12" t="s">
        <v>3003</v>
      </c>
      <c r="I7" s="12">
        <v>67.010000000000005</v>
      </c>
      <c r="J7" s="12"/>
      <c r="K7" s="12" t="s">
        <v>3010</v>
      </c>
    </row>
    <row r="8" spans="1:11" x14ac:dyDescent="0.35">
      <c r="A8" s="13" t="s">
        <v>3011</v>
      </c>
      <c r="B8" s="22">
        <v>45534</v>
      </c>
      <c r="C8" s="14" t="s">
        <v>245</v>
      </c>
      <c r="D8" s="14" t="s">
        <v>3012</v>
      </c>
      <c r="E8" s="14" t="s">
        <v>798</v>
      </c>
      <c r="F8" s="14" t="s">
        <v>3013</v>
      </c>
      <c r="G8" s="14" t="s">
        <v>919</v>
      </c>
      <c r="H8" s="14" t="s">
        <v>2997</v>
      </c>
      <c r="I8" s="14">
        <v>33.79</v>
      </c>
      <c r="J8" s="22">
        <v>45548</v>
      </c>
      <c r="K8" s="14" t="s">
        <v>2992</v>
      </c>
    </row>
    <row r="9" spans="1:11" x14ac:dyDescent="0.35">
      <c r="A9" s="11" t="s">
        <v>3014</v>
      </c>
      <c r="B9" s="21">
        <v>45362</v>
      </c>
      <c r="C9" s="12" t="s">
        <v>380</v>
      </c>
      <c r="D9" s="12" t="s">
        <v>3006</v>
      </c>
      <c r="E9" s="12" t="s">
        <v>786</v>
      </c>
      <c r="F9" s="12" t="s">
        <v>2995</v>
      </c>
      <c r="G9" s="12" t="s">
        <v>803</v>
      </c>
      <c r="H9" s="12" t="s">
        <v>3003</v>
      </c>
      <c r="I9" s="12">
        <v>52.55</v>
      </c>
      <c r="J9" s="12"/>
      <c r="K9" s="12" t="s">
        <v>3015</v>
      </c>
    </row>
    <row r="10" spans="1:11" x14ac:dyDescent="0.35">
      <c r="A10" s="13" t="s">
        <v>3016</v>
      </c>
      <c r="B10" s="22">
        <v>45860</v>
      </c>
      <c r="C10" s="14" t="s">
        <v>602</v>
      </c>
      <c r="D10" s="14" t="s">
        <v>3017</v>
      </c>
      <c r="E10" s="14" t="s">
        <v>798</v>
      </c>
      <c r="F10" s="14" t="s">
        <v>3008</v>
      </c>
      <c r="G10" s="14" t="s">
        <v>859</v>
      </c>
      <c r="H10" s="14" t="s">
        <v>2991</v>
      </c>
      <c r="I10" s="14">
        <v>65.87</v>
      </c>
      <c r="J10" s="14"/>
      <c r="K10" s="14" t="s">
        <v>3015</v>
      </c>
    </row>
    <row r="11" spans="1:11" x14ac:dyDescent="0.35">
      <c r="A11" s="11" t="s">
        <v>3018</v>
      </c>
      <c r="B11" s="21">
        <v>45892</v>
      </c>
      <c r="C11" s="12" t="s">
        <v>311</v>
      </c>
      <c r="D11" s="12" t="s">
        <v>3012</v>
      </c>
      <c r="E11" s="12" t="s">
        <v>786</v>
      </c>
      <c r="F11" s="12" t="s">
        <v>2995</v>
      </c>
      <c r="G11" s="12" t="s">
        <v>3019</v>
      </c>
      <c r="H11" s="12" t="s">
        <v>2991</v>
      </c>
      <c r="I11" s="12">
        <v>102.1</v>
      </c>
      <c r="J11" s="12"/>
      <c r="K11" s="12" t="s">
        <v>3020</v>
      </c>
    </row>
    <row r="12" spans="1:11" x14ac:dyDescent="0.35">
      <c r="A12" s="13" t="s">
        <v>3021</v>
      </c>
      <c r="B12" s="22">
        <v>45944</v>
      </c>
      <c r="C12" s="14" t="s">
        <v>486</v>
      </c>
      <c r="D12" s="14" t="s">
        <v>3012</v>
      </c>
      <c r="E12" s="14" t="s">
        <v>813</v>
      </c>
      <c r="F12" s="14" t="s">
        <v>2990</v>
      </c>
      <c r="G12" s="14" t="s">
        <v>810</v>
      </c>
      <c r="H12" s="14" t="s">
        <v>623</v>
      </c>
      <c r="I12" s="14">
        <v>74.84</v>
      </c>
      <c r="J12" s="22">
        <v>45947</v>
      </c>
      <c r="K12" s="14" t="s">
        <v>2992</v>
      </c>
    </row>
    <row r="13" spans="1:11" x14ac:dyDescent="0.35">
      <c r="A13" s="11" t="s">
        <v>3022</v>
      </c>
      <c r="B13" s="21">
        <v>45819</v>
      </c>
      <c r="C13" s="12" t="s">
        <v>508</v>
      </c>
      <c r="D13" s="12" t="s">
        <v>3012</v>
      </c>
      <c r="E13" s="12" t="s">
        <v>786</v>
      </c>
      <c r="F13" s="12" t="s">
        <v>3008</v>
      </c>
      <c r="G13" s="12" t="s">
        <v>3023</v>
      </c>
      <c r="H13" s="12" t="s">
        <v>623</v>
      </c>
      <c r="I13" s="12">
        <v>29.1</v>
      </c>
      <c r="J13" s="12"/>
      <c r="K13" s="12" t="s">
        <v>3024</v>
      </c>
    </row>
    <row r="14" spans="1:11" x14ac:dyDescent="0.35">
      <c r="A14" s="13" t="s">
        <v>3025</v>
      </c>
      <c r="B14" s="22">
        <v>45515</v>
      </c>
      <c r="C14" s="14" t="s">
        <v>365</v>
      </c>
      <c r="D14" s="14" t="s">
        <v>3012</v>
      </c>
      <c r="E14" s="14" t="s">
        <v>786</v>
      </c>
      <c r="F14" s="14" t="s">
        <v>2990</v>
      </c>
      <c r="G14" s="14" t="s">
        <v>888</v>
      </c>
      <c r="H14" s="14" t="s">
        <v>3003</v>
      </c>
      <c r="I14" s="14">
        <v>56.87</v>
      </c>
      <c r="J14" s="22">
        <v>45529</v>
      </c>
      <c r="K14" s="14" t="s">
        <v>3010</v>
      </c>
    </row>
    <row r="15" spans="1:11" x14ac:dyDescent="0.35">
      <c r="A15" s="11" t="s">
        <v>3026</v>
      </c>
      <c r="B15" s="21">
        <v>45421</v>
      </c>
      <c r="C15" s="12" t="s">
        <v>253</v>
      </c>
      <c r="D15" s="12" t="s">
        <v>650</v>
      </c>
      <c r="E15" s="12" t="s">
        <v>786</v>
      </c>
      <c r="F15" s="12" t="s">
        <v>2990</v>
      </c>
      <c r="G15" s="12" t="s">
        <v>839</v>
      </c>
      <c r="H15" s="12" t="s">
        <v>2997</v>
      </c>
      <c r="I15" s="12">
        <v>69.59</v>
      </c>
      <c r="J15" s="21">
        <v>45431</v>
      </c>
      <c r="K15" s="12" t="s">
        <v>3010</v>
      </c>
    </row>
    <row r="16" spans="1:11" x14ac:dyDescent="0.35">
      <c r="A16" s="13" t="s">
        <v>3027</v>
      </c>
      <c r="B16" s="22">
        <v>45352</v>
      </c>
      <c r="C16" s="14" t="s">
        <v>458</v>
      </c>
      <c r="D16" s="14" t="s">
        <v>3012</v>
      </c>
      <c r="E16" s="14" t="s">
        <v>786</v>
      </c>
      <c r="F16" s="14" t="s">
        <v>787</v>
      </c>
      <c r="G16" s="14" t="s">
        <v>3028</v>
      </c>
      <c r="H16" s="14" t="s">
        <v>2991</v>
      </c>
      <c r="I16" s="14">
        <v>72.819999999999993</v>
      </c>
      <c r="J16" s="14"/>
      <c r="K16" s="14" t="s">
        <v>2998</v>
      </c>
    </row>
    <row r="17" spans="1:11" x14ac:dyDescent="0.35">
      <c r="A17" s="11" t="s">
        <v>3029</v>
      </c>
      <c r="B17" s="21">
        <v>45793</v>
      </c>
      <c r="C17" s="12" t="s">
        <v>356</v>
      </c>
      <c r="D17" s="12" t="s">
        <v>3017</v>
      </c>
      <c r="E17" s="12" t="s">
        <v>798</v>
      </c>
      <c r="F17" s="12" t="s">
        <v>2995</v>
      </c>
      <c r="G17" s="12" t="s">
        <v>3030</v>
      </c>
      <c r="H17" s="12" t="s">
        <v>3003</v>
      </c>
      <c r="I17" s="12">
        <v>78.73</v>
      </c>
      <c r="J17" s="12"/>
      <c r="K17" s="12" t="s">
        <v>3020</v>
      </c>
    </row>
    <row r="18" spans="1:11" x14ac:dyDescent="0.35">
      <c r="A18" s="13" t="s">
        <v>3031</v>
      </c>
      <c r="B18" s="22">
        <v>45705</v>
      </c>
      <c r="C18" s="14" t="s">
        <v>519</v>
      </c>
      <c r="D18" s="14" t="s">
        <v>3012</v>
      </c>
      <c r="E18" s="14" t="s">
        <v>786</v>
      </c>
      <c r="F18" s="14" t="s">
        <v>2995</v>
      </c>
      <c r="G18" s="14" t="s">
        <v>3032</v>
      </c>
      <c r="H18" s="14" t="s">
        <v>2997</v>
      </c>
      <c r="I18" s="14">
        <v>75.739999999999995</v>
      </c>
      <c r="J18" s="14"/>
      <c r="K18" s="14" t="s">
        <v>3020</v>
      </c>
    </row>
    <row r="19" spans="1:11" x14ac:dyDescent="0.35">
      <c r="A19" s="11" t="s">
        <v>3033</v>
      </c>
      <c r="B19" s="21">
        <v>45767</v>
      </c>
      <c r="C19" s="12" t="s">
        <v>435</v>
      </c>
      <c r="D19" s="12" t="s">
        <v>3002</v>
      </c>
      <c r="E19" s="12" t="s">
        <v>798</v>
      </c>
      <c r="F19" s="12" t="s">
        <v>3008</v>
      </c>
      <c r="G19" s="12" t="s">
        <v>1017</v>
      </c>
      <c r="H19" s="12" t="s">
        <v>2991</v>
      </c>
      <c r="I19" s="12">
        <v>25</v>
      </c>
      <c r="J19" s="12"/>
      <c r="K19" s="12" t="s">
        <v>3004</v>
      </c>
    </row>
    <row r="20" spans="1:11" x14ac:dyDescent="0.35">
      <c r="A20" s="13" t="s">
        <v>3034</v>
      </c>
      <c r="B20" s="22">
        <v>45680</v>
      </c>
      <c r="C20" s="14" t="s">
        <v>321</v>
      </c>
      <c r="D20" s="14" t="s">
        <v>650</v>
      </c>
      <c r="E20" s="14" t="s">
        <v>813</v>
      </c>
      <c r="F20" s="14" t="s">
        <v>3008</v>
      </c>
      <c r="G20" s="14" t="s">
        <v>3035</v>
      </c>
      <c r="H20" s="14" t="s">
        <v>623</v>
      </c>
      <c r="I20" s="14">
        <v>29.75</v>
      </c>
      <c r="J20" s="14"/>
      <c r="K20" s="14" t="s">
        <v>3024</v>
      </c>
    </row>
    <row r="21" spans="1:11" x14ac:dyDescent="0.35">
      <c r="A21" s="11" t="s">
        <v>3036</v>
      </c>
      <c r="B21" s="21">
        <v>45977</v>
      </c>
      <c r="C21" s="12" t="s">
        <v>508</v>
      </c>
      <c r="D21" s="12" t="s">
        <v>2994</v>
      </c>
      <c r="E21" s="12" t="s">
        <v>786</v>
      </c>
      <c r="F21" s="12" t="s">
        <v>2990</v>
      </c>
      <c r="G21" s="12" t="s">
        <v>3037</v>
      </c>
      <c r="H21" s="12" t="s">
        <v>623</v>
      </c>
      <c r="I21" s="12">
        <v>110.88</v>
      </c>
      <c r="J21" s="21">
        <v>45984</v>
      </c>
      <c r="K21" s="12" t="s">
        <v>3038</v>
      </c>
    </row>
    <row r="22" spans="1:11" x14ac:dyDescent="0.35">
      <c r="A22" s="13" t="s">
        <v>3039</v>
      </c>
      <c r="B22" s="22">
        <v>45854</v>
      </c>
      <c r="C22" s="14" t="s">
        <v>368</v>
      </c>
      <c r="D22" s="14" t="s">
        <v>3012</v>
      </c>
      <c r="E22" s="14" t="s">
        <v>786</v>
      </c>
      <c r="F22" s="14" t="s">
        <v>787</v>
      </c>
      <c r="G22" s="14" t="s">
        <v>3040</v>
      </c>
      <c r="H22" s="14" t="s">
        <v>3003</v>
      </c>
      <c r="I22" s="14">
        <v>30.49</v>
      </c>
      <c r="J22" s="14"/>
      <c r="K22" s="14" t="s">
        <v>3010</v>
      </c>
    </row>
    <row r="23" spans="1:11" x14ac:dyDescent="0.35">
      <c r="A23" s="11" t="s">
        <v>3041</v>
      </c>
      <c r="B23" s="21">
        <v>45760</v>
      </c>
      <c r="C23" s="12" t="s">
        <v>583</v>
      </c>
      <c r="D23" s="12" t="s">
        <v>3017</v>
      </c>
      <c r="E23" s="12" t="s">
        <v>786</v>
      </c>
      <c r="F23" s="12" t="s">
        <v>2990</v>
      </c>
      <c r="G23" s="12" t="s">
        <v>3042</v>
      </c>
      <c r="H23" s="12" t="s">
        <v>3003</v>
      </c>
      <c r="I23" s="12">
        <v>64.98</v>
      </c>
      <c r="J23" s="21">
        <v>45774</v>
      </c>
      <c r="K23" s="12" t="s">
        <v>3038</v>
      </c>
    </row>
    <row r="24" spans="1:11" x14ac:dyDescent="0.35">
      <c r="A24" s="13" t="s">
        <v>3043</v>
      </c>
      <c r="B24" s="22">
        <v>45625</v>
      </c>
      <c r="C24" s="14" t="s">
        <v>368</v>
      </c>
      <c r="D24" s="14" t="s">
        <v>3017</v>
      </c>
      <c r="E24" s="14" t="s">
        <v>786</v>
      </c>
      <c r="F24" s="14" t="s">
        <v>3013</v>
      </c>
      <c r="G24" s="14" t="s">
        <v>3044</v>
      </c>
      <c r="H24" s="14" t="s">
        <v>3003</v>
      </c>
      <c r="I24" s="14">
        <v>37.58</v>
      </c>
      <c r="J24" s="22">
        <v>45637</v>
      </c>
      <c r="K24" s="14" t="s">
        <v>3015</v>
      </c>
    </row>
    <row r="25" spans="1:11" x14ac:dyDescent="0.35">
      <c r="A25" s="11" t="s">
        <v>3045</v>
      </c>
      <c r="B25" s="21">
        <v>45467</v>
      </c>
      <c r="C25" s="12" t="s">
        <v>245</v>
      </c>
      <c r="D25" s="12" t="s">
        <v>3012</v>
      </c>
      <c r="E25" s="12" t="s">
        <v>786</v>
      </c>
      <c r="F25" s="12" t="s">
        <v>3008</v>
      </c>
      <c r="G25" s="12" t="s">
        <v>869</v>
      </c>
      <c r="H25" s="12" t="s">
        <v>623</v>
      </c>
      <c r="I25" s="12">
        <v>98.85</v>
      </c>
      <c r="J25" s="12"/>
      <c r="K25" s="12" t="s">
        <v>2998</v>
      </c>
    </row>
    <row r="26" spans="1:11" x14ac:dyDescent="0.35">
      <c r="A26" s="13" t="s">
        <v>3046</v>
      </c>
      <c r="B26" s="22">
        <v>45533</v>
      </c>
      <c r="C26" s="14" t="s">
        <v>533</v>
      </c>
      <c r="D26" s="14" t="s">
        <v>650</v>
      </c>
      <c r="E26" s="14" t="s">
        <v>786</v>
      </c>
      <c r="F26" s="14" t="s">
        <v>3013</v>
      </c>
      <c r="G26" s="14" t="s">
        <v>3047</v>
      </c>
      <c r="H26" s="14" t="s">
        <v>2997</v>
      </c>
      <c r="I26" s="14">
        <v>104.62</v>
      </c>
      <c r="J26" s="22">
        <v>45545</v>
      </c>
      <c r="K26" s="14" t="s">
        <v>3048</v>
      </c>
    </row>
    <row r="27" spans="1:11" x14ac:dyDescent="0.35">
      <c r="A27" s="11" t="s">
        <v>3049</v>
      </c>
      <c r="B27" s="21">
        <v>45883</v>
      </c>
      <c r="C27" s="12" t="s">
        <v>433</v>
      </c>
      <c r="D27" s="12" t="s">
        <v>3017</v>
      </c>
      <c r="E27" s="12" t="s">
        <v>786</v>
      </c>
      <c r="F27" s="12" t="s">
        <v>3013</v>
      </c>
      <c r="G27" s="12" t="s">
        <v>1017</v>
      </c>
      <c r="H27" s="12" t="s">
        <v>2991</v>
      </c>
      <c r="I27" s="12">
        <v>31.4</v>
      </c>
      <c r="J27" s="21">
        <v>45885</v>
      </c>
      <c r="K27" s="12" t="s">
        <v>3020</v>
      </c>
    </row>
    <row r="28" spans="1:11" x14ac:dyDescent="0.35">
      <c r="A28" s="13" t="s">
        <v>3050</v>
      </c>
      <c r="B28" s="22">
        <v>46034</v>
      </c>
      <c r="C28" s="14" t="s">
        <v>535</v>
      </c>
      <c r="D28" s="14" t="s">
        <v>2994</v>
      </c>
      <c r="E28" s="14" t="s">
        <v>798</v>
      </c>
      <c r="F28" s="14" t="s">
        <v>3013</v>
      </c>
      <c r="G28" s="14" t="s">
        <v>3019</v>
      </c>
      <c r="H28" s="14" t="s">
        <v>3003</v>
      </c>
      <c r="I28" s="14">
        <v>83.24</v>
      </c>
      <c r="J28" s="22">
        <v>46047</v>
      </c>
      <c r="K28" s="14" t="s">
        <v>3015</v>
      </c>
    </row>
    <row r="29" spans="1:11" x14ac:dyDescent="0.35">
      <c r="A29" s="11" t="s">
        <v>3051</v>
      </c>
      <c r="B29" s="21">
        <v>45588</v>
      </c>
      <c r="C29" s="12" t="s">
        <v>383</v>
      </c>
      <c r="D29" s="12" t="s">
        <v>3006</v>
      </c>
      <c r="E29" s="12" t="s">
        <v>798</v>
      </c>
      <c r="F29" s="12" t="s">
        <v>3008</v>
      </c>
      <c r="G29" s="12" t="s">
        <v>963</v>
      </c>
      <c r="H29" s="12" t="s">
        <v>2991</v>
      </c>
      <c r="I29" s="12">
        <v>91.98</v>
      </c>
      <c r="J29" s="12"/>
      <c r="K29" s="12" t="s">
        <v>3000</v>
      </c>
    </row>
    <row r="30" spans="1:11" x14ac:dyDescent="0.35">
      <c r="A30" s="13" t="s">
        <v>3052</v>
      </c>
      <c r="B30" s="22">
        <v>46024</v>
      </c>
      <c r="C30" s="14" t="s">
        <v>443</v>
      </c>
      <c r="D30" s="14" t="s">
        <v>3006</v>
      </c>
      <c r="E30" s="14" t="s">
        <v>786</v>
      </c>
      <c r="F30" s="14" t="s">
        <v>2995</v>
      </c>
      <c r="G30" s="14" t="s">
        <v>869</v>
      </c>
      <c r="H30" s="14" t="s">
        <v>2991</v>
      </c>
      <c r="I30" s="14">
        <v>77.63</v>
      </c>
      <c r="J30" s="14"/>
      <c r="K30" s="14" t="s">
        <v>3038</v>
      </c>
    </row>
    <row r="31" spans="1:11" x14ac:dyDescent="0.35">
      <c r="A31" s="11" t="s">
        <v>3053</v>
      </c>
      <c r="B31" s="21">
        <v>45483</v>
      </c>
      <c r="C31" s="12" t="s">
        <v>542</v>
      </c>
      <c r="D31" s="12" t="s">
        <v>3017</v>
      </c>
      <c r="E31" s="12" t="s">
        <v>786</v>
      </c>
      <c r="F31" s="12" t="s">
        <v>787</v>
      </c>
      <c r="G31" s="12" t="s">
        <v>825</v>
      </c>
      <c r="H31" s="12" t="s">
        <v>3003</v>
      </c>
      <c r="I31" s="12">
        <v>47.46</v>
      </c>
      <c r="J31" s="12"/>
      <c r="K31" s="12" t="s">
        <v>3000</v>
      </c>
    </row>
    <row r="32" spans="1:11" x14ac:dyDescent="0.35">
      <c r="A32" s="13" t="s">
        <v>3054</v>
      </c>
      <c r="B32" s="22">
        <v>45771</v>
      </c>
      <c r="C32" s="14" t="s">
        <v>610</v>
      </c>
      <c r="D32" s="14" t="s">
        <v>650</v>
      </c>
      <c r="E32" s="14" t="s">
        <v>813</v>
      </c>
      <c r="F32" s="14" t="s">
        <v>2990</v>
      </c>
      <c r="G32" s="14" t="s">
        <v>3042</v>
      </c>
      <c r="H32" s="14" t="s">
        <v>2991</v>
      </c>
      <c r="I32" s="14">
        <v>25</v>
      </c>
      <c r="J32" s="22">
        <v>45783</v>
      </c>
      <c r="K32" s="14" t="s">
        <v>2992</v>
      </c>
    </row>
    <row r="33" spans="1:11" x14ac:dyDescent="0.35">
      <c r="A33" s="11" t="s">
        <v>3055</v>
      </c>
      <c r="B33" s="21">
        <v>45433</v>
      </c>
      <c r="C33" s="12" t="s">
        <v>546</v>
      </c>
      <c r="D33" s="12" t="s">
        <v>650</v>
      </c>
      <c r="E33" s="12" t="s">
        <v>813</v>
      </c>
      <c r="F33" s="12" t="s">
        <v>2995</v>
      </c>
      <c r="G33" s="12" t="s">
        <v>3056</v>
      </c>
      <c r="H33" s="12" t="s">
        <v>3003</v>
      </c>
      <c r="I33" s="12">
        <v>109.87</v>
      </c>
      <c r="J33" s="12"/>
      <c r="K33" s="12" t="s">
        <v>3038</v>
      </c>
    </row>
    <row r="34" spans="1:11" x14ac:dyDescent="0.35">
      <c r="A34" s="13" t="s">
        <v>3057</v>
      </c>
      <c r="B34" s="22">
        <v>45983</v>
      </c>
      <c r="C34" s="14" t="s">
        <v>600</v>
      </c>
      <c r="D34" s="14" t="s">
        <v>3006</v>
      </c>
      <c r="E34" s="14" t="s">
        <v>786</v>
      </c>
      <c r="F34" s="14" t="s">
        <v>3008</v>
      </c>
      <c r="G34" s="14" t="s">
        <v>3058</v>
      </c>
      <c r="H34" s="14" t="s">
        <v>3003</v>
      </c>
      <c r="I34" s="14">
        <v>37.6</v>
      </c>
      <c r="J34" s="14"/>
      <c r="K34" s="14" t="s">
        <v>3004</v>
      </c>
    </row>
    <row r="35" spans="1:11" x14ac:dyDescent="0.35">
      <c r="A35" s="11" t="s">
        <v>3059</v>
      </c>
      <c r="B35" s="21">
        <v>45330</v>
      </c>
      <c r="C35" s="12" t="s">
        <v>279</v>
      </c>
      <c r="D35" s="12" t="s">
        <v>3002</v>
      </c>
      <c r="E35" s="12" t="s">
        <v>798</v>
      </c>
      <c r="F35" s="12" t="s">
        <v>2995</v>
      </c>
      <c r="G35" s="12" t="s">
        <v>3060</v>
      </c>
      <c r="H35" s="12" t="s">
        <v>2991</v>
      </c>
      <c r="I35" s="12">
        <v>47.66</v>
      </c>
      <c r="J35" s="12"/>
      <c r="K35" s="12" t="s">
        <v>2992</v>
      </c>
    </row>
    <row r="36" spans="1:11" x14ac:dyDescent="0.35">
      <c r="A36" s="13" t="s">
        <v>3061</v>
      </c>
      <c r="B36" s="22">
        <v>45992</v>
      </c>
      <c r="C36" s="14" t="s">
        <v>380</v>
      </c>
      <c r="D36" s="14" t="s">
        <v>3012</v>
      </c>
      <c r="E36" s="14" t="s">
        <v>798</v>
      </c>
      <c r="F36" s="14" t="s">
        <v>2990</v>
      </c>
      <c r="G36" s="14" t="s">
        <v>3062</v>
      </c>
      <c r="H36" s="14" t="s">
        <v>2997</v>
      </c>
      <c r="I36" s="14">
        <v>72.25</v>
      </c>
      <c r="J36" s="22">
        <v>45995</v>
      </c>
      <c r="K36" s="14" t="s">
        <v>3048</v>
      </c>
    </row>
    <row r="37" spans="1:11" x14ac:dyDescent="0.35">
      <c r="A37" s="11" t="s">
        <v>3063</v>
      </c>
      <c r="B37" s="21">
        <v>45944</v>
      </c>
      <c r="C37" s="12" t="s">
        <v>526</v>
      </c>
      <c r="D37" s="12" t="s">
        <v>2994</v>
      </c>
      <c r="E37" s="12" t="s">
        <v>813</v>
      </c>
      <c r="F37" s="12" t="s">
        <v>2990</v>
      </c>
      <c r="G37" s="12" t="s">
        <v>3064</v>
      </c>
      <c r="H37" s="12" t="s">
        <v>3003</v>
      </c>
      <c r="I37" s="12">
        <v>29.75</v>
      </c>
      <c r="J37" s="21">
        <v>45945</v>
      </c>
      <c r="K37" s="12" t="s">
        <v>2998</v>
      </c>
    </row>
    <row r="38" spans="1:11" x14ac:dyDescent="0.35">
      <c r="A38" s="13" t="s">
        <v>3065</v>
      </c>
      <c r="B38" s="22">
        <v>45601</v>
      </c>
      <c r="C38" s="14" t="s">
        <v>396</v>
      </c>
      <c r="D38" s="14" t="s">
        <v>2994</v>
      </c>
      <c r="E38" s="14" t="s">
        <v>798</v>
      </c>
      <c r="F38" s="14" t="s">
        <v>2990</v>
      </c>
      <c r="G38" s="14" t="s">
        <v>3066</v>
      </c>
      <c r="H38" s="14" t="s">
        <v>2997</v>
      </c>
      <c r="I38" s="14">
        <v>27.94</v>
      </c>
      <c r="J38" s="22">
        <v>45603</v>
      </c>
      <c r="K38" s="14" t="s">
        <v>3020</v>
      </c>
    </row>
    <row r="39" spans="1:11" x14ac:dyDescent="0.35">
      <c r="A39" s="11" t="s">
        <v>3067</v>
      </c>
      <c r="B39" s="21">
        <v>45360</v>
      </c>
      <c r="C39" s="12" t="s">
        <v>445</v>
      </c>
      <c r="D39" s="12" t="s">
        <v>3017</v>
      </c>
      <c r="E39" s="12" t="s">
        <v>813</v>
      </c>
      <c r="F39" s="12" t="s">
        <v>2990</v>
      </c>
      <c r="G39" s="12" t="s">
        <v>3066</v>
      </c>
      <c r="H39" s="12" t="s">
        <v>623</v>
      </c>
      <c r="I39" s="12">
        <v>32.68</v>
      </c>
      <c r="J39" s="21">
        <v>45361</v>
      </c>
      <c r="K39" s="12" t="s">
        <v>3004</v>
      </c>
    </row>
    <row r="40" spans="1:11" x14ac:dyDescent="0.35">
      <c r="A40" s="13" t="s">
        <v>3068</v>
      </c>
      <c r="B40" s="22">
        <v>45950</v>
      </c>
      <c r="C40" s="14" t="s">
        <v>544</v>
      </c>
      <c r="D40" s="14" t="s">
        <v>3017</v>
      </c>
      <c r="E40" s="14" t="s">
        <v>798</v>
      </c>
      <c r="F40" s="14" t="s">
        <v>2990</v>
      </c>
      <c r="G40" s="14" t="s">
        <v>825</v>
      </c>
      <c r="H40" s="14" t="s">
        <v>2997</v>
      </c>
      <c r="I40" s="14">
        <v>31.32</v>
      </c>
      <c r="J40" s="22">
        <v>45961</v>
      </c>
      <c r="K40" s="14" t="s">
        <v>3038</v>
      </c>
    </row>
    <row r="41" spans="1:11" x14ac:dyDescent="0.35">
      <c r="A41" s="11" t="s">
        <v>3069</v>
      </c>
      <c r="B41" s="21">
        <v>45386</v>
      </c>
      <c r="C41" s="12" t="s">
        <v>404</v>
      </c>
      <c r="D41" s="12" t="s">
        <v>3017</v>
      </c>
      <c r="E41" s="12" t="s">
        <v>786</v>
      </c>
      <c r="F41" s="12" t="s">
        <v>2990</v>
      </c>
      <c r="G41" s="12" t="s">
        <v>3070</v>
      </c>
      <c r="H41" s="12" t="s">
        <v>3003</v>
      </c>
      <c r="I41" s="12">
        <v>28.28</v>
      </c>
      <c r="J41" s="21">
        <v>45387</v>
      </c>
      <c r="K41" s="12" t="s">
        <v>3000</v>
      </c>
    </row>
    <row r="42" spans="1:11" x14ac:dyDescent="0.35">
      <c r="A42" s="13" t="s">
        <v>3071</v>
      </c>
      <c r="B42" s="22">
        <v>45493</v>
      </c>
      <c r="C42" s="14" t="s">
        <v>239</v>
      </c>
      <c r="D42" s="14" t="s">
        <v>650</v>
      </c>
      <c r="E42" s="14" t="s">
        <v>786</v>
      </c>
      <c r="F42" s="14" t="s">
        <v>2995</v>
      </c>
      <c r="G42" s="14" t="s">
        <v>3023</v>
      </c>
      <c r="H42" s="14" t="s">
        <v>2991</v>
      </c>
      <c r="I42" s="14">
        <v>54.3</v>
      </c>
      <c r="J42" s="14"/>
      <c r="K42" s="14" t="s">
        <v>3010</v>
      </c>
    </row>
    <row r="43" spans="1:11" x14ac:dyDescent="0.35">
      <c r="A43" s="11" t="s">
        <v>3072</v>
      </c>
      <c r="B43" s="21">
        <v>45915</v>
      </c>
      <c r="C43" s="12" t="s">
        <v>332</v>
      </c>
      <c r="D43" s="12" t="s">
        <v>3017</v>
      </c>
      <c r="E43" s="12" t="s">
        <v>786</v>
      </c>
      <c r="F43" s="12" t="s">
        <v>2990</v>
      </c>
      <c r="G43" s="12" t="s">
        <v>810</v>
      </c>
      <c r="H43" s="12" t="s">
        <v>623</v>
      </c>
      <c r="I43" s="12">
        <v>61.99</v>
      </c>
      <c r="J43" s="21">
        <v>45919</v>
      </c>
      <c r="K43" s="12" t="s">
        <v>3004</v>
      </c>
    </row>
    <row r="44" spans="1:11" x14ac:dyDescent="0.35">
      <c r="A44" s="13" t="s">
        <v>3073</v>
      </c>
      <c r="B44" s="22">
        <v>45412</v>
      </c>
      <c r="C44" s="14" t="s">
        <v>583</v>
      </c>
      <c r="D44" s="14" t="s">
        <v>3012</v>
      </c>
      <c r="E44" s="14" t="s">
        <v>813</v>
      </c>
      <c r="F44" s="14" t="s">
        <v>3008</v>
      </c>
      <c r="G44" s="14" t="s">
        <v>888</v>
      </c>
      <c r="H44" s="14" t="s">
        <v>623</v>
      </c>
      <c r="I44" s="14">
        <v>35.96</v>
      </c>
      <c r="J44" s="14"/>
      <c r="K44" s="14" t="s">
        <v>3010</v>
      </c>
    </row>
    <row r="45" spans="1:11" x14ac:dyDescent="0.35">
      <c r="A45" s="11" t="s">
        <v>3074</v>
      </c>
      <c r="B45" s="21">
        <v>45912</v>
      </c>
      <c r="C45" s="12" t="s">
        <v>304</v>
      </c>
      <c r="D45" s="12" t="s">
        <v>3012</v>
      </c>
      <c r="E45" s="12" t="s">
        <v>798</v>
      </c>
      <c r="F45" s="12" t="s">
        <v>787</v>
      </c>
      <c r="G45" s="12" t="s">
        <v>834</v>
      </c>
      <c r="H45" s="12" t="s">
        <v>2991</v>
      </c>
      <c r="I45" s="12">
        <v>56.54</v>
      </c>
      <c r="J45" s="12"/>
      <c r="K45" s="12" t="s">
        <v>3010</v>
      </c>
    </row>
    <row r="46" spans="1:11" x14ac:dyDescent="0.35">
      <c r="A46" s="13" t="s">
        <v>3075</v>
      </c>
      <c r="B46" s="22">
        <v>45424</v>
      </c>
      <c r="C46" s="14" t="s">
        <v>368</v>
      </c>
      <c r="D46" s="14" t="s">
        <v>3006</v>
      </c>
      <c r="E46" s="14" t="s">
        <v>786</v>
      </c>
      <c r="F46" s="14" t="s">
        <v>2990</v>
      </c>
      <c r="G46" s="14" t="s">
        <v>819</v>
      </c>
      <c r="H46" s="14" t="s">
        <v>3003</v>
      </c>
      <c r="I46" s="14">
        <v>25</v>
      </c>
      <c r="J46" s="22">
        <v>45436</v>
      </c>
      <c r="K46" s="14" t="s">
        <v>2992</v>
      </c>
    </row>
    <row r="47" spans="1:11" x14ac:dyDescent="0.35">
      <c r="A47" s="11" t="s">
        <v>3076</v>
      </c>
      <c r="B47" s="21">
        <v>45969</v>
      </c>
      <c r="C47" s="12" t="s">
        <v>431</v>
      </c>
      <c r="D47" s="12" t="s">
        <v>650</v>
      </c>
      <c r="E47" s="12" t="s">
        <v>798</v>
      </c>
      <c r="F47" s="12" t="s">
        <v>3013</v>
      </c>
      <c r="G47" s="12" t="s">
        <v>3077</v>
      </c>
      <c r="H47" s="12" t="s">
        <v>3003</v>
      </c>
      <c r="I47" s="12">
        <v>65.09</v>
      </c>
      <c r="J47" s="21">
        <v>45970</v>
      </c>
      <c r="K47" s="12" t="s">
        <v>2998</v>
      </c>
    </row>
    <row r="48" spans="1:11" x14ac:dyDescent="0.35">
      <c r="A48" s="13" t="s">
        <v>3078</v>
      </c>
      <c r="B48" s="22">
        <v>45877</v>
      </c>
      <c r="C48" s="14" t="s">
        <v>373</v>
      </c>
      <c r="D48" s="14" t="s">
        <v>2994</v>
      </c>
      <c r="E48" s="14" t="s">
        <v>786</v>
      </c>
      <c r="F48" s="14" t="s">
        <v>3008</v>
      </c>
      <c r="G48" s="14" t="s">
        <v>819</v>
      </c>
      <c r="H48" s="14" t="s">
        <v>3003</v>
      </c>
      <c r="I48" s="14">
        <v>56.85</v>
      </c>
      <c r="J48" s="14"/>
      <c r="K48" s="14" t="s">
        <v>3020</v>
      </c>
    </row>
    <row r="49" spans="1:11" x14ac:dyDescent="0.35">
      <c r="A49" s="11" t="s">
        <v>3079</v>
      </c>
      <c r="B49" s="21">
        <v>45958</v>
      </c>
      <c r="C49" s="12" t="s">
        <v>439</v>
      </c>
      <c r="D49" s="12" t="s">
        <v>3002</v>
      </c>
      <c r="E49" s="12" t="s">
        <v>798</v>
      </c>
      <c r="F49" s="12" t="s">
        <v>787</v>
      </c>
      <c r="G49" s="12" t="s">
        <v>859</v>
      </c>
      <c r="H49" s="12" t="s">
        <v>3003</v>
      </c>
      <c r="I49" s="12">
        <v>105.08</v>
      </c>
      <c r="J49" s="12"/>
      <c r="K49" s="12" t="s">
        <v>3010</v>
      </c>
    </row>
    <row r="50" spans="1:11" x14ac:dyDescent="0.35">
      <c r="A50" s="13" t="s">
        <v>3080</v>
      </c>
      <c r="B50" s="22">
        <v>45384</v>
      </c>
      <c r="C50" s="14" t="s">
        <v>417</v>
      </c>
      <c r="D50" s="14" t="s">
        <v>3006</v>
      </c>
      <c r="E50" s="14" t="s">
        <v>798</v>
      </c>
      <c r="F50" s="14" t="s">
        <v>2990</v>
      </c>
      <c r="G50" s="14" t="s">
        <v>3081</v>
      </c>
      <c r="H50" s="14" t="s">
        <v>3003</v>
      </c>
      <c r="I50" s="14">
        <v>68.34</v>
      </c>
      <c r="J50" s="22">
        <v>45390</v>
      </c>
      <c r="K50" s="14" t="s">
        <v>3038</v>
      </c>
    </row>
    <row r="51" spans="1:11" x14ac:dyDescent="0.35">
      <c r="A51" s="11" t="s">
        <v>3082</v>
      </c>
      <c r="B51" s="21">
        <v>45882</v>
      </c>
      <c r="C51" s="12" t="s">
        <v>439</v>
      </c>
      <c r="D51" s="12" t="s">
        <v>3002</v>
      </c>
      <c r="E51" s="12" t="s">
        <v>813</v>
      </c>
      <c r="F51" s="12" t="s">
        <v>787</v>
      </c>
      <c r="G51" s="12" t="s">
        <v>859</v>
      </c>
      <c r="H51" s="12" t="s">
        <v>2991</v>
      </c>
      <c r="I51" s="12">
        <v>75.59</v>
      </c>
      <c r="J51" s="12"/>
      <c r="K51" s="12" t="s">
        <v>3004</v>
      </c>
    </row>
    <row r="52" spans="1:11" x14ac:dyDescent="0.35">
      <c r="A52" s="13" t="s">
        <v>3083</v>
      </c>
      <c r="B52" s="22">
        <v>45309</v>
      </c>
      <c r="C52" s="14" t="s">
        <v>408</v>
      </c>
      <c r="D52" s="14" t="s">
        <v>3017</v>
      </c>
      <c r="E52" s="14" t="s">
        <v>798</v>
      </c>
      <c r="F52" s="14" t="s">
        <v>3008</v>
      </c>
      <c r="G52" s="14" t="s">
        <v>3035</v>
      </c>
      <c r="H52" s="14" t="s">
        <v>2991</v>
      </c>
      <c r="I52" s="14">
        <v>35.85</v>
      </c>
      <c r="J52" s="14"/>
      <c r="K52" s="14" t="s">
        <v>3010</v>
      </c>
    </row>
    <row r="53" spans="1:11" x14ac:dyDescent="0.35">
      <c r="A53" s="11" t="s">
        <v>3084</v>
      </c>
      <c r="B53" s="21">
        <v>46051</v>
      </c>
      <c r="C53" s="12" t="s">
        <v>602</v>
      </c>
      <c r="D53" s="12" t="s">
        <v>3012</v>
      </c>
      <c r="E53" s="12" t="s">
        <v>786</v>
      </c>
      <c r="F53" s="12" t="s">
        <v>3013</v>
      </c>
      <c r="G53" s="12" t="s">
        <v>3085</v>
      </c>
      <c r="H53" s="12" t="s">
        <v>2997</v>
      </c>
      <c r="I53" s="12">
        <v>25</v>
      </c>
      <c r="J53" s="21">
        <v>46054</v>
      </c>
      <c r="K53" s="12" t="s">
        <v>3000</v>
      </c>
    </row>
    <row r="54" spans="1:11" x14ac:dyDescent="0.35">
      <c r="A54" s="13" t="s">
        <v>3086</v>
      </c>
      <c r="B54" s="22">
        <v>45800</v>
      </c>
      <c r="C54" s="14" t="s">
        <v>253</v>
      </c>
      <c r="D54" s="14" t="s">
        <v>3006</v>
      </c>
      <c r="E54" s="14" t="s">
        <v>786</v>
      </c>
      <c r="F54" s="14" t="s">
        <v>2995</v>
      </c>
      <c r="G54" s="14" t="s">
        <v>3087</v>
      </c>
      <c r="H54" s="14" t="s">
        <v>2997</v>
      </c>
      <c r="I54" s="14">
        <v>54.09</v>
      </c>
      <c r="J54" s="14"/>
      <c r="K54" s="14" t="s">
        <v>3048</v>
      </c>
    </row>
    <row r="55" spans="1:11" x14ac:dyDescent="0.35">
      <c r="A55" s="11" t="s">
        <v>3088</v>
      </c>
      <c r="B55" s="21">
        <v>45726</v>
      </c>
      <c r="C55" s="12" t="s">
        <v>450</v>
      </c>
      <c r="D55" s="12" t="s">
        <v>650</v>
      </c>
      <c r="E55" s="12" t="s">
        <v>786</v>
      </c>
      <c r="F55" s="12" t="s">
        <v>3008</v>
      </c>
      <c r="G55" s="12" t="s">
        <v>3089</v>
      </c>
      <c r="H55" s="12" t="s">
        <v>3003</v>
      </c>
      <c r="I55" s="12">
        <v>25</v>
      </c>
      <c r="J55" s="12"/>
      <c r="K55" s="12" t="s">
        <v>3048</v>
      </c>
    </row>
    <row r="56" spans="1:11" x14ac:dyDescent="0.35">
      <c r="A56" s="13" t="s">
        <v>3090</v>
      </c>
      <c r="B56" s="22">
        <v>45319</v>
      </c>
      <c r="C56" s="14" t="s">
        <v>404</v>
      </c>
      <c r="D56" s="14" t="s">
        <v>3006</v>
      </c>
      <c r="E56" s="14" t="s">
        <v>798</v>
      </c>
      <c r="F56" s="14" t="s">
        <v>2990</v>
      </c>
      <c r="G56" s="14" t="s">
        <v>3030</v>
      </c>
      <c r="H56" s="14" t="s">
        <v>3003</v>
      </c>
      <c r="I56" s="14">
        <v>56.51</v>
      </c>
      <c r="J56" s="22">
        <v>45327</v>
      </c>
      <c r="K56" s="14" t="s">
        <v>3038</v>
      </c>
    </row>
    <row r="57" spans="1:11" x14ac:dyDescent="0.35">
      <c r="A57" s="11" t="s">
        <v>3091</v>
      </c>
      <c r="B57" s="21">
        <v>45724</v>
      </c>
      <c r="C57" s="12" t="s">
        <v>338</v>
      </c>
      <c r="D57" s="12" t="s">
        <v>3002</v>
      </c>
      <c r="E57" s="12" t="s">
        <v>798</v>
      </c>
      <c r="F57" s="12" t="s">
        <v>2995</v>
      </c>
      <c r="G57" s="12" t="s">
        <v>3092</v>
      </c>
      <c r="H57" s="12" t="s">
        <v>2991</v>
      </c>
      <c r="I57" s="12">
        <v>72.98</v>
      </c>
      <c r="J57" s="12"/>
      <c r="K57" s="12" t="s">
        <v>2998</v>
      </c>
    </row>
    <row r="58" spans="1:11" x14ac:dyDescent="0.35">
      <c r="A58" s="13" t="s">
        <v>3093</v>
      </c>
      <c r="B58" s="22">
        <v>45353</v>
      </c>
      <c r="C58" s="14" t="s">
        <v>360</v>
      </c>
      <c r="D58" s="14" t="s">
        <v>650</v>
      </c>
      <c r="E58" s="14" t="s">
        <v>798</v>
      </c>
      <c r="F58" s="14" t="s">
        <v>2995</v>
      </c>
      <c r="G58" s="14" t="s">
        <v>834</v>
      </c>
      <c r="H58" s="14" t="s">
        <v>2991</v>
      </c>
      <c r="I58" s="14">
        <v>51.21</v>
      </c>
      <c r="J58" s="14"/>
      <c r="K58" s="14" t="s">
        <v>3015</v>
      </c>
    </row>
    <row r="59" spans="1:11" x14ac:dyDescent="0.35">
      <c r="A59" s="11" t="s">
        <v>3094</v>
      </c>
      <c r="B59" s="21">
        <v>45896</v>
      </c>
      <c r="C59" s="12" t="s">
        <v>258</v>
      </c>
      <c r="D59" s="12" t="s">
        <v>2994</v>
      </c>
      <c r="E59" s="12" t="s">
        <v>786</v>
      </c>
      <c r="F59" s="12" t="s">
        <v>787</v>
      </c>
      <c r="G59" s="12" t="s">
        <v>859</v>
      </c>
      <c r="H59" s="12" t="s">
        <v>623</v>
      </c>
      <c r="I59" s="12">
        <v>30.34</v>
      </c>
      <c r="J59" s="12"/>
      <c r="K59" s="12" t="s">
        <v>2992</v>
      </c>
    </row>
    <row r="60" spans="1:11" x14ac:dyDescent="0.35">
      <c r="A60" s="13" t="s">
        <v>3095</v>
      </c>
      <c r="B60" s="22">
        <v>45619</v>
      </c>
      <c r="C60" s="14" t="s">
        <v>404</v>
      </c>
      <c r="D60" s="14" t="s">
        <v>3017</v>
      </c>
      <c r="E60" s="14" t="s">
        <v>798</v>
      </c>
      <c r="F60" s="14" t="s">
        <v>2990</v>
      </c>
      <c r="G60" s="14" t="s">
        <v>839</v>
      </c>
      <c r="H60" s="14" t="s">
        <v>3003</v>
      </c>
      <c r="I60" s="14">
        <v>154.29</v>
      </c>
      <c r="J60" s="22">
        <v>45631</v>
      </c>
      <c r="K60" s="14" t="s">
        <v>2998</v>
      </c>
    </row>
    <row r="61" spans="1:11" x14ac:dyDescent="0.35">
      <c r="A61" s="11" t="s">
        <v>3096</v>
      </c>
      <c r="B61" s="21">
        <v>45325</v>
      </c>
      <c r="C61" s="12" t="s">
        <v>383</v>
      </c>
      <c r="D61" s="12" t="s">
        <v>3006</v>
      </c>
      <c r="E61" s="12" t="s">
        <v>786</v>
      </c>
      <c r="F61" s="12" t="s">
        <v>2990</v>
      </c>
      <c r="G61" s="12" t="s">
        <v>3097</v>
      </c>
      <c r="H61" s="12" t="s">
        <v>2991</v>
      </c>
      <c r="I61" s="12">
        <v>45.87</v>
      </c>
      <c r="J61" s="21">
        <v>45335</v>
      </c>
      <c r="K61" s="12" t="s">
        <v>3020</v>
      </c>
    </row>
    <row r="62" spans="1:11" x14ac:dyDescent="0.35">
      <c r="A62" s="13" t="s">
        <v>3098</v>
      </c>
      <c r="B62" s="22">
        <v>45669</v>
      </c>
      <c r="C62" s="14" t="s">
        <v>478</v>
      </c>
      <c r="D62" s="14" t="s">
        <v>3002</v>
      </c>
      <c r="E62" s="14" t="s">
        <v>798</v>
      </c>
      <c r="F62" s="14" t="s">
        <v>3008</v>
      </c>
      <c r="G62" s="14" t="s">
        <v>825</v>
      </c>
      <c r="H62" s="14" t="s">
        <v>2997</v>
      </c>
      <c r="I62" s="14">
        <v>99.59</v>
      </c>
      <c r="J62" s="14"/>
      <c r="K62" s="14" t="s">
        <v>2992</v>
      </c>
    </row>
    <row r="63" spans="1:11" x14ac:dyDescent="0.35">
      <c r="A63" s="11" t="s">
        <v>3099</v>
      </c>
      <c r="B63" s="21">
        <v>45583</v>
      </c>
      <c r="C63" s="12" t="s">
        <v>478</v>
      </c>
      <c r="D63" s="12" t="s">
        <v>3017</v>
      </c>
      <c r="E63" s="12" t="s">
        <v>813</v>
      </c>
      <c r="F63" s="12" t="s">
        <v>3008</v>
      </c>
      <c r="G63" s="12" t="s">
        <v>3100</v>
      </c>
      <c r="H63" s="12" t="s">
        <v>3003</v>
      </c>
      <c r="I63" s="12">
        <v>138</v>
      </c>
      <c r="J63" s="12"/>
      <c r="K63" s="12" t="s">
        <v>2998</v>
      </c>
    </row>
    <row r="64" spans="1:11" x14ac:dyDescent="0.35">
      <c r="A64" s="13" t="s">
        <v>3101</v>
      </c>
      <c r="B64" s="22">
        <v>45764</v>
      </c>
      <c r="C64" s="14" t="s">
        <v>484</v>
      </c>
      <c r="D64" s="14" t="s">
        <v>3006</v>
      </c>
      <c r="E64" s="14" t="s">
        <v>786</v>
      </c>
      <c r="F64" s="14" t="s">
        <v>2995</v>
      </c>
      <c r="G64" s="14" t="s">
        <v>3102</v>
      </c>
      <c r="H64" s="14" t="s">
        <v>623</v>
      </c>
      <c r="I64" s="14">
        <v>118.42</v>
      </c>
      <c r="J64" s="14"/>
      <c r="K64" s="14" t="s">
        <v>3038</v>
      </c>
    </row>
    <row r="65" spans="1:11" x14ac:dyDescent="0.35">
      <c r="A65" s="11" t="s">
        <v>3103</v>
      </c>
      <c r="B65" s="21">
        <v>45504</v>
      </c>
      <c r="C65" s="12" t="s">
        <v>261</v>
      </c>
      <c r="D65" s="12" t="s">
        <v>3012</v>
      </c>
      <c r="E65" s="12" t="s">
        <v>798</v>
      </c>
      <c r="F65" s="12" t="s">
        <v>2995</v>
      </c>
      <c r="G65" s="12" t="s">
        <v>3104</v>
      </c>
      <c r="H65" s="12" t="s">
        <v>2991</v>
      </c>
      <c r="I65" s="12">
        <v>81.93</v>
      </c>
      <c r="J65" s="12"/>
      <c r="K65" s="12" t="s">
        <v>3015</v>
      </c>
    </row>
    <row r="66" spans="1:11" x14ac:dyDescent="0.35">
      <c r="A66" s="13" t="s">
        <v>3105</v>
      </c>
      <c r="B66" s="22">
        <v>45574</v>
      </c>
      <c r="C66" s="14" t="s">
        <v>287</v>
      </c>
      <c r="D66" s="14" t="s">
        <v>3006</v>
      </c>
      <c r="E66" s="14" t="s">
        <v>786</v>
      </c>
      <c r="F66" s="14" t="s">
        <v>3008</v>
      </c>
      <c r="G66" s="14" t="s">
        <v>3064</v>
      </c>
      <c r="H66" s="14" t="s">
        <v>623</v>
      </c>
      <c r="I66" s="14">
        <v>155.54</v>
      </c>
      <c r="J66" s="14"/>
      <c r="K66" s="14" t="s">
        <v>3024</v>
      </c>
    </row>
    <row r="67" spans="1:11" x14ac:dyDescent="0.35">
      <c r="A67" s="11" t="s">
        <v>3106</v>
      </c>
      <c r="B67" s="21">
        <v>45391</v>
      </c>
      <c r="C67" s="12" t="s">
        <v>598</v>
      </c>
      <c r="D67" s="12" t="s">
        <v>3012</v>
      </c>
      <c r="E67" s="12" t="s">
        <v>786</v>
      </c>
      <c r="F67" s="12" t="s">
        <v>787</v>
      </c>
      <c r="G67" s="12" t="s">
        <v>825</v>
      </c>
      <c r="H67" s="12" t="s">
        <v>623</v>
      </c>
      <c r="I67" s="12">
        <v>67.739999999999995</v>
      </c>
      <c r="J67" s="12"/>
      <c r="K67" s="12" t="s">
        <v>3010</v>
      </c>
    </row>
    <row r="68" spans="1:11" x14ac:dyDescent="0.35">
      <c r="A68" s="13" t="s">
        <v>3107</v>
      </c>
      <c r="B68" s="22">
        <v>45642</v>
      </c>
      <c r="C68" s="14" t="s">
        <v>484</v>
      </c>
      <c r="D68" s="14" t="s">
        <v>3006</v>
      </c>
      <c r="E68" s="14" t="s">
        <v>786</v>
      </c>
      <c r="F68" s="14" t="s">
        <v>3008</v>
      </c>
      <c r="G68" s="14" t="s">
        <v>3064</v>
      </c>
      <c r="H68" s="14" t="s">
        <v>2991</v>
      </c>
      <c r="I68" s="14">
        <v>99.93</v>
      </c>
      <c r="J68" s="14"/>
      <c r="K68" s="14" t="s">
        <v>3020</v>
      </c>
    </row>
    <row r="69" spans="1:11" x14ac:dyDescent="0.35">
      <c r="A69" s="11" t="s">
        <v>3108</v>
      </c>
      <c r="B69" s="21">
        <v>45396</v>
      </c>
      <c r="C69" s="12" t="s">
        <v>383</v>
      </c>
      <c r="D69" s="12" t="s">
        <v>3006</v>
      </c>
      <c r="E69" s="12" t="s">
        <v>786</v>
      </c>
      <c r="F69" s="12" t="s">
        <v>3008</v>
      </c>
      <c r="G69" s="12" t="s">
        <v>834</v>
      </c>
      <c r="H69" s="12" t="s">
        <v>623</v>
      </c>
      <c r="I69" s="12">
        <v>61.99</v>
      </c>
      <c r="J69" s="12"/>
      <c r="K69" s="12" t="s">
        <v>2998</v>
      </c>
    </row>
    <row r="70" spans="1:11" x14ac:dyDescent="0.35">
      <c r="A70" s="13" t="s">
        <v>3109</v>
      </c>
      <c r="B70" s="22">
        <v>45661</v>
      </c>
      <c r="C70" s="14" t="s">
        <v>484</v>
      </c>
      <c r="D70" s="14" t="s">
        <v>3002</v>
      </c>
      <c r="E70" s="14" t="s">
        <v>786</v>
      </c>
      <c r="F70" s="14" t="s">
        <v>3008</v>
      </c>
      <c r="G70" s="14" t="s">
        <v>3097</v>
      </c>
      <c r="H70" s="14" t="s">
        <v>3003</v>
      </c>
      <c r="I70" s="14">
        <v>32.76</v>
      </c>
      <c r="J70" s="14"/>
      <c r="K70" s="14" t="s">
        <v>3010</v>
      </c>
    </row>
    <row r="71" spans="1:11" x14ac:dyDescent="0.35">
      <c r="A71" s="11" t="s">
        <v>3110</v>
      </c>
      <c r="B71" s="21">
        <v>46012</v>
      </c>
      <c r="C71" s="12" t="s">
        <v>375</v>
      </c>
      <c r="D71" s="12" t="s">
        <v>3006</v>
      </c>
      <c r="E71" s="12" t="s">
        <v>786</v>
      </c>
      <c r="F71" s="12" t="s">
        <v>2995</v>
      </c>
      <c r="G71" s="12" t="s">
        <v>3035</v>
      </c>
      <c r="H71" s="12" t="s">
        <v>2997</v>
      </c>
      <c r="I71" s="12">
        <v>60.96</v>
      </c>
      <c r="J71" s="12"/>
      <c r="K71" s="12" t="s">
        <v>3020</v>
      </c>
    </row>
    <row r="72" spans="1:11" x14ac:dyDescent="0.35">
      <c r="A72" s="13" t="s">
        <v>3111</v>
      </c>
      <c r="B72" s="22">
        <v>45728</v>
      </c>
      <c r="C72" s="14" t="s">
        <v>484</v>
      </c>
      <c r="D72" s="14" t="s">
        <v>2994</v>
      </c>
      <c r="E72" s="14" t="s">
        <v>798</v>
      </c>
      <c r="F72" s="14" t="s">
        <v>2995</v>
      </c>
      <c r="G72" s="14" t="s">
        <v>3023</v>
      </c>
      <c r="H72" s="14" t="s">
        <v>623</v>
      </c>
      <c r="I72" s="14">
        <v>25</v>
      </c>
      <c r="J72" s="14"/>
      <c r="K72" s="14" t="s">
        <v>3024</v>
      </c>
    </row>
    <row r="73" spans="1:11" x14ac:dyDescent="0.35">
      <c r="A73" s="11" t="s">
        <v>3112</v>
      </c>
      <c r="B73" s="21">
        <v>45297</v>
      </c>
      <c r="C73" s="12" t="s">
        <v>439</v>
      </c>
      <c r="D73" s="12" t="s">
        <v>3017</v>
      </c>
      <c r="E73" s="12" t="s">
        <v>813</v>
      </c>
      <c r="F73" s="12" t="s">
        <v>2990</v>
      </c>
      <c r="G73" s="12" t="s">
        <v>3077</v>
      </c>
      <c r="H73" s="12" t="s">
        <v>2991</v>
      </c>
      <c r="I73" s="12">
        <v>58.1</v>
      </c>
      <c r="J73" s="21">
        <v>45300</v>
      </c>
      <c r="K73" s="12" t="s">
        <v>3020</v>
      </c>
    </row>
    <row r="74" spans="1:11" x14ac:dyDescent="0.35">
      <c r="A74" s="13" t="s">
        <v>3113</v>
      </c>
      <c r="B74" s="22">
        <v>45552</v>
      </c>
      <c r="C74" s="14" t="s">
        <v>484</v>
      </c>
      <c r="D74" s="14" t="s">
        <v>2994</v>
      </c>
      <c r="E74" s="14" t="s">
        <v>786</v>
      </c>
      <c r="F74" s="14" t="s">
        <v>787</v>
      </c>
      <c r="G74" s="14" t="s">
        <v>814</v>
      </c>
      <c r="H74" s="14" t="s">
        <v>623</v>
      </c>
      <c r="I74" s="14">
        <v>43.65</v>
      </c>
      <c r="J74" s="14"/>
      <c r="K74" s="14" t="s">
        <v>3024</v>
      </c>
    </row>
    <row r="75" spans="1:11" x14ac:dyDescent="0.35">
      <c r="A75" s="11" t="s">
        <v>3114</v>
      </c>
      <c r="B75" s="21">
        <v>45538</v>
      </c>
      <c r="C75" s="12" t="s">
        <v>346</v>
      </c>
      <c r="D75" s="12" t="s">
        <v>3012</v>
      </c>
      <c r="E75" s="12" t="s">
        <v>798</v>
      </c>
      <c r="F75" s="12" t="s">
        <v>787</v>
      </c>
      <c r="G75" s="12" t="s">
        <v>3115</v>
      </c>
      <c r="H75" s="12" t="s">
        <v>2997</v>
      </c>
      <c r="I75" s="12">
        <v>92.85</v>
      </c>
      <c r="J75" s="12"/>
      <c r="K75" s="12" t="s">
        <v>3015</v>
      </c>
    </row>
    <row r="76" spans="1:11" x14ac:dyDescent="0.35">
      <c r="A76" s="13" t="s">
        <v>3116</v>
      </c>
      <c r="B76" s="22">
        <v>45716</v>
      </c>
      <c r="C76" s="14" t="s">
        <v>478</v>
      </c>
      <c r="D76" s="14" t="s">
        <v>3006</v>
      </c>
      <c r="E76" s="14" t="s">
        <v>786</v>
      </c>
      <c r="F76" s="14" t="s">
        <v>3008</v>
      </c>
      <c r="G76" s="14" t="s">
        <v>825</v>
      </c>
      <c r="H76" s="14" t="s">
        <v>623</v>
      </c>
      <c r="I76" s="14">
        <v>123.14</v>
      </c>
      <c r="J76" s="14"/>
      <c r="K76" s="14" t="s">
        <v>3010</v>
      </c>
    </row>
    <row r="77" spans="1:11" x14ac:dyDescent="0.35">
      <c r="A77" s="11" t="s">
        <v>3117</v>
      </c>
      <c r="B77" s="21">
        <v>45411</v>
      </c>
      <c r="C77" s="12" t="s">
        <v>282</v>
      </c>
      <c r="D77" s="12" t="s">
        <v>2994</v>
      </c>
      <c r="E77" s="12" t="s">
        <v>798</v>
      </c>
      <c r="F77" s="12" t="s">
        <v>2990</v>
      </c>
      <c r="G77" s="12" t="s">
        <v>3102</v>
      </c>
      <c r="H77" s="12" t="s">
        <v>2997</v>
      </c>
      <c r="I77" s="12">
        <v>28.63</v>
      </c>
      <c r="J77" s="21">
        <v>45412</v>
      </c>
      <c r="K77" s="12" t="s">
        <v>3038</v>
      </c>
    </row>
    <row r="78" spans="1:11" x14ac:dyDescent="0.35">
      <c r="A78" s="13" t="s">
        <v>3118</v>
      </c>
      <c r="B78" s="22">
        <v>45962</v>
      </c>
      <c r="C78" s="14" t="s">
        <v>287</v>
      </c>
      <c r="D78" s="14" t="s">
        <v>650</v>
      </c>
      <c r="E78" s="14" t="s">
        <v>786</v>
      </c>
      <c r="F78" s="14" t="s">
        <v>2990</v>
      </c>
      <c r="G78" s="14" t="s">
        <v>963</v>
      </c>
      <c r="H78" s="14" t="s">
        <v>623</v>
      </c>
      <c r="I78" s="14">
        <v>69.31</v>
      </c>
      <c r="J78" s="22">
        <v>45976</v>
      </c>
      <c r="K78" s="14" t="s">
        <v>3000</v>
      </c>
    </row>
    <row r="79" spans="1:11" x14ac:dyDescent="0.35">
      <c r="A79" s="11" t="s">
        <v>3119</v>
      </c>
      <c r="B79" s="21">
        <v>46008</v>
      </c>
      <c r="C79" s="12" t="s">
        <v>591</v>
      </c>
      <c r="D79" s="12" t="s">
        <v>3012</v>
      </c>
      <c r="E79" s="12" t="s">
        <v>798</v>
      </c>
      <c r="F79" s="12" t="s">
        <v>2995</v>
      </c>
      <c r="G79" s="12" t="s">
        <v>3120</v>
      </c>
      <c r="H79" s="12" t="s">
        <v>3003</v>
      </c>
      <c r="I79" s="12">
        <v>69.95</v>
      </c>
      <c r="J79" s="12"/>
      <c r="K79" s="12" t="s">
        <v>3010</v>
      </c>
    </row>
    <row r="80" spans="1:11" x14ac:dyDescent="0.35">
      <c r="A80" s="13" t="s">
        <v>3121</v>
      </c>
      <c r="B80" s="22">
        <v>45616</v>
      </c>
      <c r="C80" s="14" t="s">
        <v>365</v>
      </c>
      <c r="D80" s="14" t="s">
        <v>3006</v>
      </c>
      <c r="E80" s="14" t="s">
        <v>786</v>
      </c>
      <c r="F80" s="14" t="s">
        <v>2990</v>
      </c>
      <c r="G80" s="14" t="s">
        <v>3122</v>
      </c>
      <c r="H80" s="14" t="s">
        <v>2997</v>
      </c>
      <c r="I80" s="14">
        <v>120.99</v>
      </c>
      <c r="J80" s="22">
        <v>45627</v>
      </c>
      <c r="K80" s="14" t="s">
        <v>3000</v>
      </c>
    </row>
    <row r="81" spans="1:11" x14ac:dyDescent="0.35">
      <c r="A81" s="11" t="s">
        <v>3123</v>
      </c>
      <c r="B81" s="21">
        <v>45800</v>
      </c>
      <c r="C81" s="12" t="s">
        <v>441</v>
      </c>
      <c r="D81" s="12" t="s">
        <v>650</v>
      </c>
      <c r="E81" s="12" t="s">
        <v>786</v>
      </c>
      <c r="F81" s="12" t="s">
        <v>2995</v>
      </c>
      <c r="G81" s="12" t="s">
        <v>3019</v>
      </c>
      <c r="H81" s="12" t="s">
        <v>623</v>
      </c>
      <c r="I81" s="12">
        <v>93.66</v>
      </c>
      <c r="J81" s="12"/>
      <c r="K81" s="12" t="s">
        <v>3048</v>
      </c>
    </row>
    <row r="82" spans="1:11" x14ac:dyDescent="0.35">
      <c r="A82" s="13" t="s">
        <v>3124</v>
      </c>
      <c r="B82" s="22">
        <v>45766</v>
      </c>
      <c r="C82" s="14" t="s">
        <v>408</v>
      </c>
      <c r="D82" s="14" t="s">
        <v>2994</v>
      </c>
      <c r="E82" s="14" t="s">
        <v>798</v>
      </c>
      <c r="F82" s="14" t="s">
        <v>2990</v>
      </c>
      <c r="G82" s="14" t="s">
        <v>834</v>
      </c>
      <c r="H82" s="14" t="s">
        <v>2997</v>
      </c>
      <c r="I82" s="14">
        <v>106.98</v>
      </c>
      <c r="J82" s="22">
        <v>45768</v>
      </c>
      <c r="K82" s="14" t="s">
        <v>3015</v>
      </c>
    </row>
    <row r="83" spans="1:11" x14ac:dyDescent="0.35">
      <c r="A83" s="11" t="s">
        <v>3125</v>
      </c>
      <c r="B83" s="21">
        <v>45683</v>
      </c>
      <c r="C83" s="12" t="s">
        <v>245</v>
      </c>
      <c r="D83" s="12" t="s">
        <v>3017</v>
      </c>
      <c r="E83" s="12" t="s">
        <v>786</v>
      </c>
      <c r="F83" s="12" t="s">
        <v>3008</v>
      </c>
      <c r="G83" s="12" t="s">
        <v>3058</v>
      </c>
      <c r="H83" s="12" t="s">
        <v>2991</v>
      </c>
      <c r="I83" s="12">
        <v>69.05</v>
      </c>
      <c r="J83" s="12"/>
      <c r="K83" s="12" t="s">
        <v>3020</v>
      </c>
    </row>
    <row r="84" spans="1:11" x14ac:dyDescent="0.35">
      <c r="A84" s="13" t="s">
        <v>3126</v>
      </c>
      <c r="B84" s="22">
        <v>45876</v>
      </c>
      <c r="C84" s="14" t="s">
        <v>408</v>
      </c>
      <c r="D84" s="14" t="s">
        <v>3017</v>
      </c>
      <c r="E84" s="14" t="s">
        <v>786</v>
      </c>
      <c r="F84" s="14" t="s">
        <v>787</v>
      </c>
      <c r="G84" s="14" t="s">
        <v>3047</v>
      </c>
      <c r="H84" s="14" t="s">
        <v>2991</v>
      </c>
      <c r="I84" s="14">
        <v>26.4</v>
      </c>
      <c r="J84" s="14"/>
      <c r="K84" s="14" t="s">
        <v>3004</v>
      </c>
    </row>
    <row r="85" spans="1:11" x14ac:dyDescent="0.35">
      <c r="A85" s="11" t="s">
        <v>3127</v>
      </c>
      <c r="B85" s="21">
        <v>45507</v>
      </c>
      <c r="C85" s="12" t="s">
        <v>602</v>
      </c>
      <c r="D85" s="12" t="s">
        <v>3012</v>
      </c>
      <c r="E85" s="12" t="s">
        <v>813</v>
      </c>
      <c r="F85" s="12" t="s">
        <v>2990</v>
      </c>
      <c r="G85" s="12" t="s">
        <v>3128</v>
      </c>
      <c r="H85" s="12" t="s">
        <v>2997</v>
      </c>
      <c r="I85" s="12">
        <v>35.479999999999997</v>
      </c>
      <c r="J85" s="21">
        <v>45517</v>
      </c>
      <c r="K85" s="12" t="s">
        <v>3000</v>
      </c>
    </row>
    <row r="86" spans="1:11" x14ac:dyDescent="0.35">
      <c r="A86" s="13" t="s">
        <v>3129</v>
      </c>
      <c r="B86" s="22">
        <v>45408</v>
      </c>
      <c r="C86" s="14" t="s">
        <v>472</v>
      </c>
      <c r="D86" s="14" t="s">
        <v>2994</v>
      </c>
      <c r="E86" s="14" t="s">
        <v>798</v>
      </c>
      <c r="F86" s="14" t="s">
        <v>787</v>
      </c>
      <c r="G86" s="14" t="s">
        <v>794</v>
      </c>
      <c r="H86" s="14" t="s">
        <v>3003</v>
      </c>
      <c r="I86" s="14">
        <v>70.709999999999994</v>
      </c>
      <c r="J86" s="14"/>
      <c r="K86" s="14" t="s">
        <v>3015</v>
      </c>
    </row>
    <row r="87" spans="1:11" x14ac:dyDescent="0.35">
      <c r="A87" s="11" t="s">
        <v>3130</v>
      </c>
      <c r="B87" s="21">
        <v>45968</v>
      </c>
      <c r="C87" s="12" t="s">
        <v>346</v>
      </c>
      <c r="D87" s="12" t="s">
        <v>3006</v>
      </c>
      <c r="E87" s="12" t="s">
        <v>786</v>
      </c>
      <c r="F87" s="12" t="s">
        <v>787</v>
      </c>
      <c r="G87" s="12" t="s">
        <v>892</v>
      </c>
      <c r="H87" s="12" t="s">
        <v>3003</v>
      </c>
      <c r="I87" s="12">
        <v>25.61</v>
      </c>
      <c r="J87" s="12"/>
      <c r="K87" s="12" t="s">
        <v>3010</v>
      </c>
    </row>
    <row r="88" spans="1:11" x14ac:dyDescent="0.35">
      <c r="A88" s="13" t="s">
        <v>3131</v>
      </c>
      <c r="B88" s="22">
        <v>45383</v>
      </c>
      <c r="C88" s="14" t="s">
        <v>368</v>
      </c>
      <c r="D88" s="14" t="s">
        <v>3006</v>
      </c>
      <c r="E88" s="14" t="s">
        <v>798</v>
      </c>
      <c r="F88" s="14" t="s">
        <v>2990</v>
      </c>
      <c r="G88" s="14" t="s">
        <v>3030</v>
      </c>
      <c r="H88" s="14" t="s">
        <v>2997</v>
      </c>
      <c r="I88" s="14">
        <v>40.28</v>
      </c>
      <c r="J88" s="22">
        <v>45385</v>
      </c>
      <c r="K88" s="14" t="s">
        <v>3024</v>
      </c>
    </row>
    <row r="89" spans="1:11" x14ac:dyDescent="0.35">
      <c r="A89" s="11" t="s">
        <v>3132</v>
      </c>
      <c r="B89" s="21">
        <v>45377</v>
      </c>
      <c r="C89" s="12" t="s">
        <v>396</v>
      </c>
      <c r="D89" s="12" t="s">
        <v>3002</v>
      </c>
      <c r="E89" s="12" t="s">
        <v>798</v>
      </c>
      <c r="F89" s="12" t="s">
        <v>2990</v>
      </c>
      <c r="G89" s="12" t="s">
        <v>3066</v>
      </c>
      <c r="H89" s="12" t="s">
        <v>2991</v>
      </c>
      <c r="I89" s="12">
        <v>43.99</v>
      </c>
      <c r="J89" s="21">
        <v>45380</v>
      </c>
      <c r="K89" s="12" t="s">
        <v>3010</v>
      </c>
    </row>
    <row r="90" spans="1:11" x14ac:dyDescent="0.35">
      <c r="A90" s="13" t="s">
        <v>3133</v>
      </c>
      <c r="B90" s="22">
        <v>45377</v>
      </c>
      <c r="C90" s="14" t="s">
        <v>488</v>
      </c>
      <c r="D90" s="14" t="s">
        <v>3006</v>
      </c>
      <c r="E90" s="14" t="s">
        <v>798</v>
      </c>
      <c r="F90" s="14" t="s">
        <v>2995</v>
      </c>
      <c r="G90" s="14" t="s">
        <v>825</v>
      </c>
      <c r="H90" s="14" t="s">
        <v>2997</v>
      </c>
      <c r="I90" s="14">
        <v>51.36</v>
      </c>
      <c r="J90" s="14"/>
      <c r="K90" s="14" t="s">
        <v>3024</v>
      </c>
    </row>
    <row r="91" spans="1:11" x14ac:dyDescent="0.35">
      <c r="A91" s="11" t="s">
        <v>3134</v>
      </c>
      <c r="B91" s="21">
        <v>45323</v>
      </c>
      <c r="C91" s="12" t="s">
        <v>304</v>
      </c>
      <c r="D91" s="12" t="s">
        <v>650</v>
      </c>
      <c r="E91" s="12" t="s">
        <v>813</v>
      </c>
      <c r="F91" s="12" t="s">
        <v>3013</v>
      </c>
      <c r="G91" s="12" t="s">
        <v>1134</v>
      </c>
      <c r="H91" s="12" t="s">
        <v>3003</v>
      </c>
      <c r="I91" s="12">
        <v>68.930000000000007</v>
      </c>
      <c r="J91" s="21">
        <v>45326</v>
      </c>
      <c r="K91" s="12" t="s">
        <v>3010</v>
      </c>
    </row>
    <row r="92" spans="1:11" x14ac:dyDescent="0.35">
      <c r="A92" s="13" t="s">
        <v>3135</v>
      </c>
      <c r="B92" s="22">
        <v>45754</v>
      </c>
      <c r="C92" s="14" t="s">
        <v>450</v>
      </c>
      <c r="D92" s="14" t="s">
        <v>650</v>
      </c>
      <c r="E92" s="14" t="s">
        <v>786</v>
      </c>
      <c r="F92" s="14" t="s">
        <v>3013</v>
      </c>
      <c r="G92" s="14" t="s">
        <v>3066</v>
      </c>
      <c r="H92" s="14" t="s">
        <v>2991</v>
      </c>
      <c r="I92" s="14">
        <v>66.06</v>
      </c>
      <c r="J92" s="22">
        <v>45763</v>
      </c>
      <c r="K92" s="14" t="s">
        <v>2992</v>
      </c>
    </row>
    <row r="93" spans="1:11" x14ac:dyDescent="0.35">
      <c r="A93" s="11" t="s">
        <v>3136</v>
      </c>
      <c r="B93" s="21">
        <v>45740</v>
      </c>
      <c r="C93" s="12" t="s">
        <v>245</v>
      </c>
      <c r="D93" s="12" t="s">
        <v>650</v>
      </c>
      <c r="E93" s="12" t="s">
        <v>786</v>
      </c>
      <c r="F93" s="12" t="s">
        <v>2990</v>
      </c>
      <c r="G93" s="12" t="s">
        <v>794</v>
      </c>
      <c r="H93" s="12" t="s">
        <v>623</v>
      </c>
      <c r="I93" s="12">
        <v>78.83</v>
      </c>
      <c r="J93" s="21">
        <v>45747</v>
      </c>
      <c r="K93" s="12" t="s">
        <v>3020</v>
      </c>
    </row>
    <row r="94" spans="1:11" x14ac:dyDescent="0.35">
      <c r="A94" s="13" t="s">
        <v>3137</v>
      </c>
      <c r="B94" s="22">
        <v>45619</v>
      </c>
      <c r="C94" s="14" t="s">
        <v>447</v>
      </c>
      <c r="D94" s="14" t="s">
        <v>3012</v>
      </c>
      <c r="E94" s="14" t="s">
        <v>786</v>
      </c>
      <c r="F94" s="14" t="s">
        <v>2990</v>
      </c>
      <c r="G94" s="14" t="s">
        <v>3138</v>
      </c>
      <c r="H94" s="14" t="s">
        <v>2991</v>
      </c>
      <c r="I94" s="14">
        <v>31.36</v>
      </c>
      <c r="J94" s="22">
        <v>45629</v>
      </c>
      <c r="K94" s="14" t="s">
        <v>3010</v>
      </c>
    </row>
    <row r="95" spans="1:11" x14ac:dyDescent="0.35">
      <c r="A95" s="11" t="s">
        <v>3139</v>
      </c>
      <c r="B95" s="21">
        <v>45598</v>
      </c>
      <c r="C95" s="12" t="s">
        <v>304</v>
      </c>
      <c r="D95" s="12" t="s">
        <v>2994</v>
      </c>
      <c r="E95" s="12" t="s">
        <v>786</v>
      </c>
      <c r="F95" s="12" t="s">
        <v>2990</v>
      </c>
      <c r="G95" s="12" t="s">
        <v>834</v>
      </c>
      <c r="H95" s="12" t="s">
        <v>3003</v>
      </c>
      <c r="I95" s="12">
        <v>43.17</v>
      </c>
      <c r="J95" s="21">
        <v>45607</v>
      </c>
      <c r="K95" s="12" t="s">
        <v>3020</v>
      </c>
    </row>
    <row r="96" spans="1:11" x14ac:dyDescent="0.35">
      <c r="A96" s="13" t="s">
        <v>3140</v>
      </c>
      <c r="B96" s="22">
        <v>45982</v>
      </c>
      <c r="C96" s="14" t="s">
        <v>408</v>
      </c>
      <c r="D96" s="14" t="s">
        <v>3002</v>
      </c>
      <c r="E96" s="14" t="s">
        <v>798</v>
      </c>
      <c r="F96" s="14" t="s">
        <v>2990</v>
      </c>
      <c r="G96" s="14" t="s">
        <v>876</v>
      </c>
      <c r="H96" s="14" t="s">
        <v>3003</v>
      </c>
      <c r="I96" s="14">
        <v>72.040000000000006</v>
      </c>
      <c r="J96" s="22">
        <v>45990</v>
      </c>
      <c r="K96" s="14" t="s">
        <v>3015</v>
      </c>
    </row>
    <row r="97" spans="1:11" x14ac:dyDescent="0.35">
      <c r="A97" s="11" t="s">
        <v>3141</v>
      </c>
      <c r="B97" s="21">
        <v>45884</v>
      </c>
      <c r="C97" s="12" t="s">
        <v>577</v>
      </c>
      <c r="D97" s="12" t="s">
        <v>2994</v>
      </c>
      <c r="E97" s="12" t="s">
        <v>798</v>
      </c>
      <c r="F97" s="12" t="s">
        <v>787</v>
      </c>
      <c r="G97" s="12" t="s">
        <v>3064</v>
      </c>
      <c r="H97" s="12" t="s">
        <v>2997</v>
      </c>
      <c r="I97" s="12">
        <v>27.53</v>
      </c>
      <c r="J97" s="12"/>
      <c r="K97" s="12" t="s">
        <v>3048</v>
      </c>
    </row>
    <row r="98" spans="1:11" x14ac:dyDescent="0.35">
      <c r="A98" s="13" t="s">
        <v>3142</v>
      </c>
      <c r="B98" s="22">
        <v>46022</v>
      </c>
      <c r="C98" s="14" t="s">
        <v>335</v>
      </c>
      <c r="D98" s="14" t="s">
        <v>3002</v>
      </c>
      <c r="E98" s="14" t="s">
        <v>813</v>
      </c>
      <c r="F98" s="14" t="s">
        <v>787</v>
      </c>
      <c r="G98" s="14" t="s">
        <v>869</v>
      </c>
      <c r="H98" s="14" t="s">
        <v>2991</v>
      </c>
      <c r="I98" s="14">
        <v>85.68</v>
      </c>
      <c r="J98" s="14"/>
      <c r="K98" s="14" t="s">
        <v>3010</v>
      </c>
    </row>
    <row r="99" spans="1:11" x14ac:dyDescent="0.35">
      <c r="A99" s="11" t="s">
        <v>3143</v>
      </c>
      <c r="B99" s="21">
        <v>45655</v>
      </c>
      <c r="C99" s="12" t="s">
        <v>480</v>
      </c>
      <c r="D99" s="12" t="s">
        <v>3006</v>
      </c>
      <c r="E99" s="12" t="s">
        <v>786</v>
      </c>
      <c r="F99" s="12" t="s">
        <v>2995</v>
      </c>
      <c r="G99" s="12" t="s">
        <v>3028</v>
      </c>
      <c r="H99" s="12" t="s">
        <v>3003</v>
      </c>
      <c r="I99" s="12">
        <v>58.33</v>
      </c>
      <c r="J99" s="12"/>
      <c r="K99" s="12" t="s">
        <v>3020</v>
      </c>
    </row>
    <row r="100" spans="1:11" x14ac:dyDescent="0.35">
      <c r="A100" s="13" t="s">
        <v>3144</v>
      </c>
      <c r="B100" s="22">
        <v>45582</v>
      </c>
      <c r="C100" s="14" t="s">
        <v>368</v>
      </c>
      <c r="D100" s="14" t="s">
        <v>3012</v>
      </c>
      <c r="E100" s="14" t="s">
        <v>798</v>
      </c>
      <c r="F100" s="14" t="s">
        <v>3008</v>
      </c>
      <c r="G100" s="14" t="s">
        <v>834</v>
      </c>
      <c r="H100" s="14" t="s">
        <v>2997</v>
      </c>
      <c r="I100" s="14">
        <v>25</v>
      </c>
      <c r="J100" s="14"/>
      <c r="K100" s="14" t="s">
        <v>3010</v>
      </c>
    </row>
    <row r="101" spans="1:11" x14ac:dyDescent="0.35">
      <c r="A101" s="11" t="s">
        <v>3145</v>
      </c>
      <c r="B101" s="21">
        <v>45763</v>
      </c>
      <c r="C101" s="12" t="s">
        <v>546</v>
      </c>
      <c r="D101" s="12" t="s">
        <v>3012</v>
      </c>
      <c r="E101" s="12" t="s">
        <v>798</v>
      </c>
      <c r="F101" s="12" t="s">
        <v>3008</v>
      </c>
      <c r="G101" s="12" t="s">
        <v>3146</v>
      </c>
      <c r="H101" s="12" t="s">
        <v>623</v>
      </c>
      <c r="I101" s="12">
        <v>90.54</v>
      </c>
      <c r="J101" s="12"/>
      <c r="K101" s="12" t="s">
        <v>3000</v>
      </c>
    </row>
    <row r="102" spans="1:11" x14ac:dyDescent="0.35">
      <c r="A102" s="13" t="s">
        <v>3147</v>
      </c>
      <c r="B102" s="22">
        <v>45723</v>
      </c>
      <c r="C102" s="14" t="s">
        <v>435</v>
      </c>
      <c r="D102" s="14" t="s">
        <v>3012</v>
      </c>
      <c r="E102" s="14" t="s">
        <v>786</v>
      </c>
      <c r="F102" s="14" t="s">
        <v>2990</v>
      </c>
      <c r="G102" s="14" t="s">
        <v>3081</v>
      </c>
      <c r="H102" s="14" t="s">
        <v>3003</v>
      </c>
      <c r="I102" s="14">
        <v>62.86</v>
      </c>
      <c r="J102" s="22">
        <v>45735</v>
      </c>
      <c r="K102" s="14" t="s">
        <v>2998</v>
      </c>
    </row>
    <row r="103" spans="1:11" x14ac:dyDescent="0.35">
      <c r="A103" s="11" t="s">
        <v>3148</v>
      </c>
      <c r="B103" s="21">
        <v>45918</v>
      </c>
      <c r="C103" s="12" t="s">
        <v>480</v>
      </c>
      <c r="D103" s="12" t="s">
        <v>3006</v>
      </c>
      <c r="E103" s="12" t="s">
        <v>786</v>
      </c>
      <c r="F103" s="12" t="s">
        <v>2995</v>
      </c>
      <c r="G103" s="12" t="s">
        <v>810</v>
      </c>
      <c r="H103" s="12" t="s">
        <v>623</v>
      </c>
      <c r="I103" s="12">
        <v>161.71</v>
      </c>
      <c r="J103" s="12"/>
      <c r="K103" s="12" t="s">
        <v>3020</v>
      </c>
    </row>
    <row r="104" spans="1:11" x14ac:dyDescent="0.35">
      <c r="A104" s="13" t="s">
        <v>3149</v>
      </c>
      <c r="B104" s="22">
        <v>45303</v>
      </c>
      <c r="C104" s="14" t="s">
        <v>321</v>
      </c>
      <c r="D104" s="14" t="s">
        <v>650</v>
      </c>
      <c r="E104" s="14" t="s">
        <v>786</v>
      </c>
      <c r="F104" s="14" t="s">
        <v>3008</v>
      </c>
      <c r="G104" s="14" t="s">
        <v>3150</v>
      </c>
      <c r="H104" s="14" t="s">
        <v>2997</v>
      </c>
      <c r="I104" s="14">
        <v>108.42</v>
      </c>
      <c r="J104" s="14"/>
      <c r="K104" s="14" t="s">
        <v>3000</v>
      </c>
    </row>
    <row r="105" spans="1:11" x14ac:dyDescent="0.35">
      <c r="A105" s="11" t="s">
        <v>3151</v>
      </c>
      <c r="B105" s="21">
        <v>45540</v>
      </c>
      <c r="C105" s="12" t="s">
        <v>311</v>
      </c>
      <c r="D105" s="12" t="s">
        <v>2994</v>
      </c>
      <c r="E105" s="12" t="s">
        <v>786</v>
      </c>
      <c r="F105" s="12" t="s">
        <v>2995</v>
      </c>
      <c r="G105" s="12" t="s">
        <v>839</v>
      </c>
      <c r="H105" s="12" t="s">
        <v>3003</v>
      </c>
      <c r="I105" s="12">
        <v>25</v>
      </c>
      <c r="J105" s="12"/>
      <c r="K105" s="12" t="s">
        <v>2998</v>
      </c>
    </row>
    <row r="106" spans="1:11" x14ac:dyDescent="0.35">
      <c r="A106" s="13" t="s">
        <v>3152</v>
      </c>
      <c r="B106" s="22">
        <v>45839</v>
      </c>
      <c r="C106" s="14" t="s">
        <v>468</v>
      </c>
      <c r="D106" s="14" t="s">
        <v>650</v>
      </c>
      <c r="E106" s="14" t="s">
        <v>798</v>
      </c>
      <c r="F106" s="14" t="s">
        <v>3008</v>
      </c>
      <c r="G106" s="14" t="s">
        <v>3064</v>
      </c>
      <c r="H106" s="14" t="s">
        <v>2991</v>
      </c>
      <c r="I106" s="14">
        <v>46.45</v>
      </c>
      <c r="J106" s="14"/>
      <c r="K106" s="14" t="s">
        <v>3004</v>
      </c>
    </row>
    <row r="107" spans="1:11" x14ac:dyDescent="0.35">
      <c r="A107" s="11" t="s">
        <v>3153</v>
      </c>
      <c r="B107" s="21">
        <v>45556</v>
      </c>
      <c r="C107" s="12" t="s">
        <v>441</v>
      </c>
      <c r="D107" s="12" t="s">
        <v>2994</v>
      </c>
      <c r="E107" s="12" t="s">
        <v>786</v>
      </c>
      <c r="F107" s="12" t="s">
        <v>3013</v>
      </c>
      <c r="G107" s="12" t="s">
        <v>3081</v>
      </c>
      <c r="H107" s="12" t="s">
        <v>2991</v>
      </c>
      <c r="I107" s="12">
        <v>59.89</v>
      </c>
      <c r="J107" s="21">
        <v>45566</v>
      </c>
      <c r="K107" s="12" t="s">
        <v>3000</v>
      </c>
    </row>
    <row r="108" spans="1:11" x14ac:dyDescent="0.35">
      <c r="A108" s="13" t="s">
        <v>3154</v>
      </c>
      <c r="B108" s="22">
        <v>45361</v>
      </c>
      <c r="C108" s="14" t="s">
        <v>478</v>
      </c>
      <c r="D108" s="14" t="s">
        <v>3006</v>
      </c>
      <c r="E108" s="14" t="s">
        <v>798</v>
      </c>
      <c r="F108" s="14" t="s">
        <v>787</v>
      </c>
      <c r="G108" s="14" t="s">
        <v>1134</v>
      </c>
      <c r="H108" s="14" t="s">
        <v>623</v>
      </c>
      <c r="I108" s="14">
        <v>64.400000000000006</v>
      </c>
      <c r="J108" s="14"/>
      <c r="K108" s="14" t="s">
        <v>3048</v>
      </c>
    </row>
    <row r="109" spans="1:11" x14ac:dyDescent="0.35">
      <c r="A109" s="11" t="s">
        <v>3155</v>
      </c>
      <c r="B109" s="21">
        <v>45407</v>
      </c>
      <c r="C109" s="12" t="s">
        <v>549</v>
      </c>
      <c r="D109" s="12" t="s">
        <v>3012</v>
      </c>
      <c r="E109" s="12" t="s">
        <v>786</v>
      </c>
      <c r="F109" s="12" t="s">
        <v>2990</v>
      </c>
      <c r="G109" s="12" t="s">
        <v>3128</v>
      </c>
      <c r="H109" s="12" t="s">
        <v>3003</v>
      </c>
      <c r="I109" s="12">
        <v>31.27</v>
      </c>
      <c r="J109" s="21">
        <v>45421</v>
      </c>
      <c r="K109" s="12" t="s">
        <v>3048</v>
      </c>
    </row>
    <row r="110" spans="1:11" x14ac:dyDescent="0.35">
      <c r="A110" s="13" t="s">
        <v>3156</v>
      </c>
      <c r="B110" s="22">
        <v>46023</v>
      </c>
      <c r="C110" s="14" t="s">
        <v>472</v>
      </c>
      <c r="D110" s="14" t="s">
        <v>3006</v>
      </c>
      <c r="E110" s="14" t="s">
        <v>786</v>
      </c>
      <c r="F110" s="14" t="s">
        <v>2995</v>
      </c>
      <c r="G110" s="14" t="s">
        <v>935</v>
      </c>
      <c r="H110" s="14" t="s">
        <v>623</v>
      </c>
      <c r="I110" s="14">
        <v>57.45</v>
      </c>
      <c r="J110" s="14"/>
      <c r="K110" s="14" t="s">
        <v>2992</v>
      </c>
    </row>
    <row r="111" spans="1:11" x14ac:dyDescent="0.35">
      <c r="A111" s="11" t="s">
        <v>3157</v>
      </c>
      <c r="B111" s="21">
        <v>45483</v>
      </c>
      <c r="C111" s="12" t="s">
        <v>383</v>
      </c>
      <c r="D111" s="12" t="s">
        <v>3006</v>
      </c>
      <c r="E111" s="12" t="s">
        <v>813</v>
      </c>
      <c r="F111" s="12" t="s">
        <v>3008</v>
      </c>
      <c r="G111" s="12" t="s">
        <v>3070</v>
      </c>
      <c r="H111" s="12" t="s">
        <v>623</v>
      </c>
      <c r="I111" s="12">
        <v>46.19</v>
      </c>
      <c r="J111" s="12"/>
      <c r="K111" s="12" t="s">
        <v>3015</v>
      </c>
    </row>
    <row r="112" spans="1:11" x14ac:dyDescent="0.35">
      <c r="A112" s="13" t="s">
        <v>3158</v>
      </c>
      <c r="B112" s="22">
        <v>45632</v>
      </c>
      <c r="C112" s="14" t="s">
        <v>231</v>
      </c>
      <c r="D112" s="14" t="s">
        <v>3012</v>
      </c>
      <c r="E112" s="14" t="s">
        <v>786</v>
      </c>
      <c r="F112" s="14" t="s">
        <v>787</v>
      </c>
      <c r="G112" s="14" t="s">
        <v>834</v>
      </c>
      <c r="H112" s="14" t="s">
        <v>2997</v>
      </c>
      <c r="I112" s="14">
        <v>32.81</v>
      </c>
      <c r="J112" s="14"/>
      <c r="K112" s="14" t="s">
        <v>3020</v>
      </c>
    </row>
    <row r="113" spans="1:11" x14ac:dyDescent="0.35">
      <c r="A113" s="11" t="s">
        <v>3159</v>
      </c>
      <c r="B113" s="21">
        <v>45440</v>
      </c>
      <c r="C113" s="12" t="s">
        <v>287</v>
      </c>
      <c r="D113" s="12" t="s">
        <v>3006</v>
      </c>
      <c r="E113" s="12" t="s">
        <v>798</v>
      </c>
      <c r="F113" s="12" t="s">
        <v>3008</v>
      </c>
      <c r="G113" s="12" t="s">
        <v>3122</v>
      </c>
      <c r="H113" s="12" t="s">
        <v>3003</v>
      </c>
      <c r="I113" s="12">
        <v>40.549999999999997</v>
      </c>
      <c r="J113" s="12"/>
      <c r="K113" s="12" t="s">
        <v>2998</v>
      </c>
    </row>
    <row r="114" spans="1:11" x14ac:dyDescent="0.35">
      <c r="A114" s="13" t="s">
        <v>3160</v>
      </c>
      <c r="B114" s="22">
        <v>45572</v>
      </c>
      <c r="C114" s="14" t="s">
        <v>267</v>
      </c>
      <c r="D114" s="14" t="s">
        <v>650</v>
      </c>
      <c r="E114" s="14" t="s">
        <v>786</v>
      </c>
      <c r="F114" s="14" t="s">
        <v>2990</v>
      </c>
      <c r="G114" s="14" t="s">
        <v>3040</v>
      </c>
      <c r="H114" s="14" t="s">
        <v>2991</v>
      </c>
      <c r="I114" s="14">
        <v>41.06</v>
      </c>
      <c r="J114" s="22">
        <v>45584</v>
      </c>
      <c r="K114" s="14" t="s">
        <v>3010</v>
      </c>
    </row>
    <row r="115" spans="1:11" x14ac:dyDescent="0.35">
      <c r="A115" s="11" t="s">
        <v>3161</v>
      </c>
      <c r="B115" s="21">
        <v>45820</v>
      </c>
      <c r="C115" s="12" t="s">
        <v>340</v>
      </c>
      <c r="D115" s="12" t="s">
        <v>3012</v>
      </c>
      <c r="E115" s="12" t="s">
        <v>786</v>
      </c>
      <c r="F115" s="12" t="s">
        <v>2995</v>
      </c>
      <c r="G115" s="12" t="s">
        <v>3162</v>
      </c>
      <c r="H115" s="12" t="s">
        <v>623</v>
      </c>
      <c r="I115" s="12">
        <v>164.9</v>
      </c>
      <c r="J115" s="12"/>
      <c r="K115" s="12" t="s">
        <v>3024</v>
      </c>
    </row>
    <row r="116" spans="1:11" x14ac:dyDescent="0.35">
      <c r="A116" s="13" t="s">
        <v>3163</v>
      </c>
      <c r="B116" s="22">
        <v>45846</v>
      </c>
      <c r="C116" s="14" t="s">
        <v>598</v>
      </c>
      <c r="D116" s="14" t="s">
        <v>3006</v>
      </c>
      <c r="E116" s="14" t="s">
        <v>798</v>
      </c>
      <c r="F116" s="14" t="s">
        <v>2995</v>
      </c>
      <c r="G116" s="14" t="s">
        <v>963</v>
      </c>
      <c r="H116" s="14" t="s">
        <v>3003</v>
      </c>
      <c r="I116" s="14">
        <v>110.24</v>
      </c>
      <c r="J116" s="14"/>
      <c r="K116" s="14" t="s">
        <v>3010</v>
      </c>
    </row>
    <row r="117" spans="1:11" x14ac:dyDescent="0.35">
      <c r="A117" s="11" t="s">
        <v>3164</v>
      </c>
      <c r="B117" s="21">
        <v>45570</v>
      </c>
      <c r="C117" s="12" t="s">
        <v>311</v>
      </c>
      <c r="D117" s="12" t="s">
        <v>2994</v>
      </c>
      <c r="E117" s="12" t="s">
        <v>786</v>
      </c>
      <c r="F117" s="12" t="s">
        <v>2995</v>
      </c>
      <c r="G117" s="12" t="s">
        <v>3100</v>
      </c>
      <c r="H117" s="12" t="s">
        <v>3003</v>
      </c>
      <c r="I117" s="12">
        <v>64.989999999999995</v>
      </c>
      <c r="J117" s="12"/>
      <c r="K117" s="12" t="s">
        <v>2992</v>
      </c>
    </row>
    <row r="118" spans="1:11" x14ac:dyDescent="0.35">
      <c r="A118" s="13" t="s">
        <v>3165</v>
      </c>
      <c r="B118" s="22">
        <v>45929</v>
      </c>
      <c r="C118" s="14" t="s">
        <v>282</v>
      </c>
      <c r="D118" s="14" t="s">
        <v>2994</v>
      </c>
      <c r="E118" s="14" t="s">
        <v>798</v>
      </c>
      <c r="F118" s="14" t="s">
        <v>3013</v>
      </c>
      <c r="G118" s="14" t="s">
        <v>3162</v>
      </c>
      <c r="H118" s="14" t="s">
        <v>2991</v>
      </c>
      <c r="I118" s="14">
        <v>25</v>
      </c>
      <c r="J118" s="22">
        <v>45939</v>
      </c>
      <c r="K118" s="14" t="s">
        <v>3024</v>
      </c>
    </row>
    <row r="119" spans="1:11" x14ac:dyDescent="0.35">
      <c r="A119" s="11" t="s">
        <v>3166</v>
      </c>
      <c r="B119" s="21">
        <v>45924</v>
      </c>
      <c r="C119" s="12" t="s">
        <v>383</v>
      </c>
      <c r="D119" s="12" t="s">
        <v>3012</v>
      </c>
      <c r="E119" s="12" t="s">
        <v>813</v>
      </c>
      <c r="F119" s="12" t="s">
        <v>3008</v>
      </c>
      <c r="G119" s="12" t="s">
        <v>3035</v>
      </c>
      <c r="H119" s="12" t="s">
        <v>2991</v>
      </c>
      <c r="I119" s="12">
        <v>127.14</v>
      </c>
      <c r="J119" s="12"/>
      <c r="K119" s="12" t="s">
        <v>2998</v>
      </c>
    </row>
    <row r="120" spans="1:11" x14ac:dyDescent="0.35">
      <c r="A120" s="13" t="s">
        <v>3167</v>
      </c>
      <c r="B120" s="22">
        <v>45810</v>
      </c>
      <c r="C120" s="14" t="s">
        <v>460</v>
      </c>
      <c r="D120" s="14" t="s">
        <v>650</v>
      </c>
      <c r="E120" s="14" t="s">
        <v>786</v>
      </c>
      <c r="F120" s="14" t="s">
        <v>3013</v>
      </c>
      <c r="G120" s="14" t="s">
        <v>3168</v>
      </c>
      <c r="H120" s="14" t="s">
        <v>2997</v>
      </c>
      <c r="I120" s="14">
        <v>25</v>
      </c>
      <c r="J120" s="22">
        <v>45816</v>
      </c>
      <c r="K120" s="14" t="s">
        <v>3000</v>
      </c>
    </row>
    <row r="121" spans="1:11" x14ac:dyDescent="0.35">
      <c r="A121" s="11" t="s">
        <v>3169</v>
      </c>
      <c r="B121" s="21">
        <v>45559</v>
      </c>
      <c r="C121" s="12" t="s">
        <v>431</v>
      </c>
      <c r="D121" s="12" t="s">
        <v>3012</v>
      </c>
      <c r="E121" s="12" t="s">
        <v>786</v>
      </c>
      <c r="F121" s="12" t="s">
        <v>787</v>
      </c>
      <c r="G121" s="12" t="s">
        <v>888</v>
      </c>
      <c r="H121" s="12" t="s">
        <v>3003</v>
      </c>
      <c r="I121" s="12">
        <v>25.23</v>
      </c>
      <c r="J121" s="12"/>
      <c r="K121" s="12" t="s">
        <v>3038</v>
      </c>
    </row>
    <row r="122" spans="1:11" x14ac:dyDescent="0.35">
      <c r="A122" s="13" t="s">
        <v>3170</v>
      </c>
      <c r="B122" s="22">
        <v>45995</v>
      </c>
      <c r="C122" s="14" t="s">
        <v>231</v>
      </c>
      <c r="D122" s="14" t="s">
        <v>2994</v>
      </c>
      <c r="E122" s="14" t="s">
        <v>813</v>
      </c>
      <c r="F122" s="14" t="s">
        <v>3008</v>
      </c>
      <c r="G122" s="14" t="s">
        <v>834</v>
      </c>
      <c r="H122" s="14" t="s">
        <v>623</v>
      </c>
      <c r="I122" s="14">
        <v>25</v>
      </c>
      <c r="J122" s="14"/>
      <c r="K122" s="14" t="s">
        <v>2992</v>
      </c>
    </row>
    <row r="123" spans="1:11" x14ac:dyDescent="0.35">
      <c r="A123" s="11" t="s">
        <v>3171</v>
      </c>
      <c r="B123" s="21">
        <v>45408</v>
      </c>
      <c r="C123" s="12" t="s">
        <v>304</v>
      </c>
      <c r="D123" s="12" t="s">
        <v>2994</v>
      </c>
      <c r="E123" s="12" t="s">
        <v>786</v>
      </c>
      <c r="F123" s="12" t="s">
        <v>2990</v>
      </c>
      <c r="G123" s="12" t="s">
        <v>3115</v>
      </c>
      <c r="H123" s="12" t="s">
        <v>3003</v>
      </c>
      <c r="I123" s="12">
        <v>31.1</v>
      </c>
      <c r="J123" s="21">
        <v>45422</v>
      </c>
      <c r="K123" s="12" t="s">
        <v>3000</v>
      </c>
    </row>
    <row r="124" spans="1:11" x14ac:dyDescent="0.35">
      <c r="A124" s="13" t="s">
        <v>3172</v>
      </c>
      <c r="B124" s="22">
        <v>45842</v>
      </c>
      <c r="C124" s="14" t="s">
        <v>600</v>
      </c>
      <c r="D124" s="14" t="s">
        <v>650</v>
      </c>
      <c r="E124" s="14" t="s">
        <v>798</v>
      </c>
      <c r="F124" s="14" t="s">
        <v>3008</v>
      </c>
      <c r="G124" s="14" t="s">
        <v>3120</v>
      </c>
      <c r="H124" s="14" t="s">
        <v>3003</v>
      </c>
      <c r="I124" s="14">
        <v>149.72</v>
      </c>
      <c r="J124" s="14"/>
      <c r="K124" s="14" t="s">
        <v>3015</v>
      </c>
    </row>
    <row r="125" spans="1:11" x14ac:dyDescent="0.35">
      <c r="A125" s="11" t="s">
        <v>3173</v>
      </c>
      <c r="B125" s="21">
        <v>46018</v>
      </c>
      <c r="C125" s="12" t="s">
        <v>535</v>
      </c>
      <c r="D125" s="12" t="s">
        <v>3017</v>
      </c>
      <c r="E125" s="12" t="s">
        <v>786</v>
      </c>
      <c r="F125" s="12" t="s">
        <v>2995</v>
      </c>
      <c r="G125" s="12" t="s">
        <v>3047</v>
      </c>
      <c r="H125" s="12" t="s">
        <v>2997</v>
      </c>
      <c r="I125" s="12">
        <v>87.22</v>
      </c>
      <c r="J125" s="12"/>
      <c r="K125" s="12" t="s">
        <v>3000</v>
      </c>
    </row>
    <row r="126" spans="1:11" x14ac:dyDescent="0.35">
      <c r="A126" s="13" t="s">
        <v>3174</v>
      </c>
      <c r="B126" s="22">
        <v>45349</v>
      </c>
      <c r="C126" s="14" t="s">
        <v>460</v>
      </c>
      <c r="D126" s="14" t="s">
        <v>2994</v>
      </c>
      <c r="E126" s="14" t="s">
        <v>786</v>
      </c>
      <c r="F126" s="14" t="s">
        <v>787</v>
      </c>
      <c r="G126" s="14" t="s">
        <v>3066</v>
      </c>
      <c r="H126" s="14" t="s">
        <v>2997</v>
      </c>
      <c r="I126" s="14">
        <v>63.72</v>
      </c>
      <c r="J126" s="14"/>
      <c r="K126" s="14" t="s">
        <v>3004</v>
      </c>
    </row>
    <row r="127" spans="1:11" x14ac:dyDescent="0.35">
      <c r="A127" s="11" t="s">
        <v>3175</v>
      </c>
      <c r="B127" s="21">
        <v>45597</v>
      </c>
      <c r="C127" s="12" t="s">
        <v>484</v>
      </c>
      <c r="D127" s="12" t="s">
        <v>650</v>
      </c>
      <c r="E127" s="12" t="s">
        <v>786</v>
      </c>
      <c r="F127" s="12" t="s">
        <v>787</v>
      </c>
      <c r="G127" s="12" t="s">
        <v>834</v>
      </c>
      <c r="H127" s="12" t="s">
        <v>2991</v>
      </c>
      <c r="I127" s="12">
        <v>54.9</v>
      </c>
      <c r="J127" s="12"/>
      <c r="K127" s="12" t="s">
        <v>2998</v>
      </c>
    </row>
    <row r="128" spans="1:11" x14ac:dyDescent="0.35">
      <c r="A128" s="13" t="s">
        <v>3176</v>
      </c>
      <c r="B128" s="22">
        <v>46050</v>
      </c>
      <c r="C128" s="14" t="s">
        <v>535</v>
      </c>
      <c r="D128" s="14" t="s">
        <v>650</v>
      </c>
      <c r="E128" s="14" t="s">
        <v>786</v>
      </c>
      <c r="F128" s="14" t="s">
        <v>2995</v>
      </c>
      <c r="G128" s="14" t="s">
        <v>3058</v>
      </c>
      <c r="H128" s="14" t="s">
        <v>2997</v>
      </c>
      <c r="I128" s="14">
        <v>31.11</v>
      </c>
      <c r="J128" s="14"/>
      <c r="K128" s="14" t="s">
        <v>3015</v>
      </c>
    </row>
    <row r="129" spans="1:11" x14ac:dyDescent="0.35">
      <c r="A129" s="11" t="s">
        <v>3177</v>
      </c>
      <c r="B129" s="21">
        <v>45560</v>
      </c>
      <c r="C129" s="12" t="s">
        <v>287</v>
      </c>
      <c r="D129" s="12" t="s">
        <v>3006</v>
      </c>
      <c r="E129" s="12" t="s">
        <v>798</v>
      </c>
      <c r="F129" s="12" t="s">
        <v>3013</v>
      </c>
      <c r="G129" s="12" t="s">
        <v>3120</v>
      </c>
      <c r="H129" s="12" t="s">
        <v>2991</v>
      </c>
      <c r="I129" s="12">
        <v>89.34</v>
      </c>
      <c r="J129" s="21">
        <v>45574</v>
      </c>
      <c r="K129" s="12" t="s">
        <v>2992</v>
      </c>
    </row>
    <row r="130" spans="1:11" x14ac:dyDescent="0.35">
      <c r="A130" s="13" t="s">
        <v>3178</v>
      </c>
      <c r="B130" s="22">
        <v>45793</v>
      </c>
      <c r="C130" s="14" t="s">
        <v>608</v>
      </c>
      <c r="D130" s="14" t="s">
        <v>2994</v>
      </c>
      <c r="E130" s="14" t="s">
        <v>786</v>
      </c>
      <c r="F130" s="14" t="s">
        <v>3013</v>
      </c>
      <c r="G130" s="14" t="s">
        <v>3066</v>
      </c>
      <c r="H130" s="14" t="s">
        <v>2991</v>
      </c>
      <c r="I130" s="14">
        <v>130.91</v>
      </c>
      <c r="J130" s="22">
        <v>45806</v>
      </c>
      <c r="K130" s="14" t="s">
        <v>2998</v>
      </c>
    </row>
    <row r="131" spans="1:11" x14ac:dyDescent="0.35">
      <c r="A131" s="11" t="s">
        <v>3179</v>
      </c>
      <c r="B131" s="21">
        <v>45618</v>
      </c>
      <c r="C131" s="12" t="s">
        <v>387</v>
      </c>
      <c r="D131" s="12" t="s">
        <v>3017</v>
      </c>
      <c r="E131" s="12" t="s">
        <v>798</v>
      </c>
      <c r="F131" s="12" t="s">
        <v>2990</v>
      </c>
      <c r="G131" s="12" t="s">
        <v>3030</v>
      </c>
      <c r="H131" s="12" t="s">
        <v>2991</v>
      </c>
      <c r="I131" s="12">
        <v>93.66</v>
      </c>
      <c r="J131" s="21">
        <v>45621</v>
      </c>
      <c r="K131" s="12" t="s">
        <v>3048</v>
      </c>
    </row>
    <row r="132" spans="1:11" x14ac:dyDescent="0.35">
      <c r="A132" s="13" t="s">
        <v>3180</v>
      </c>
      <c r="B132" s="22">
        <v>45670</v>
      </c>
      <c r="C132" s="14" t="s">
        <v>404</v>
      </c>
      <c r="D132" s="14" t="s">
        <v>2994</v>
      </c>
      <c r="E132" s="14" t="s">
        <v>798</v>
      </c>
      <c r="F132" s="14" t="s">
        <v>2990</v>
      </c>
      <c r="G132" s="14" t="s">
        <v>3032</v>
      </c>
      <c r="H132" s="14" t="s">
        <v>2991</v>
      </c>
      <c r="I132" s="14">
        <v>79.260000000000005</v>
      </c>
      <c r="J132" s="22">
        <v>45676</v>
      </c>
      <c r="K132" s="14" t="s">
        <v>2998</v>
      </c>
    </row>
    <row r="133" spans="1:11" x14ac:dyDescent="0.35">
      <c r="A133" s="11" t="s">
        <v>3181</v>
      </c>
      <c r="B133" s="21">
        <v>45347</v>
      </c>
      <c r="C133" s="12" t="s">
        <v>328</v>
      </c>
      <c r="D133" s="12" t="s">
        <v>2994</v>
      </c>
      <c r="E133" s="12" t="s">
        <v>798</v>
      </c>
      <c r="F133" s="12" t="s">
        <v>2990</v>
      </c>
      <c r="G133" s="12" t="s">
        <v>3035</v>
      </c>
      <c r="H133" s="12" t="s">
        <v>3003</v>
      </c>
      <c r="I133" s="12">
        <v>100.06</v>
      </c>
      <c r="J133" s="21">
        <v>45348</v>
      </c>
      <c r="K133" s="12" t="s">
        <v>3038</v>
      </c>
    </row>
    <row r="134" spans="1:11" x14ac:dyDescent="0.35">
      <c r="A134" s="13" t="s">
        <v>3182</v>
      </c>
      <c r="B134" s="22">
        <v>46003</v>
      </c>
      <c r="C134" s="14" t="s">
        <v>368</v>
      </c>
      <c r="D134" s="14" t="s">
        <v>2994</v>
      </c>
      <c r="E134" s="14" t="s">
        <v>786</v>
      </c>
      <c r="F134" s="14" t="s">
        <v>3008</v>
      </c>
      <c r="G134" s="14" t="s">
        <v>3037</v>
      </c>
      <c r="H134" s="14" t="s">
        <v>3003</v>
      </c>
      <c r="I134" s="14">
        <v>56.86</v>
      </c>
      <c r="J134" s="14"/>
      <c r="K134" s="14" t="s">
        <v>2998</v>
      </c>
    </row>
    <row r="135" spans="1:11" x14ac:dyDescent="0.35">
      <c r="A135" s="11" t="s">
        <v>3183</v>
      </c>
      <c r="B135" s="21">
        <v>45477</v>
      </c>
      <c r="C135" s="12" t="s">
        <v>287</v>
      </c>
      <c r="D135" s="12" t="s">
        <v>2994</v>
      </c>
      <c r="E135" s="12" t="s">
        <v>786</v>
      </c>
      <c r="F135" s="12" t="s">
        <v>3013</v>
      </c>
      <c r="G135" s="12" t="s">
        <v>3040</v>
      </c>
      <c r="H135" s="12" t="s">
        <v>2997</v>
      </c>
      <c r="I135" s="12">
        <v>25</v>
      </c>
      <c r="J135" s="21">
        <v>45484</v>
      </c>
      <c r="K135" s="12" t="s">
        <v>3004</v>
      </c>
    </row>
    <row r="136" spans="1:11" x14ac:dyDescent="0.35">
      <c r="A136" s="13" t="s">
        <v>3184</v>
      </c>
      <c r="B136" s="22">
        <v>45615</v>
      </c>
      <c r="C136" s="14" t="s">
        <v>472</v>
      </c>
      <c r="D136" s="14" t="s">
        <v>3006</v>
      </c>
      <c r="E136" s="14" t="s">
        <v>786</v>
      </c>
      <c r="F136" s="14" t="s">
        <v>787</v>
      </c>
      <c r="G136" s="14" t="s">
        <v>3037</v>
      </c>
      <c r="H136" s="14" t="s">
        <v>2997</v>
      </c>
      <c r="I136" s="14">
        <v>108.22</v>
      </c>
      <c r="J136" s="14"/>
      <c r="K136" s="14" t="s">
        <v>3010</v>
      </c>
    </row>
    <row r="137" spans="1:11" x14ac:dyDescent="0.35">
      <c r="A137" s="11" t="s">
        <v>3185</v>
      </c>
      <c r="B137" s="21">
        <v>45386</v>
      </c>
      <c r="C137" s="12" t="s">
        <v>456</v>
      </c>
      <c r="D137" s="12" t="s">
        <v>650</v>
      </c>
      <c r="E137" s="12" t="s">
        <v>798</v>
      </c>
      <c r="F137" s="12" t="s">
        <v>3008</v>
      </c>
      <c r="G137" s="12" t="s">
        <v>803</v>
      </c>
      <c r="H137" s="12" t="s">
        <v>2991</v>
      </c>
      <c r="I137" s="12">
        <v>29.17</v>
      </c>
      <c r="J137" s="12"/>
      <c r="K137" s="12" t="s">
        <v>3038</v>
      </c>
    </row>
    <row r="138" spans="1:11" x14ac:dyDescent="0.35">
      <c r="A138" s="13" t="s">
        <v>3186</v>
      </c>
      <c r="B138" s="22">
        <v>45298</v>
      </c>
      <c r="C138" s="14" t="s">
        <v>610</v>
      </c>
      <c r="D138" s="14" t="s">
        <v>650</v>
      </c>
      <c r="E138" s="14" t="s">
        <v>786</v>
      </c>
      <c r="F138" s="14" t="s">
        <v>2995</v>
      </c>
      <c r="G138" s="14" t="s">
        <v>803</v>
      </c>
      <c r="H138" s="14" t="s">
        <v>2991</v>
      </c>
      <c r="I138" s="14">
        <v>55.54</v>
      </c>
      <c r="J138" s="14"/>
      <c r="K138" s="14" t="s">
        <v>3020</v>
      </c>
    </row>
    <row r="139" spans="1:11" x14ac:dyDescent="0.35">
      <c r="A139" s="11" t="s">
        <v>3187</v>
      </c>
      <c r="B139" s="21">
        <v>46020</v>
      </c>
      <c r="C139" s="12" t="s">
        <v>508</v>
      </c>
      <c r="D139" s="12" t="s">
        <v>650</v>
      </c>
      <c r="E139" s="12" t="s">
        <v>786</v>
      </c>
      <c r="F139" s="12" t="s">
        <v>2990</v>
      </c>
      <c r="G139" s="12" t="s">
        <v>3037</v>
      </c>
      <c r="H139" s="12" t="s">
        <v>2997</v>
      </c>
      <c r="I139" s="12">
        <v>162.28</v>
      </c>
      <c r="J139" s="21">
        <v>46028</v>
      </c>
      <c r="K139" s="12" t="s">
        <v>3038</v>
      </c>
    </row>
    <row r="140" spans="1:11" x14ac:dyDescent="0.35">
      <c r="A140" s="13" t="s">
        <v>3188</v>
      </c>
      <c r="B140" s="22">
        <v>45571</v>
      </c>
      <c r="C140" s="14" t="s">
        <v>318</v>
      </c>
      <c r="D140" s="14" t="s">
        <v>3017</v>
      </c>
      <c r="E140" s="14" t="s">
        <v>813</v>
      </c>
      <c r="F140" s="14" t="s">
        <v>3008</v>
      </c>
      <c r="G140" s="14" t="s">
        <v>794</v>
      </c>
      <c r="H140" s="14" t="s">
        <v>3003</v>
      </c>
      <c r="I140" s="14">
        <v>53.83</v>
      </c>
      <c r="J140" s="14"/>
      <c r="K140" s="14" t="s">
        <v>3015</v>
      </c>
    </row>
    <row r="141" spans="1:11" x14ac:dyDescent="0.35">
      <c r="A141" s="11" t="s">
        <v>3189</v>
      </c>
      <c r="B141" s="21">
        <v>45369</v>
      </c>
      <c r="C141" s="12" t="s">
        <v>352</v>
      </c>
      <c r="D141" s="12" t="s">
        <v>3012</v>
      </c>
      <c r="E141" s="12" t="s">
        <v>786</v>
      </c>
      <c r="F141" s="12" t="s">
        <v>787</v>
      </c>
      <c r="G141" s="12" t="s">
        <v>3023</v>
      </c>
      <c r="H141" s="12" t="s">
        <v>2997</v>
      </c>
      <c r="I141" s="12">
        <v>145.83000000000001</v>
      </c>
      <c r="J141" s="12"/>
      <c r="K141" s="12" t="s">
        <v>3048</v>
      </c>
    </row>
    <row r="142" spans="1:11" x14ac:dyDescent="0.35">
      <c r="A142" s="13" t="s">
        <v>3190</v>
      </c>
      <c r="B142" s="22">
        <v>46045</v>
      </c>
      <c r="C142" s="14" t="s">
        <v>610</v>
      </c>
      <c r="D142" s="14" t="s">
        <v>2994</v>
      </c>
      <c r="E142" s="14" t="s">
        <v>786</v>
      </c>
      <c r="F142" s="14" t="s">
        <v>2995</v>
      </c>
      <c r="G142" s="14" t="s">
        <v>825</v>
      </c>
      <c r="H142" s="14" t="s">
        <v>2991</v>
      </c>
      <c r="I142" s="14">
        <v>59.85</v>
      </c>
      <c r="J142" s="14"/>
      <c r="K142" s="14" t="s">
        <v>3024</v>
      </c>
    </row>
    <row r="143" spans="1:11" x14ac:dyDescent="0.35">
      <c r="A143" s="11" t="s">
        <v>3191</v>
      </c>
      <c r="B143" s="21">
        <v>45341</v>
      </c>
      <c r="C143" s="12" t="s">
        <v>496</v>
      </c>
      <c r="D143" s="12" t="s">
        <v>650</v>
      </c>
      <c r="E143" s="12" t="s">
        <v>786</v>
      </c>
      <c r="F143" s="12" t="s">
        <v>2990</v>
      </c>
      <c r="G143" s="12" t="s">
        <v>3192</v>
      </c>
      <c r="H143" s="12" t="s">
        <v>2997</v>
      </c>
      <c r="I143" s="12">
        <v>33.049999999999997</v>
      </c>
      <c r="J143" s="21">
        <v>45346</v>
      </c>
      <c r="K143" s="12" t="s">
        <v>3024</v>
      </c>
    </row>
    <row r="144" spans="1:11" x14ac:dyDescent="0.35">
      <c r="A144" s="13" t="s">
        <v>3193</v>
      </c>
      <c r="B144" s="22">
        <v>45471</v>
      </c>
      <c r="C144" s="14" t="s">
        <v>429</v>
      </c>
      <c r="D144" s="14" t="s">
        <v>3017</v>
      </c>
      <c r="E144" s="14" t="s">
        <v>786</v>
      </c>
      <c r="F144" s="14" t="s">
        <v>2995</v>
      </c>
      <c r="G144" s="14" t="s">
        <v>3009</v>
      </c>
      <c r="H144" s="14" t="s">
        <v>2997</v>
      </c>
      <c r="I144" s="14">
        <v>52.11</v>
      </c>
      <c r="J144" s="14"/>
      <c r="K144" s="14" t="s">
        <v>2998</v>
      </c>
    </row>
    <row r="145" spans="1:11" x14ac:dyDescent="0.35">
      <c r="A145" s="11" t="s">
        <v>3194</v>
      </c>
      <c r="B145" s="21">
        <v>45662</v>
      </c>
      <c r="C145" s="12" t="s">
        <v>600</v>
      </c>
      <c r="D145" s="12" t="s">
        <v>3002</v>
      </c>
      <c r="E145" s="12" t="s">
        <v>786</v>
      </c>
      <c r="F145" s="12" t="s">
        <v>2990</v>
      </c>
      <c r="G145" s="12" t="s">
        <v>876</v>
      </c>
      <c r="H145" s="12" t="s">
        <v>2997</v>
      </c>
      <c r="I145" s="12">
        <v>39.61</v>
      </c>
      <c r="J145" s="21">
        <v>45667</v>
      </c>
      <c r="K145" s="12" t="s">
        <v>2992</v>
      </c>
    </row>
    <row r="146" spans="1:11" x14ac:dyDescent="0.35">
      <c r="A146" s="13" t="s">
        <v>3195</v>
      </c>
      <c r="B146" s="22">
        <v>45584</v>
      </c>
      <c r="C146" s="14" t="s">
        <v>435</v>
      </c>
      <c r="D146" s="14" t="s">
        <v>2994</v>
      </c>
      <c r="E146" s="14" t="s">
        <v>786</v>
      </c>
      <c r="F146" s="14" t="s">
        <v>787</v>
      </c>
      <c r="G146" s="14" t="s">
        <v>3077</v>
      </c>
      <c r="H146" s="14" t="s">
        <v>623</v>
      </c>
      <c r="I146" s="14">
        <v>104.97</v>
      </c>
      <c r="J146" s="14"/>
      <c r="K146" s="14" t="s">
        <v>3010</v>
      </c>
    </row>
    <row r="147" spans="1:11" x14ac:dyDescent="0.35">
      <c r="A147" s="11" t="s">
        <v>3196</v>
      </c>
      <c r="B147" s="21">
        <v>45435</v>
      </c>
      <c r="C147" s="12" t="s">
        <v>373</v>
      </c>
      <c r="D147" s="12" t="s">
        <v>3017</v>
      </c>
      <c r="E147" s="12" t="s">
        <v>813</v>
      </c>
      <c r="F147" s="12" t="s">
        <v>3013</v>
      </c>
      <c r="G147" s="12" t="s">
        <v>859</v>
      </c>
      <c r="H147" s="12" t="s">
        <v>2991</v>
      </c>
      <c r="I147" s="12">
        <v>49</v>
      </c>
      <c r="J147" s="21">
        <v>45446</v>
      </c>
      <c r="K147" s="12" t="s">
        <v>3000</v>
      </c>
    </row>
    <row r="148" spans="1:11" x14ac:dyDescent="0.35">
      <c r="A148" s="13" t="s">
        <v>3197</v>
      </c>
      <c r="B148" s="22">
        <v>46043</v>
      </c>
      <c r="C148" s="14" t="s">
        <v>313</v>
      </c>
      <c r="D148" s="14" t="s">
        <v>2994</v>
      </c>
      <c r="E148" s="14" t="s">
        <v>786</v>
      </c>
      <c r="F148" s="14" t="s">
        <v>2990</v>
      </c>
      <c r="G148" s="14" t="s">
        <v>3023</v>
      </c>
      <c r="H148" s="14" t="s">
        <v>3003</v>
      </c>
      <c r="I148" s="14">
        <v>84.01</v>
      </c>
      <c r="J148" s="22">
        <v>46054</v>
      </c>
      <c r="K148" s="14" t="s">
        <v>2998</v>
      </c>
    </row>
    <row r="149" spans="1:11" x14ac:dyDescent="0.35">
      <c r="A149" s="11" t="s">
        <v>3198</v>
      </c>
      <c r="B149" s="21">
        <v>45952</v>
      </c>
      <c r="C149" s="12" t="s">
        <v>360</v>
      </c>
      <c r="D149" s="12" t="s">
        <v>3012</v>
      </c>
      <c r="E149" s="12" t="s">
        <v>798</v>
      </c>
      <c r="F149" s="12" t="s">
        <v>2995</v>
      </c>
      <c r="G149" s="12" t="s">
        <v>3030</v>
      </c>
      <c r="H149" s="12" t="s">
        <v>3003</v>
      </c>
      <c r="I149" s="12">
        <v>69.010000000000005</v>
      </c>
      <c r="J149" s="12"/>
      <c r="K149" s="12" t="s">
        <v>3024</v>
      </c>
    </row>
    <row r="150" spans="1:11" x14ac:dyDescent="0.35">
      <c r="A150" s="13" t="s">
        <v>3199</v>
      </c>
      <c r="B150" s="22">
        <v>45843</v>
      </c>
      <c r="C150" s="14" t="s">
        <v>460</v>
      </c>
      <c r="D150" s="14" t="s">
        <v>3012</v>
      </c>
      <c r="E150" s="14" t="s">
        <v>786</v>
      </c>
      <c r="F150" s="14" t="s">
        <v>787</v>
      </c>
      <c r="G150" s="14" t="s">
        <v>3040</v>
      </c>
      <c r="H150" s="14" t="s">
        <v>2997</v>
      </c>
      <c r="I150" s="14">
        <v>25</v>
      </c>
      <c r="J150" s="14"/>
      <c r="K150" s="14" t="s">
        <v>3038</v>
      </c>
    </row>
    <row r="151" spans="1:11" x14ac:dyDescent="0.35">
      <c r="A151" s="11" t="s">
        <v>3200</v>
      </c>
      <c r="B151" s="21">
        <v>45962</v>
      </c>
      <c r="C151" s="12" t="s">
        <v>433</v>
      </c>
      <c r="D151" s="12" t="s">
        <v>3006</v>
      </c>
      <c r="E151" s="12" t="s">
        <v>798</v>
      </c>
      <c r="F151" s="12" t="s">
        <v>787</v>
      </c>
      <c r="G151" s="12" t="s">
        <v>3081</v>
      </c>
      <c r="H151" s="12" t="s">
        <v>3003</v>
      </c>
      <c r="I151" s="12">
        <v>34.99</v>
      </c>
      <c r="J151" s="12"/>
      <c r="K151" s="12" t="s">
        <v>3038</v>
      </c>
    </row>
    <row r="152" spans="1:11" x14ac:dyDescent="0.35">
      <c r="A152" s="13" t="s">
        <v>3201</v>
      </c>
      <c r="B152" s="22">
        <v>45553</v>
      </c>
      <c r="C152" s="14" t="s">
        <v>396</v>
      </c>
      <c r="D152" s="14" t="s">
        <v>3012</v>
      </c>
      <c r="E152" s="14" t="s">
        <v>798</v>
      </c>
      <c r="F152" s="14" t="s">
        <v>787</v>
      </c>
      <c r="G152" s="14" t="s">
        <v>1001</v>
      </c>
      <c r="H152" s="14" t="s">
        <v>3003</v>
      </c>
      <c r="I152" s="14">
        <v>56.16</v>
      </c>
      <c r="J152" s="14"/>
      <c r="K152" s="14" t="s">
        <v>2992</v>
      </c>
    </row>
    <row r="153" spans="1:11" x14ac:dyDescent="0.35">
      <c r="A153" s="11" t="s">
        <v>3202</v>
      </c>
      <c r="B153" s="21">
        <v>46028</v>
      </c>
      <c r="C153" s="12" t="s">
        <v>253</v>
      </c>
      <c r="D153" s="12" t="s">
        <v>650</v>
      </c>
      <c r="E153" s="12" t="s">
        <v>798</v>
      </c>
      <c r="F153" s="12" t="s">
        <v>3008</v>
      </c>
      <c r="G153" s="12" t="s">
        <v>3009</v>
      </c>
      <c r="H153" s="12" t="s">
        <v>2997</v>
      </c>
      <c r="I153" s="12">
        <v>44.11</v>
      </c>
      <c r="J153" s="12"/>
      <c r="K153" s="12" t="s">
        <v>3048</v>
      </c>
    </row>
    <row r="154" spans="1:11" x14ac:dyDescent="0.35">
      <c r="A154" s="13" t="s">
        <v>3203</v>
      </c>
      <c r="B154" s="22">
        <v>45604</v>
      </c>
      <c r="C154" s="14" t="s">
        <v>249</v>
      </c>
      <c r="D154" s="14" t="s">
        <v>3006</v>
      </c>
      <c r="E154" s="14" t="s">
        <v>798</v>
      </c>
      <c r="F154" s="14" t="s">
        <v>2990</v>
      </c>
      <c r="G154" s="14" t="s">
        <v>3100</v>
      </c>
      <c r="H154" s="14" t="s">
        <v>623</v>
      </c>
      <c r="I154" s="14">
        <v>60.07</v>
      </c>
      <c r="J154" s="22">
        <v>45616</v>
      </c>
      <c r="K154" s="14" t="s">
        <v>3015</v>
      </c>
    </row>
    <row r="155" spans="1:11" x14ac:dyDescent="0.35">
      <c r="A155" s="11" t="s">
        <v>3204</v>
      </c>
      <c r="B155" s="21">
        <v>45743</v>
      </c>
      <c r="C155" s="12" t="s">
        <v>447</v>
      </c>
      <c r="D155" s="12" t="s">
        <v>650</v>
      </c>
      <c r="E155" s="12" t="s">
        <v>786</v>
      </c>
      <c r="F155" s="12" t="s">
        <v>3013</v>
      </c>
      <c r="G155" s="12" t="s">
        <v>876</v>
      </c>
      <c r="H155" s="12" t="s">
        <v>2997</v>
      </c>
      <c r="I155" s="12">
        <v>76.48</v>
      </c>
      <c r="J155" s="21">
        <v>45746</v>
      </c>
      <c r="K155" s="12" t="s">
        <v>2998</v>
      </c>
    </row>
    <row r="156" spans="1:11" x14ac:dyDescent="0.35">
      <c r="A156" s="13" t="s">
        <v>3205</v>
      </c>
      <c r="B156" s="22">
        <v>45552</v>
      </c>
      <c r="C156" s="14" t="s">
        <v>404</v>
      </c>
      <c r="D156" s="14" t="s">
        <v>3012</v>
      </c>
      <c r="E156" s="14" t="s">
        <v>813</v>
      </c>
      <c r="F156" s="14" t="s">
        <v>3008</v>
      </c>
      <c r="G156" s="14" t="s">
        <v>876</v>
      </c>
      <c r="H156" s="14" t="s">
        <v>623</v>
      </c>
      <c r="I156" s="14">
        <v>104.52</v>
      </c>
      <c r="J156" s="14"/>
      <c r="K156" s="14" t="s">
        <v>3024</v>
      </c>
    </row>
    <row r="157" spans="1:11" x14ac:dyDescent="0.35">
      <c r="A157" s="11" t="s">
        <v>3206</v>
      </c>
      <c r="B157" s="21">
        <v>45507</v>
      </c>
      <c r="C157" s="12" t="s">
        <v>526</v>
      </c>
      <c r="D157" s="12" t="s">
        <v>3002</v>
      </c>
      <c r="E157" s="12" t="s">
        <v>798</v>
      </c>
      <c r="F157" s="12" t="s">
        <v>2995</v>
      </c>
      <c r="G157" s="12" t="s">
        <v>3035</v>
      </c>
      <c r="H157" s="12" t="s">
        <v>3003</v>
      </c>
      <c r="I157" s="12">
        <v>66.59</v>
      </c>
      <c r="J157" s="12"/>
      <c r="K157" s="12" t="s">
        <v>3020</v>
      </c>
    </row>
    <row r="158" spans="1:11" x14ac:dyDescent="0.35">
      <c r="A158" s="13" t="s">
        <v>3207</v>
      </c>
      <c r="B158" s="22">
        <v>46013</v>
      </c>
      <c r="C158" s="14" t="s">
        <v>533</v>
      </c>
      <c r="D158" s="14" t="s">
        <v>3006</v>
      </c>
      <c r="E158" s="14" t="s">
        <v>786</v>
      </c>
      <c r="F158" s="14" t="s">
        <v>2990</v>
      </c>
      <c r="G158" s="14" t="s">
        <v>3047</v>
      </c>
      <c r="H158" s="14" t="s">
        <v>3003</v>
      </c>
      <c r="I158" s="14">
        <v>58.67</v>
      </c>
      <c r="J158" s="22">
        <v>46024</v>
      </c>
      <c r="K158" s="14" t="s">
        <v>3000</v>
      </c>
    </row>
    <row r="159" spans="1:11" x14ac:dyDescent="0.35">
      <c r="A159" s="11" t="s">
        <v>3208</v>
      </c>
      <c r="B159" s="21">
        <v>45418</v>
      </c>
      <c r="C159" s="12" t="s">
        <v>352</v>
      </c>
      <c r="D159" s="12" t="s">
        <v>650</v>
      </c>
      <c r="E159" s="12" t="s">
        <v>786</v>
      </c>
      <c r="F159" s="12" t="s">
        <v>2995</v>
      </c>
      <c r="G159" s="12" t="s">
        <v>963</v>
      </c>
      <c r="H159" s="12" t="s">
        <v>2991</v>
      </c>
      <c r="I159" s="12">
        <v>78.22</v>
      </c>
      <c r="J159" s="12"/>
      <c r="K159" s="12" t="s">
        <v>3000</v>
      </c>
    </row>
    <row r="160" spans="1:11" x14ac:dyDescent="0.35">
      <c r="A160" s="13" t="s">
        <v>3209</v>
      </c>
      <c r="B160" s="22">
        <v>45873</v>
      </c>
      <c r="C160" s="14" t="s">
        <v>546</v>
      </c>
      <c r="D160" s="14" t="s">
        <v>2994</v>
      </c>
      <c r="E160" s="14" t="s">
        <v>813</v>
      </c>
      <c r="F160" s="14" t="s">
        <v>2995</v>
      </c>
      <c r="G160" s="14" t="s">
        <v>810</v>
      </c>
      <c r="H160" s="14" t="s">
        <v>623</v>
      </c>
      <c r="I160" s="14">
        <v>37.75</v>
      </c>
      <c r="J160" s="14"/>
      <c r="K160" s="14" t="s">
        <v>2998</v>
      </c>
    </row>
    <row r="161" spans="1:11" x14ac:dyDescent="0.35">
      <c r="A161" s="11" t="s">
        <v>3210</v>
      </c>
      <c r="B161" s="21">
        <v>45614</v>
      </c>
      <c r="C161" s="12" t="s">
        <v>503</v>
      </c>
      <c r="D161" s="12" t="s">
        <v>650</v>
      </c>
      <c r="E161" s="12" t="s">
        <v>798</v>
      </c>
      <c r="F161" s="12" t="s">
        <v>2990</v>
      </c>
      <c r="G161" s="12" t="s">
        <v>3100</v>
      </c>
      <c r="H161" s="12" t="s">
        <v>2997</v>
      </c>
      <c r="I161" s="12">
        <v>62.85</v>
      </c>
      <c r="J161" s="21">
        <v>45628</v>
      </c>
      <c r="K161" s="12" t="s">
        <v>3020</v>
      </c>
    </row>
    <row r="162" spans="1:11" x14ac:dyDescent="0.35">
      <c r="A162" s="13" t="s">
        <v>3211</v>
      </c>
      <c r="B162" s="22">
        <v>45989</v>
      </c>
      <c r="C162" s="14" t="s">
        <v>346</v>
      </c>
      <c r="D162" s="14" t="s">
        <v>3002</v>
      </c>
      <c r="E162" s="14" t="s">
        <v>786</v>
      </c>
      <c r="F162" s="14" t="s">
        <v>787</v>
      </c>
      <c r="G162" s="14" t="s">
        <v>3168</v>
      </c>
      <c r="H162" s="14" t="s">
        <v>2991</v>
      </c>
      <c r="I162" s="14">
        <v>70.27</v>
      </c>
      <c r="J162" s="14"/>
      <c r="K162" s="14" t="s">
        <v>2998</v>
      </c>
    </row>
    <row r="163" spans="1:11" x14ac:dyDescent="0.35">
      <c r="A163" s="11" t="s">
        <v>3212</v>
      </c>
      <c r="B163" s="21">
        <v>45471</v>
      </c>
      <c r="C163" s="12" t="s">
        <v>408</v>
      </c>
      <c r="D163" s="12" t="s">
        <v>3017</v>
      </c>
      <c r="E163" s="12" t="s">
        <v>813</v>
      </c>
      <c r="F163" s="12" t="s">
        <v>2990</v>
      </c>
      <c r="G163" s="12" t="s">
        <v>3019</v>
      </c>
      <c r="H163" s="12" t="s">
        <v>2991</v>
      </c>
      <c r="I163" s="12">
        <v>58.02</v>
      </c>
      <c r="J163" s="21">
        <v>45474</v>
      </c>
      <c r="K163" s="12" t="s">
        <v>3024</v>
      </c>
    </row>
    <row r="164" spans="1:11" x14ac:dyDescent="0.35">
      <c r="A164" s="13" t="s">
        <v>3213</v>
      </c>
      <c r="B164" s="22">
        <v>45533</v>
      </c>
      <c r="C164" s="14" t="s">
        <v>396</v>
      </c>
      <c r="D164" s="14" t="s">
        <v>650</v>
      </c>
      <c r="E164" s="14" t="s">
        <v>798</v>
      </c>
      <c r="F164" s="14" t="s">
        <v>787</v>
      </c>
      <c r="G164" s="14" t="s">
        <v>919</v>
      </c>
      <c r="H164" s="14" t="s">
        <v>2991</v>
      </c>
      <c r="I164" s="14">
        <v>54.04</v>
      </c>
      <c r="J164" s="14"/>
      <c r="K164" s="14" t="s">
        <v>3038</v>
      </c>
    </row>
    <row r="165" spans="1:11" x14ac:dyDescent="0.35">
      <c r="A165" s="11" t="s">
        <v>3214</v>
      </c>
      <c r="B165" s="21">
        <v>45693</v>
      </c>
      <c r="C165" s="12" t="s">
        <v>356</v>
      </c>
      <c r="D165" s="12" t="s">
        <v>650</v>
      </c>
      <c r="E165" s="12" t="s">
        <v>786</v>
      </c>
      <c r="F165" s="12" t="s">
        <v>787</v>
      </c>
      <c r="G165" s="12" t="s">
        <v>3070</v>
      </c>
      <c r="H165" s="12" t="s">
        <v>623</v>
      </c>
      <c r="I165" s="12">
        <v>82.33</v>
      </c>
      <c r="J165" s="12"/>
      <c r="K165" s="12" t="s">
        <v>3000</v>
      </c>
    </row>
    <row r="166" spans="1:11" x14ac:dyDescent="0.35">
      <c r="A166" s="13" t="s">
        <v>3215</v>
      </c>
      <c r="B166" s="22">
        <v>45862</v>
      </c>
      <c r="C166" s="14" t="s">
        <v>383</v>
      </c>
      <c r="D166" s="14" t="s">
        <v>3017</v>
      </c>
      <c r="E166" s="14" t="s">
        <v>786</v>
      </c>
      <c r="F166" s="14" t="s">
        <v>787</v>
      </c>
      <c r="G166" s="14" t="s">
        <v>919</v>
      </c>
      <c r="H166" s="14" t="s">
        <v>623</v>
      </c>
      <c r="I166" s="14">
        <v>30.24</v>
      </c>
      <c r="J166" s="14"/>
      <c r="K166" s="14" t="s">
        <v>3004</v>
      </c>
    </row>
    <row r="167" spans="1:11" x14ac:dyDescent="0.35">
      <c r="A167" s="11" t="s">
        <v>3216</v>
      </c>
      <c r="B167" s="21">
        <v>45527</v>
      </c>
      <c r="C167" s="12" t="s">
        <v>365</v>
      </c>
      <c r="D167" s="12" t="s">
        <v>3006</v>
      </c>
      <c r="E167" s="12" t="s">
        <v>786</v>
      </c>
      <c r="F167" s="12" t="s">
        <v>2990</v>
      </c>
      <c r="G167" s="12" t="s">
        <v>3081</v>
      </c>
      <c r="H167" s="12" t="s">
        <v>2991</v>
      </c>
      <c r="I167" s="12">
        <v>33.06</v>
      </c>
      <c r="J167" s="21">
        <v>45534</v>
      </c>
      <c r="K167" s="12" t="s">
        <v>3015</v>
      </c>
    </row>
    <row r="168" spans="1:11" x14ac:dyDescent="0.35">
      <c r="A168" s="13" t="s">
        <v>3217</v>
      </c>
      <c r="B168" s="22">
        <v>45409</v>
      </c>
      <c r="C168" s="14" t="s">
        <v>279</v>
      </c>
      <c r="D168" s="14" t="s">
        <v>3006</v>
      </c>
      <c r="E168" s="14" t="s">
        <v>786</v>
      </c>
      <c r="F168" s="14" t="s">
        <v>2990</v>
      </c>
      <c r="G168" s="14" t="s">
        <v>3092</v>
      </c>
      <c r="H168" s="14" t="s">
        <v>2991</v>
      </c>
      <c r="I168" s="14">
        <v>48.19</v>
      </c>
      <c r="J168" s="22">
        <v>45421</v>
      </c>
      <c r="K168" s="14" t="s">
        <v>3015</v>
      </c>
    </row>
    <row r="169" spans="1:11" x14ac:dyDescent="0.35">
      <c r="A169" s="11" t="s">
        <v>3218</v>
      </c>
      <c r="B169" s="21">
        <v>45416</v>
      </c>
      <c r="C169" s="12" t="s">
        <v>245</v>
      </c>
      <c r="D169" s="12" t="s">
        <v>650</v>
      </c>
      <c r="E169" s="12" t="s">
        <v>786</v>
      </c>
      <c r="F169" s="12" t="s">
        <v>3008</v>
      </c>
      <c r="G169" s="12" t="s">
        <v>3062</v>
      </c>
      <c r="H169" s="12" t="s">
        <v>2991</v>
      </c>
      <c r="I169" s="12">
        <v>104.02</v>
      </c>
      <c r="J169" s="12"/>
      <c r="K169" s="12" t="s">
        <v>3010</v>
      </c>
    </row>
    <row r="170" spans="1:11" x14ac:dyDescent="0.35">
      <c r="A170" s="13" t="s">
        <v>3219</v>
      </c>
      <c r="B170" s="22">
        <v>45587</v>
      </c>
      <c r="C170" s="14" t="s">
        <v>292</v>
      </c>
      <c r="D170" s="14" t="s">
        <v>3012</v>
      </c>
      <c r="E170" s="14" t="s">
        <v>786</v>
      </c>
      <c r="F170" s="14" t="s">
        <v>2995</v>
      </c>
      <c r="G170" s="14" t="s">
        <v>3120</v>
      </c>
      <c r="H170" s="14" t="s">
        <v>3003</v>
      </c>
      <c r="I170" s="14">
        <v>25</v>
      </c>
      <c r="J170" s="14"/>
      <c r="K170" s="14" t="s">
        <v>3010</v>
      </c>
    </row>
    <row r="171" spans="1:11" x14ac:dyDescent="0.35">
      <c r="A171" s="11" t="s">
        <v>3220</v>
      </c>
      <c r="B171" s="21">
        <v>45895</v>
      </c>
      <c r="C171" s="12" t="s">
        <v>512</v>
      </c>
      <c r="D171" s="12" t="s">
        <v>3006</v>
      </c>
      <c r="E171" s="12" t="s">
        <v>798</v>
      </c>
      <c r="F171" s="12" t="s">
        <v>3008</v>
      </c>
      <c r="G171" s="12" t="s">
        <v>963</v>
      </c>
      <c r="H171" s="12" t="s">
        <v>3003</v>
      </c>
      <c r="I171" s="12">
        <v>100.32</v>
      </c>
      <c r="J171" s="12"/>
      <c r="K171" s="12" t="s">
        <v>3048</v>
      </c>
    </row>
    <row r="172" spans="1:11" x14ac:dyDescent="0.35">
      <c r="A172" s="13" t="s">
        <v>3221</v>
      </c>
      <c r="B172" s="22">
        <v>45614</v>
      </c>
      <c r="C172" s="14" t="s">
        <v>429</v>
      </c>
      <c r="D172" s="14" t="s">
        <v>2994</v>
      </c>
      <c r="E172" s="14" t="s">
        <v>798</v>
      </c>
      <c r="F172" s="14" t="s">
        <v>2990</v>
      </c>
      <c r="G172" s="14" t="s">
        <v>3104</v>
      </c>
      <c r="H172" s="14" t="s">
        <v>623</v>
      </c>
      <c r="I172" s="14">
        <v>127.68</v>
      </c>
      <c r="J172" s="22">
        <v>45615</v>
      </c>
      <c r="K172" s="14" t="s">
        <v>3048</v>
      </c>
    </row>
    <row r="173" spans="1:11" x14ac:dyDescent="0.35">
      <c r="A173" s="11" t="s">
        <v>3222</v>
      </c>
      <c r="B173" s="21">
        <v>46042</v>
      </c>
      <c r="C173" s="12" t="s">
        <v>304</v>
      </c>
      <c r="D173" s="12" t="s">
        <v>3006</v>
      </c>
      <c r="E173" s="12" t="s">
        <v>786</v>
      </c>
      <c r="F173" s="12" t="s">
        <v>2990</v>
      </c>
      <c r="G173" s="12" t="s">
        <v>3032</v>
      </c>
      <c r="H173" s="12" t="s">
        <v>623</v>
      </c>
      <c r="I173" s="12">
        <v>62.13</v>
      </c>
      <c r="J173" s="21">
        <v>46048</v>
      </c>
      <c r="K173" s="12" t="s">
        <v>2998</v>
      </c>
    </row>
    <row r="174" spans="1:11" x14ac:dyDescent="0.35">
      <c r="A174" s="13" t="s">
        <v>3223</v>
      </c>
      <c r="B174" s="22">
        <v>45629</v>
      </c>
      <c r="C174" s="14" t="s">
        <v>431</v>
      </c>
      <c r="D174" s="14" t="s">
        <v>650</v>
      </c>
      <c r="E174" s="14" t="s">
        <v>786</v>
      </c>
      <c r="F174" s="14" t="s">
        <v>2990</v>
      </c>
      <c r="G174" s="14" t="s">
        <v>825</v>
      </c>
      <c r="H174" s="14" t="s">
        <v>623</v>
      </c>
      <c r="I174" s="14">
        <v>29.1</v>
      </c>
      <c r="J174" s="22">
        <v>45641</v>
      </c>
      <c r="K174" s="14" t="s">
        <v>3038</v>
      </c>
    </row>
    <row r="175" spans="1:11" x14ac:dyDescent="0.35">
      <c r="A175" s="11" t="s">
        <v>3224</v>
      </c>
      <c r="B175" s="21">
        <v>45738</v>
      </c>
      <c r="C175" s="12" t="s">
        <v>482</v>
      </c>
      <c r="D175" s="12" t="s">
        <v>3012</v>
      </c>
      <c r="E175" s="12" t="s">
        <v>786</v>
      </c>
      <c r="F175" s="12" t="s">
        <v>3008</v>
      </c>
      <c r="G175" s="12" t="s">
        <v>2996</v>
      </c>
      <c r="H175" s="12" t="s">
        <v>623</v>
      </c>
      <c r="I175" s="12">
        <v>25</v>
      </c>
      <c r="J175" s="12"/>
      <c r="K175" s="12" t="s">
        <v>3015</v>
      </c>
    </row>
    <row r="176" spans="1:11" x14ac:dyDescent="0.35">
      <c r="A176" s="13" t="s">
        <v>3225</v>
      </c>
      <c r="B176" s="22">
        <v>45671</v>
      </c>
      <c r="C176" s="14" t="s">
        <v>424</v>
      </c>
      <c r="D176" s="14" t="s">
        <v>3006</v>
      </c>
      <c r="E176" s="14" t="s">
        <v>798</v>
      </c>
      <c r="F176" s="14" t="s">
        <v>2990</v>
      </c>
      <c r="G176" s="14" t="s">
        <v>3019</v>
      </c>
      <c r="H176" s="14" t="s">
        <v>2997</v>
      </c>
      <c r="I176" s="14">
        <v>193.6</v>
      </c>
      <c r="J176" s="22">
        <v>45672</v>
      </c>
      <c r="K176" s="14" t="s">
        <v>3020</v>
      </c>
    </row>
    <row r="177" spans="1:11" x14ac:dyDescent="0.35">
      <c r="A177" s="11" t="s">
        <v>3226</v>
      </c>
      <c r="B177" s="21">
        <v>45846</v>
      </c>
      <c r="C177" s="12" t="s">
        <v>435</v>
      </c>
      <c r="D177" s="12" t="s">
        <v>3006</v>
      </c>
      <c r="E177" s="12" t="s">
        <v>786</v>
      </c>
      <c r="F177" s="12" t="s">
        <v>2990</v>
      </c>
      <c r="G177" s="12" t="s">
        <v>825</v>
      </c>
      <c r="H177" s="12" t="s">
        <v>2997</v>
      </c>
      <c r="I177" s="12">
        <v>26.43</v>
      </c>
      <c r="J177" s="21">
        <v>45859</v>
      </c>
      <c r="K177" s="12" t="s">
        <v>3000</v>
      </c>
    </row>
    <row r="178" spans="1:11" x14ac:dyDescent="0.35">
      <c r="A178" s="13" t="s">
        <v>3227</v>
      </c>
      <c r="B178" s="22">
        <v>45772</v>
      </c>
      <c r="C178" s="14" t="s">
        <v>277</v>
      </c>
      <c r="D178" s="14" t="s">
        <v>650</v>
      </c>
      <c r="E178" s="14" t="s">
        <v>798</v>
      </c>
      <c r="F178" s="14" t="s">
        <v>3008</v>
      </c>
      <c r="G178" s="14" t="s">
        <v>3092</v>
      </c>
      <c r="H178" s="14" t="s">
        <v>3003</v>
      </c>
      <c r="I178" s="14">
        <v>40.270000000000003</v>
      </c>
      <c r="J178" s="14"/>
      <c r="K178" s="14" t="s">
        <v>3015</v>
      </c>
    </row>
    <row r="179" spans="1:11" x14ac:dyDescent="0.35">
      <c r="A179" s="11" t="s">
        <v>3228</v>
      </c>
      <c r="B179" s="21">
        <v>45721</v>
      </c>
      <c r="C179" s="12" t="s">
        <v>531</v>
      </c>
      <c r="D179" s="12" t="s">
        <v>3017</v>
      </c>
      <c r="E179" s="12" t="s">
        <v>786</v>
      </c>
      <c r="F179" s="12" t="s">
        <v>787</v>
      </c>
      <c r="G179" s="12" t="s">
        <v>946</v>
      </c>
      <c r="H179" s="12" t="s">
        <v>2991</v>
      </c>
      <c r="I179" s="12">
        <v>25</v>
      </c>
      <c r="J179" s="12"/>
      <c r="K179" s="12" t="s">
        <v>3004</v>
      </c>
    </row>
    <row r="180" spans="1:11" x14ac:dyDescent="0.35">
      <c r="A180" s="13" t="s">
        <v>3229</v>
      </c>
      <c r="B180" s="22">
        <v>45689</v>
      </c>
      <c r="C180" s="14" t="s">
        <v>391</v>
      </c>
      <c r="D180" s="14" t="s">
        <v>2994</v>
      </c>
      <c r="E180" s="14" t="s">
        <v>798</v>
      </c>
      <c r="F180" s="14" t="s">
        <v>2995</v>
      </c>
      <c r="G180" s="14" t="s">
        <v>3162</v>
      </c>
      <c r="H180" s="14" t="s">
        <v>2991</v>
      </c>
      <c r="I180" s="14">
        <v>25</v>
      </c>
      <c r="J180" s="14"/>
      <c r="K180" s="14" t="s">
        <v>3024</v>
      </c>
    </row>
    <row r="181" spans="1:11" x14ac:dyDescent="0.35">
      <c r="A181" s="11" t="s">
        <v>3230</v>
      </c>
      <c r="B181" s="21">
        <v>45860</v>
      </c>
      <c r="C181" s="12" t="s">
        <v>521</v>
      </c>
      <c r="D181" s="12" t="s">
        <v>3012</v>
      </c>
      <c r="E181" s="12" t="s">
        <v>798</v>
      </c>
      <c r="F181" s="12" t="s">
        <v>2995</v>
      </c>
      <c r="G181" s="12" t="s">
        <v>3231</v>
      </c>
      <c r="H181" s="12" t="s">
        <v>623</v>
      </c>
      <c r="I181" s="12">
        <v>82.13</v>
      </c>
      <c r="J181" s="12"/>
      <c r="K181" s="12" t="s">
        <v>2992</v>
      </c>
    </row>
    <row r="182" spans="1:11" x14ac:dyDescent="0.35">
      <c r="A182" s="13" t="s">
        <v>3232</v>
      </c>
      <c r="B182" s="22">
        <v>45323</v>
      </c>
      <c r="C182" s="14" t="s">
        <v>454</v>
      </c>
      <c r="D182" s="14" t="s">
        <v>650</v>
      </c>
      <c r="E182" s="14" t="s">
        <v>786</v>
      </c>
      <c r="F182" s="14" t="s">
        <v>3008</v>
      </c>
      <c r="G182" s="14" t="s">
        <v>2996</v>
      </c>
      <c r="H182" s="14" t="s">
        <v>2991</v>
      </c>
      <c r="I182" s="14">
        <v>38.47</v>
      </c>
      <c r="J182" s="14"/>
      <c r="K182" s="14" t="s">
        <v>3015</v>
      </c>
    </row>
    <row r="183" spans="1:11" x14ac:dyDescent="0.35">
      <c r="A183" s="11" t="s">
        <v>3233</v>
      </c>
      <c r="B183" s="21">
        <v>45315</v>
      </c>
      <c r="C183" s="12" t="s">
        <v>586</v>
      </c>
      <c r="D183" s="12" t="s">
        <v>650</v>
      </c>
      <c r="E183" s="12" t="s">
        <v>786</v>
      </c>
      <c r="F183" s="12" t="s">
        <v>787</v>
      </c>
      <c r="G183" s="12" t="s">
        <v>3168</v>
      </c>
      <c r="H183" s="12" t="s">
        <v>3003</v>
      </c>
      <c r="I183" s="12">
        <v>91.01</v>
      </c>
      <c r="J183" s="12"/>
      <c r="K183" s="12" t="s">
        <v>3015</v>
      </c>
    </row>
    <row r="184" spans="1:11" x14ac:dyDescent="0.35">
      <c r="A184" s="13" t="s">
        <v>3234</v>
      </c>
      <c r="B184" s="22">
        <v>46010</v>
      </c>
      <c r="C184" s="14" t="s">
        <v>287</v>
      </c>
      <c r="D184" s="14" t="s">
        <v>3002</v>
      </c>
      <c r="E184" s="14" t="s">
        <v>786</v>
      </c>
      <c r="F184" s="14" t="s">
        <v>3013</v>
      </c>
      <c r="G184" s="14" t="s">
        <v>803</v>
      </c>
      <c r="H184" s="14" t="s">
        <v>3003</v>
      </c>
      <c r="I184" s="14">
        <v>44.42</v>
      </c>
      <c r="J184" s="22">
        <v>46017</v>
      </c>
      <c r="K184" s="14" t="s">
        <v>3038</v>
      </c>
    </row>
    <row r="185" spans="1:11" x14ac:dyDescent="0.35">
      <c r="A185" s="11" t="s">
        <v>3235</v>
      </c>
      <c r="B185" s="21">
        <v>45601</v>
      </c>
      <c r="C185" s="12" t="s">
        <v>311</v>
      </c>
      <c r="D185" s="12" t="s">
        <v>650</v>
      </c>
      <c r="E185" s="12" t="s">
        <v>798</v>
      </c>
      <c r="F185" s="12" t="s">
        <v>2990</v>
      </c>
      <c r="G185" s="12" t="s">
        <v>3066</v>
      </c>
      <c r="H185" s="12" t="s">
        <v>2997</v>
      </c>
      <c r="I185" s="12">
        <v>113.41</v>
      </c>
      <c r="J185" s="21">
        <v>45604</v>
      </c>
      <c r="K185" s="12" t="s">
        <v>3010</v>
      </c>
    </row>
    <row r="186" spans="1:11" x14ac:dyDescent="0.35">
      <c r="A186" s="13" t="s">
        <v>3236</v>
      </c>
      <c r="B186" s="22">
        <v>45764</v>
      </c>
      <c r="C186" s="14" t="s">
        <v>368</v>
      </c>
      <c r="D186" s="14" t="s">
        <v>3002</v>
      </c>
      <c r="E186" s="14" t="s">
        <v>786</v>
      </c>
      <c r="F186" s="14" t="s">
        <v>3013</v>
      </c>
      <c r="G186" s="14" t="s">
        <v>3102</v>
      </c>
      <c r="H186" s="14" t="s">
        <v>2991</v>
      </c>
      <c r="I186" s="14">
        <v>44.89</v>
      </c>
      <c r="J186" s="22">
        <v>45772</v>
      </c>
      <c r="K186" s="14" t="s">
        <v>3020</v>
      </c>
    </row>
    <row r="187" spans="1:11" x14ac:dyDescent="0.35">
      <c r="A187" s="11" t="s">
        <v>3237</v>
      </c>
      <c r="B187" s="21">
        <v>45589</v>
      </c>
      <c r="C187" s="12" t="s">
        <v>484</v>
      </c>
      <c r="D187" s="12" t="s">
        <v>3006</v>
      </c>
      <c r="E187" s="12" t="s">
        <v>798</v>
      </c>
      <c r="F187" s="12" t="s">
        <v>787</v>
      </c>
      <c r="G187" s="12" t="s">
        <v>3146</v>
      </c>
      <c r="H187" s="12" t="s">
        <v>2991</v>
      </c>
      <c r="I187" s="12">
        <v>97.06</v>
      </c>
      <c r="J187" s="12"/>
      <c r="K187" s="12" t="s">
        <v>3000</v>
      </c>
    </row>
    <row r="188" spans="1:11" x14ac:dyDescent="0.35">
      <c r="A188" s="13" t="s">
        <v>3238</v>
      </c>
      <c r="B188" s="22">
        <v>45481</v>
      </c>
      <c r="C188" s="14" t="s">
        <v>307</v>
      </c>
      <c r="D188" s="14" t="s">
        <v>3006</v>
      </c>
      <c r="E188" s="14" t="s">
        <v>786</v>
      </c>
      <c r="F188" s="14" t="s">
        <v>2990</v>
      </c>
      <c r="G188" s="14" t="s">
        <v>963</v>
      </c>
      <c r="H188" s="14" t="s">
        <v>3003</v>
      </c>
      <c r="I188" s="14">
        <v>30.07</v>
      </c>
      <c r="J188" s="22">
        <v>45486</v>
      </c>
      <c r="K188" s="14" t="s">
        <v>3010</v>
      </c>
    </row>
    <row r="189" spans="1:11" x14ac:dyDescent="0.35">
      <c r="A189" s="11" t="s">
        <v>3239</v>
      </c>
      <c r="B189" s="21">
        <v>45915</v>
      </c>
      <c r="C189" s="12" t="s">
        <v>478</v>
      </c>
      <c r="D189" s="12" t="s">
        <v>650</v>
      </c>
      <c r="E189" s="12" t="s">
        <v>786</v>
      </c>
      <c r="F189" s="12" t="s">
        <v>787</v>
      </c>
      <c r="G189" s="12" t="s">
        <v>1017</v>
      </c>
      <c r="H189" s="12" t="s">
        <v>3003</v>
      </c>
      <c r="I189" s="12">
        <v>34.06</v>
      </c>
      <c r="J189" s="12"/>
      <c r="K189" s="12" t="s">
        <v>3004</v>
      </c>
    </row>
    <row r="190" spans="1:11" x14ac:dyDescent="0.35">
      <c r="A190" s="13" t="s">
        <v>3240</v>
      </c>
      <c r="B190" s="22">
        <v>45436</v>
      </c>
      <c r="C190" s="14" t="s">
        <v>445</v>
      </c>
      <c r="D190" s="14" t="s">
        <v>2994</v>
      </c>
      <c r="E190" s="14" t="s">
        <v>786</v>
      </c>
      <c r="F190" s="14" t="s">
        <v>2990</v>
      </c>
      <c r="G190" s="14" t="s">
        <v>819</v>
      </c>
      <c r="H190" s="14" t="s">
        <v>623</v>
      </c>
      <c r="I190" s="14">
        <v>30.74</v>
      </c>
      <c r="J190" s="22">
        <v>45449</v>
      </c>
      <c r="K190" s="14" t="s">
        <v>2998</v>
      </c>
    </row>
    <row r="191" spans="1:11" x14ac:dyDescent="0.35">
      <c r="A191" s="11" t="s">
        <v>3241</v>
      </c>
      <c r="B191" s="21">
        <v>46030</v>
      </c>
      <c r="C191" s="12" t="s">
        <v>600</v>
      </c>
      <c r="D191" s="12" t="s">
        <v>3002</v>
      </c>
      <c r="E191" s="12" t="s">
        <v>786</v>
      </c>
      <c r="F191" s="12" t="s">
        <v>787</v>
      </c>
      <c r="G191" s="12" t="s">
        <v>963</v>
      </c>
      <c r="H191" s="12" t="s">
        <v>2997</v>
      </c>
      <c r="I191" s="12">
        <v>37.5</v>
      </c>
      <c r="J191" s="12"/>
      <c r="K191" s="12" t="s">
        <v>2998</v>
      </c>
    </row>
    <row r="192" spans="1:11" x14ac:dyDescent="0.35">
      <c r="A192" s="13" t="s">
        <v>3242</v>
      </c>
      <c r="B192" s="22">
        <v>45673</v>
      </c>
      <c r="C192" s="14" t="s">
        <v>505</v>
      </c>
      <c r="D192" s="14" t="s">
        <v>3006</v>
      </c>
      <c r="E192" s="14" t="s">
        <v>786</v>
      </c>
      <c r="F192" s="14" t="s">
        <v>2990</v>
      </c>
      <c r="G192" s="14" t="s">
        <v>3056</v>
      </c>
      <c r="H192" s="14" t="s">
        <v>623</v>
      </c>
      <c r="I192" s="14">
        <v>25</v>
      </c>
      <c r="J192" s="22">
        <v>45687</v>
      </c>
      <c r="K192" s="14" t="s">
        <v>3000</v>
      </c>
    </row>
    <row r="193" spans="1:11" x14ac:dyDescent="0.35">
      <c r="A193" s="11" t="s">
        <v>3243</v>
      </c>
      <c r="B193" s="21">
        <v>45436</v>
      </c>
      <c r="C193" s="12" t="s">
        <v>340</v>
      </c>
      <c r="D193" s="12" t="s">
        <v>3002</v>
      </c>
      <c r="E193" s="12" t="s">
        <v>786</v>
      </c>
      <c r="F193" s="12" t="s">
        <v>787</v>
      </c>
      <c r="G193" s="12" t="s">
        <v>3066</v>
      </c>
      <c r="H193" s="12" t="s">
        <v>623</v>
      </c>
      <c r="I193" s="12">
        <v>29.68</v>
      </c>
      <c r="J193" s="12"/>
      <c r="K193" s="12" t="s">
        <v>3038</v>
      </c>
    </row>
    <row r="194" spans="1:11" x14ac:dyDescent="0.35">
      <c r="A194" s="13" t="s">
        <v>3244</v>
      </c>
      <c r="B194" s="22">
        <v>45356</v>
      </c>
      <c r="C194" s="14" t="s">
        <v>311</v>
      </c>
      <c r="D194" s="14" t="s">
        <v>2994</v>
      </c>
      <c r="E194" s="14" t="s">
        <v>786</v>
      </c>
      <c r="F194" s="14" t="s">
        <v>2990</v>
      </c>
      <c r="G194" s="14" t="s">
        <v>3245</v>
      </c>
      <c r="H194" s="14" t="s">
        <v>2991</v>
      </c>
      <c r="I194" s="14">
        <v>30.35</v>
      </c>
      <c r="J194" s="22">
        <v>45361</v>
      </c>
      <c r="K194" s="14" t="s">
        <v>3038</v>
      </c>
    </row>
    <row r="195" spans="1:11" x14ac:dyDescent="0.35">
      <c r="A195" s="11" t="s">
        <v>3246</v>
      </c>
      <c r="B195" s="21">
        <v>45762</v>
      </c>
      <c r="C195" s="12" t="s">
        <v>363</v>
      </c>
      <c r="D195" s="12" t="s">
        <v>3017</v>
      </c>
      <c r="E195" s="12" t="s">
        <v>798</v>
      </c>
      <c r="F195" s="12" t="s">
        <v>3008</v>
      </c>
      <c r="G195" s="12" t="s">
        <v>3040</v>
      </c>
      <c r="H195" s="12" t="s">
        <v>3003</v>
      </c>
      <c r="I195" s="12">
        <v>174.46</v>
      </c>
      <c r="J195" s="12"/>
      <c r="K195" s="12" t="s">
        <v>3024</v>
      </c>
    </row>
    <row r="196" spans="1:11" x14ac:dyDescent="0.35">
      <c r="A196" s="13" t="s">
        <v>3247</v>
      </c>
      <c r="B196" s="22">
        <v>45458</v>
      </c>
      <c r="C196" s="14" t="s">
        <v>537</v>
      </c>
      <c r="D196" s="14" t="s">
        <v>650</v>
      </c>
      <c r="E196" s="14" t="s">
        <v>786</v>
      </c>
      <c r="F196" s="14" t="s">
        <v>2990</v>
      </c>
      <c r="G196" s="14" t="s">
        <v>834</v>
      </c>
      <c r="H196" s="14" t="s">
        <v>623</v>
      </c>
      <c r="I196" s="14">
        <v>50.25</v>
      </c>
      <c r="J196" s="22">
        <v>45459</v>
      </c>
      <c r="K196" s="14" t="s">
        <v>3010</v>
      </c>
    </row>
    <row r="197" spans="1:11" x14ac:dyDescent="0.35">
      <c r="A197" s="11" t="s">
        <v>3248</v>
      </c>
      <c r="B197" s="21">
        <v>45789</v>
      </c>
      <c r="C197" s="12" t="s">
        <v>521</v>
      </c>
      <c r="D197" s="12" t="s">
        <v>3012</v>
      </c>
      <c r="E197" s="12" t="s">
        <v>813</v>
      </c>
      <c r="F197" s="12" t="s">
        <v>2990</v>
      </c>
      <c r="G197" s="12" t="s">
        <v>3032</v>
      </c>
      <c r="H197" s="12" t="s">
        <v>3003</v>
      </c>
      <c r="I197" s="12">
        <v>42.91</v>
      </c>
      <c r="J197" s="21">
        <v>45801</v>
      </c>
      <c r="K197" s="12" t="s">
        <v>2998</v>
      </c>
    </row>
    <row r="198" spans="1:11" x14ac:dyDescent="0.35">
      <c r="A198" s="13" t="s">
        <v>3249</v>
      </c>
      <c r="B198" s="22">
        <v>46026</v>
      </c>
      <c r="C198" s="14" t="s">
        <v>492</v>
      </c>
      <c r="D198" s="14" t="s">
        <v>3017</v>
      </c>
      <c r="E198" s="14" t="s">
        <v>786</v>
      </c>
      <c r="F198" s="14" t="s">
        <v>3013</v>
      </c>
      <c r="G198" s="14" t="s">
        <v>2996</v>
      </c>
      <c r="H198" s="14" t="s">
        <v>2991</v>
      </c>
      <c r="I198" s="14">
        <v>85.32</v>
      </c>
      <c r="J198" s="22">
        <v>46035</v>
      </c>
      <c r="K198" s="14" t="s">
        <v>2992</v>
      </c>
    </row>
    <row r="199" spans="1:11" x14ac:dyDescent="0.35">
      <c r="A199" s="11" t="s">
        <v>3250</v>
      </c>
      <c r="B199" s="21">
        <v>45298</v>
      </c>
      <c r="C199" s="12" t="s">
        <v>503</v>
      </c>
      <c r="D199" s="12" t="s">
        <v>3006</v>
      </c>
      <c r="E199" s="12" t="s">
        <v>786</v>
      </c>
      <c r="F199" s="12" t="s">
        <v>3008</v>
      </c>
      <c r="G199" s="12" t="s">
        <v>3092</v>
      </c>
      <c r="H199" s="12" t="s">
        <v>623</v>
      </c>
      <c r="I199" s="12">
        <v>41.45</v>
      </c>
      <c r="J199" s="12"/>
      <c r="K199" s="12" t="s">
        <v>3010</v>
      </c>
    </row>
    <row r="200" spans="1:11" x14ac:dyDescent="0.35">
      <c r="A200" s="13" t="s">
        <v>3251</v>
      </c>
      <c r="B200" s="22">
        <v>45410</v>
      </c>
      <c r="C200" s="14" t="s">
        <v>544</v>
      </c>
      <c r="D200" s="14" t="s">
        <v>3002</v>
      </c>
      <c r="E200" s="14" t="s">
        <v>813</v>
      </c>
      <c r="F200" s="14" t="s">
        <v>2990</v>
      </c>
      <c r="G200" s="14" t="s">
        <v>3060</v>
      </c>
      <c r="H200" s="14" t="s">
        <v>623</v>
      </c>
      <c r="I200" s="14">
        <v>65.37</v>
      </c>
      <c r="J200" s="22">
        <v>45424</v>
      </c>
      <c r="K200" s="14" t="s">
        <v>3010</v>
      </c>
    </row>
    <row r="201" spans="1:11" x14ac:dyDescent="0.35">
      <c r="A201" s="11" t="s">
        <v>3252</v>
      </c>
      <c r="B201" s="21">
        <v>45614</v>
      </c>
      <c r="C201" s="12" t="s">
        <v>282</v>
      </c>
      <c r="D201" s="12" t="s">
        <v>2994</v>
      </c>
      <c r="E201" s="12" t="s">
        <v>786</v>
      </c>
      <c r="F201" s="12" t="s">
        <v>3013</v>
      </c>
      <c r="G201" s="12" t="s">
        <v>3253</v>
      </c>
      <c r="H201" s="12" t="s">
        <v>3003</v>
      </c>
      <c r="I201" s="12">
        <v>81.069999999999993</v>
      </c>
      <c r="J201" s="21">
        <v>45628</v>
      </c>
      <c r="K201" s="12" t="s">
        <v>3020</v>
      </c>
    </row>
    <row r="202" spans="1:11" x14ac:dyDescent="0.35">
      <c r="A202" s="13" t="s">
        <v>3254</v>
      </c>
      <c r="B202" s="22">
        <v>45346</v>
      </c>
      <c r="C202" s="14" t="s">
        <v>458</v>
      </c>
      <c r="D202" s="14" t="s">
        <v>3017</v>
      </c>
      <c r="E202" s="14" t="s">
        <v>786</v>
      </c>
      <c r="F202" s="14" t="s">
        <v>787</v>
      </c>
      <c r="G202" s="14" t="s">
        <v>2996</v>
      </c>
      <c r="H202" s="14" t="s">
        <v>2991</v>
      </c>
      <c r="I202" s="14">
        <v>78.459999999999994</v>
      </c>
      <c r="J202" s="14"/>
      <c r="K202" s="14" t="s">
        <v>3000</v>
      </c>
    </row>
    <row r="203" spans="1:11" x14ac:dyDescent="0.35">
      <c r="A203" s="11" t="s">
        <v>3255</v>
      </c>
      <c r="B203" s="21">
        <v>45613</v>
      </c>
      <c r="C203" s="12" t="s">
        <v>581</v>
      </c>
      <c r="D203" s="12" t="s">
        <v>3006</v>
      </c>
      <c r="E203" s="12" t="s">
        <v>786</v>
      </c>
      <c r="F203" s="12" t="s">
        <v>2995</v>
      </c>
      <c r="G203" s="12" t="s">
        <v>3168</v>
      </c>
      <c r="H203" s="12" t="s">
        <v>2997</v>
      </c>
      <c r="I203" s="12">
        <v>53.5</v>
      </c>
      <c r="J203" s="12"/>
      <c r="K203" s="12" t="s">
        <v>3024</v>
      </c>
    </row>
    <row r="204" spans="1:11" x14ac:dyDescent="0.35">
      <c r="A204" s="13" t="s">
        <v>3256</v>
      </c>
      <c r="B204" s="22">
        <v>46020</v>
      </c>
      <c r="C204" s="14" t="s">
        <v>396</v>
      </c>
      <c r="D204" s="14" t="s">
        <v>3012</v>
      </c>
      <c r="E204" s="14" t="s">
        <v>786</v>
      </c>
      <c r="F204" s="14" t="s">
        <v>2990</v>
      </c>
      <c r="G204" s="14" t="s">
        <v>3087</v>
      </c>
      <c r="H204" s="14" t="s">
        <v>2991</v>
      </c>
      <c r="I204" s="14">
        <v>58.13</v>
      </c>
      <c r="J204" s="22">
        <v>46027</v>
      </c>
      <c r="K204" s="14" t="s">
        <v>3000</v>
      </c>
    </row>
    <row r="205" spans="1:11" x14ac:dyDescent="0.35">
      <c r="A205" s="11" t="s">
        <v>3257</v>
      </c>
      <c r="B205" s="21">
        <v>45860</v>
      </c>
      <c r="C205" s="12" t="s">
        <v>542</v>
      </c>
      <c r="D205" s="12" t="s">
        <v>3017</v>
      </c>
      <c r="E205" s="12" t="s">
        <v>798</v>
      </c>
      <c r="F205" s="12" t="s">
        <v>3008</v>
      </c>
      <c r="G205" s="12" t="s">
        <v>3056</v>
      </c>
      <c r="H205" s="12" t="s">
        <v>2997</v>
      </c>
      <c r="I205" s="12">
        <v>67.59</v>
      </c>
      <c r="J205" s="12"/>
      <c r="K205" s="12" t="s">
        <v>2998</v>
      </c>
    </row>
    <row r="206" spans="1:11" x14ac:dyDescent="0.35">
      <c r="A206" s="13" t="s">
        <v>3258</v>
      </c>
      <c r="B206" s="22">
        <v>45775</v>
      </c>
      <c r="C206" s="14" t="s">
        <v>447</v>
      </c>
      <c r="D206" s="14" t="s">
        <v>3006</v>
      </c>
      <c r="E206" s="14" t="s">
        <v>786</v>
      </c>
      <c r="F206" s="14" t="s">
        <v>2990</v>
      </c>
      <c r="G206" s="14" t="s">
        <v>3035</v>
      </c>
      <c r="H206" s="14" t="s">
        <v>3003</v>
      </c>
      <c r="I206" s="14">
        <v>74.959999999999994</v>
      </c>
      <c r="J206" s="22">
        <v>45783</v>
      </c>
      <c r="K206" s="14" t="s">
        <v>3048</v>
      </c>
    </row>
    <row r="207" spans="1:11" x14ac:dyDescent="0.35">
      <c r="A207" s="11" t="s">
        <v>3259</v>
      </c>
      <c r="B207" s="21">
        <v>45610</v>
      </c>
      <c r="C207" s="12" t="s">
        <v>282</v>
      </c>
      <c r="D207" s="12" t="s">
        <v>3006</v>
      </c>
      <c r="E207" s="12" t="s">
        <v>786</v>
      </c>
      <c r="F207" s="12" t="s">
        <v>2990</v>
      </c>
      <c r="G207" s="12" t="s">
        <v>2996</v>
      </c>
      <c r="H207" s="12" t="s">
        <v>623</v>
      </c>
      <c r="I207" s="12">
        <v>66.98</v>
      </c>
      <c r="J207" s="21">
        <v>45615</v>
      </c>
      <c r="K207" s="12" t="s">
        <v>2992</v>
      </c>
    </row>
    <row r="208" spans="1:11" x14ac:dyDescent="0.35">
      <c r="A208" s="13" t="s">
        <v>3260</v>
      </c>
      <c r="B208" s="22">
        <v>45338</v>
      </c>
      <c r="C208" s="14" t="s">
        <v>321</v>
      </c>
      <c r="D208" s="14" t="s">
        <v>3002</v>
      </c>
      <c r="E208" s="14" t="s">
        <v>798</v>
      </c>
      <c r="F208" s="14" t="s">
        <v>2990</v>
      </c>
      <c r="G208" s="14" t="s">
        <v>3097</v>
      </c>
      <c r="H208" s="14" t="s">
        <v>3003</v>
      </c>
      <c r="I208" s="14">
        <v>59.96</v>
      </c>
      <c r="J208" s="22">
        <v>45349</v>
      </c>
      <c r="K208" s="14" t="s">
        <v>3004</v>
      </c>
    </row>
    <row r="209" spans="1:11" x14ac:dyDescent="0.35">
      <c r="A209" s="11" t="s">
        <v>3261</v>
      </c>
      <c r="B209" s="21">
        <v>45362</v>
      </c>
      <c r="C209" s="12" t="s">
        <v>296</v>
      </c>
      <c r="D209" s="12" t="s">
        <v>3002</v>
      </c>
      <c r="E209" s="12" t="s">
        <v>786</v>
      </c>
      <c r="F209" s="12" t="s">
        <v>3013</v>
      </c>
      <c r="G209" s="12" t="s">
        <v>3253</v>
      </c>
      <c r="H209" s="12" t="s">
        <v>2991</v>
      </c>
      <c r="I209" s="12">
        <v>31.04</v>
      </c>
      <c r="J209" s="21">
        <v>45367</v>
      </c>
      <c r="K209" s="12" t="s">
        <v>3024</v>
      </c>
    </row>
    <row r="210" spans="1:11" x14ac:dyDescent="0.35">
      <c r="A210" s="13" t="s">
        <v>3262</v>
      </c>
      <c r="B210" s="22">
        <v>45539</v>
      </c>
      <c r="C210" s="14" t="s">
        <v>441</v>
      </c>
      <c r="D210" s="14" t="s">
        <v>3017</v>
      </c>
      <c r="E210" s="14" t="s">
        <v>786</v>
      </c>
      <c r="F210" s="14" t="s">
        <v>787</v>
      </c>
      <c r="G210" s="14" t="s">
        <v>1017</v>
      </c>
      <c r="H210" s="14" t="s">
        <v>2991</v>
      </c>
      <c r="I210" s="14">
        <v>76.38</v>
      </c>
      <c r="J210" s="14"/>
      <c r="K210" s="14" t="s">
        <v>3038</v>
      </c>
    </row>
    <row r="211" spans="1:11" x14ac:dyDescent="0.35">
      <c r="A211" s="11" t="s">
        <v>3263</v>
      </c>
      <c r="B211" s="21">
        <v>45731</v>
      </c>
      <c r="C211" s="12" t="s">
        <v>318</v>
      </c>
      <c r="D211" s="12" t="s">
        <v>3017</v>
      </c>
      <c r="E211" s="12" t="s">
        <v>798</v>
      </c>
      <c r="F211" s="12" t="s">
        <v>3008</v>
      </c>
      <c r="G211" s="12" t="s">
        <v>963</v>
      </c>
      <c r="H211" s="12" t="s">
        <v>2997</v>
      </c>
      <c r="I211" s="12">
        <v>26.39</v>
      </c>
      <c r="J211" s="12"/>
      <c r="K211" s="12" t="s">
        <v>3024</v>
      </c>
    </row>
    <row r="212" spans="1:11" x14ac:dyDescent="0.35">
      <c r="A212" s="13" t="s">
        <v>3264</v>
      </c>
      <c r="B212" s="22">
        <v>45807</v>
      </c>
      <c r="C212" s="14" t="s">
        <v>373</v>
      </c>
      <c r="D212" s="14" t="s">
        <v>650</v>
      </c>
      <c r="E212" s="14" t="s">
        <v>786</v>
      </c>
      <c r="F212" s="14" t="s">
        <v>787</v>
      </c>
      <c r="G212" s="14" t="s">
        <v>3009</v>
      </c>
      <c r="H212" s="14" t="s">
        <v>2991</v>
      </c>
      <c r="I212" s="14">
        <v>55.45</v>
      </c>
      <c r="J212" s="14"/>
      <c r="K212" s="14" t="s">
        <v>2998</v>
      </c>
    </row>
    <row r="213" spans="1:11" x14ac:dyDescent="0.35">
      <c r="A213" s="11" t="s">
        <v>3265</v>
      </c>
      <c r="B213" s="21">
        <v>45707</v>
      </c>
      <c r="C213" s="12" t="s">
        <v>346</v>
      </c>
      <c r="D213" s="12" t="s">
        <v>650</v>
      </c>
      <c r="E213" s="12" t="s">
        <v>786</v>
      </c>
      <c r="F213" s="12" t="s">
        <v>3008</v>
      </c>
      <c r="G213" s="12" t="s">
        <v>819</v>
      </c>
      <c r="H213" s="12" t="s">
        <v>2991</v>
      </c>
      <c r="I213" s="12">
        <v>59.56</v>
      </c>
      <c r="J213" s="12"/>
      <c r="K213" s="12" t="s">
        <v>2998</v>
      </c>
    </row>
    <row r="214" spans="1:11" x14ac:dyDescent="0.35">
      <c r="A214" s="13" t="s">
        <v>3266</v>
      </c>
      <c r="B214" s="22">
        <v>46013</v>
      </c>
      <c r="C214" s="14" t="s">
        <v>282</v>
      </c>
      <c r="D214" s="14" t="s">
        <v>2994</v>
      </c>
      <c r="E214" s="14" t="s">
        <v>786</v>
      </c>
      <c r="F214" s="14" t="s">
        <v>2990</v>
      </c>
      <c r="G214" s="14" t="s">
        <v>814</v>
      </c>
      <c r="H214" s="14" t="s">
        <v>623</v>
      </c>
      <c r="I214" s="14">
        <v>25</v>
      </c>
      <c r="J214" s="22">
        <v>46019</v>
      </c>
      <c r="K214" s="14" t="s">
        <v>3015</v>
      </c>
    </row>
    <row r="215" spans="1:11" x14ac:dyDescent="0.35">
      <c r="A215" s="11" t="s">
        <v>3267</v>
      </c>
      <c r="B215" s="21">
        <v>45455</v>
      </c>
      <c r="C215" s="12" t="s">
        <v>378</v>
      </c>
      <c r="D215" s="12" t="s">
        <v>650</v>
      </c>
      <c r="E215" s="12" t="s">
        <v>786</v>
      </c>
      <c r="F215" s="12" t="s">
        <v>2990</v>
      </c>
      <c r="G215" s="12" t="s">
        <v>3128</v>
      </c>
      <c r="H215" s="12" t="s">
        <v>623</v>
      </c>
      <c r="I215" s="12">
        <v>35.18</v>
      </c>
      <c r="J215" s="21">
        <v>45464</v>
      </c>
      <c r="K215" s="12" t="s">
        <v>2992</v>
      </c>
    </row>
    <row r="216" spans="1:11" x14ac:dyDescent="0.35">
      <c r="A216" s="13" t="s">
        <v>3268</v>
      </c>
      <c r="B216" s="22">
        <v>45624</v>
      </c>
      <c r="C216" s="14" t="s">
        <v>328</v>
      </c>
      <c r="D216" s="14" t="s">
        <v>3006</v>
      </c>
      <c r="E216" s="14" t="s">
        <v>786</v>
      </c>
      <c r="F216" s="14" t="s">
        <v>2990</v>
      </c>
      <c r="G216" s="14" t="s">
        <v>3030</v>
      </c>
      <c r="H216" s="14" t="s">
        <v>623</v>
      </c>
      <c r="I216" s="14">
        <v>117.85</v>
      </c>
      <c r="J216" s="22">
        <v>45628</v>
      </c>
      <c r="K216" s="14" t="s">
        <v>3010</v>
      </c>
    </row>
    <row r="217" spans="1:11" x14ac:dyDescent="0.35">
      <c r="A217" s="11" t="s">
        <v>3269</v>
      </c>
      <c r="B217" s="21">
        <v>45377</v>
      </c>
      <c r="C217" s="12" t="s">
        <v>245</v>
      </c>
      <c r="D217" s="12" t="s">
        <v>2994</v>
      </c>
      <c r="E217" s="12" t="s">
        <v>798</v>
      </c>
      <c r="F217" s="12" t="s">
        <v>3013</v>
      </c>
      <c r="G217" s="12" t="s">
        <v>3104</v>
      </c>
      <c r="H217" s="12" t="s">
        <v>623</v>
      </c>
      <c r="I217" s="12">
        <v>33.380000000000003</v>
      </c>
      <c r="J217" s="21">
        <v>45380</v>
      </c>
      <c r="K217" s="12" t="s">
        <v>2992</v>
      </c>
    </row>
    <row r="218" spans="1:11" x14ac:dyDescent="0.35">
      <c r="A218" s="13" t="s">
        <v>3270</v>
      </c>
      <c r="B218" s="22">
        <v>45594</v>
      </c>
      <c r="C218" s="14" t="s">
        <v>484</v>
      </c>
      <c r="D218" s="14" t="s">
        <v>2994</v>
      </c>
      <c r="E218" s="14" t="s">
        <v>798</v>
      </c>
      <c r="F218" s="14" t="s">
        <v>787</v>
      </c>
      <c r="G218" s="14" t="s">
        <v>3037</v>
      </c>
      <c r="H218" s="14" t="s">
        <v>3003</v>
      </c>
      <c r="I218" s="14">
        <v>77.34</v>
      </c>
      <c r="J218" s="14"/>
      <c r="K218" s="14" t="s">
        <v>3038</v>
      </c>
    </row>
    <row r="219" spans="1:11" x14ac:dyDescent="0.35">
      <c r="A219" s="11" t="s">
        <v>3271</v>
      </c>
      <c r="B219" s="21">
        <v>45707</v>
      </c>
      <c r="C219" s="12" t="s">
        <v>594</v>
      </c>
      <c r="D219" s="12" t="s">
        <v>650</v>
      </c>
      <c r="E219" s="12" t="s">
        <v>786</v>
      </c>
      <c r="F219" s="12" t="s">
        <v>3008</v>
      </c>
      <c r="G219" s="12" t="s">
        <v>1017</v>
      </c>
      <c r="H219" s="12" t="s">
        <v>623</v>
      </c>
      <c r="I219" s="12">
        <v>26.69</v>
      </c>
      <c r="J219" s="12"/>
      <c r="K219" s="12" t="s">
        <v>3004</v>
      </c>
    </row>
    <row r="220" spans="1:11" x14ac:dyDescent="0.35">
      <c r="A220" s="13" t="s">
        <v>3272</v>
      </c>
      <c r="B220" s="22">
        <v>45292</v>
      </c>
      <c r="C220" s="14" t="s">
        <v>313</v>
      </c>
      <c r="D220" s="14" t="s">
        <v>3012</v>
      </c>
      <c r="E220" s="14" t="s">
        <v>786</v>
      </c>
      <c r="F220" s="14" t="s">
        <v>2995</v>
      </c>
      <c r="G220" s="14" t="s">
        <v>3120</v>
      </c>
      <c r="H220" s="14" t="s">
        <v>2997</v>
      </c>
      <c r="I220" s="14">
        <v>25</v>
      </c>
      <c r="J220" s="14"/>
      <c r="K220" s="14" t="s">
        <v>3038</v>
      </c>
    </row>
    <row r="221" spans="1:11" x14ac:dyDescent="0.35">
      <c r="A221" s="11" t="s">
        <v>3273</v>
      </c>
      <c r="B221" s="21">
        <v>45302</v>
      </c>
      <c r="C221" s="12" t="s">
        <v>356</v>
      </c>
      <c r="D221" s="12" t="s">
        <v>2994</v>
      </c>
      <c r="E221" s="12" t="s">
        <v>798</v>
      </c>
      <c r="F221" s="12" t="s">
        <v>2990</v>
      </c>
      <c r="G221" s="12" t="s">
        <v>3058</v>
      </c>
      <c r="H221" s="12" t="s">
        <v>623</v>
      </c>
      <c r="I221" s="12">
        <v>85.55</v>
      </c>
      <c r="J221" s="21">
        <v>45308</v>
      </c>
      <c r="K221" s="12" t="s">
        <v>3010</v>
      </c>
    </row>
    <row r="222" spans="1:11" x14ac:dyDescent="0.35">
      <c r="A222" s="13" t="s">
        <v>3274</v>
      </c>
      <c r="B222" s="22">
        <v>45637</v>
      </c>
      <c r="C222" s="14" t="s">
        <v>383</v>
      </c>
      <c r="D222" s="14" t="s">
        <v>3012</v>
      </c>
      <c r="E222" s="14" t="s">
        <v>813</v>
      </c>
      <c r="F222" s="14" t="s">
        <v>3013</v>
      </c>
      <c r="G222" s="14" t="s">
        <v>3035</v>
      </c>
      <c r="H222" s="14" t="s">
        <v>2997</v>
      </c>
      <c r="I222" s="14">
        <v>106.57</v>
      </c>
      <c r="J222" s="22">
        <v>45645</v>
      </c>
      <c r="K222" s="14" t="s">
        <v>3000</v>
      </c>
    </row>
    <row r="223" spans="1:11" x14ac:dyDescent="0.35">
      <c r="A223" s="11" t="s">
        <v>3275</v>
      </c>
      <c r="B223" s="21">
        <v>45639</v>
      </c>
      <c r="C223" s="12" t="s">
        <v>231</v>
      </c>
      <c r="D223" s="12" t="s">
        <v>2994</v>
      </c>
      <c r="E223" s="12" t="s">
        <v>786</v>
      </c>
      <c r="F223" s="12" t="s">
        <v>3013</v>
      </c>
      <c r="G223" s="12" t="s">
        <v>3276</v>
      </c>
      <c r="H223" s="12" t="s">
        <v>623</v>
      </c>
      <c r="I223" s="12">
        <v>55.03</v>
      </c>
      <c r="J223" s="21">
        <v>45652</v>
      </c>
      <c r="K223" s="12" t="s">
        <v>3020</v>
      </c>
    </row>
    <row r="224" spans="1:11" x14ac:dyDescent="0.35">
      <c r="A224" s="13" t="s">
        <v>3277</v>
      </c>
      <c r="B224" s="22">
        <v>46013</v>
      </c>
      <c r="C224" s="14" t="s">
        <v>371</v>
      </c>
      <c r="D224" s="14" t="s">
        <v>3017</v>
      </c>
      <c r="E224" s="14" t="s">
        <v>786</v>
      </c>
      <c r="F224" s="14" t="s">
        <v>2995</v>
      </c>
      <c r="G224" s="14" t="s">
        <v>814</v>
      </c>
      <c r="H224" s="14" t="s">
        <v>2997</v>
      </c>
      <c r="I224" s="14">
        <v>69.010000000000005</v>
      </c>
      <c r="J224" s="14"/>
      <c r="K224" s="14" t="s">
        <v>3038</v>
      </c>
    </row>
    <row r="225" spans="1:11" x14ac:dyDescent="0.35">
      <c r="A225" s="11" t="s">
        <v>3278</v>
      </c>
      <c r="B225" s="21">
        <v>45528</v>
      </c>
      <c r="C225" s="12" t="s">
        <v>439</v>
      </c>
      <c r="D225" s="12" t="s">
        <v>3006</v>
      </c>
      <c r="E225" s="12" t="s">
        <v>786</v>
      </c>
      <c r="F225" s="12" t="s">
        <v>3013</v>
      </c>
      <c r="G225" s="12" t="s">
        <v>859</v>
      </c>
      <c r="H225" s="12" t="s">
        <v>3003</v>
      </c>
      <c r="I225" s="12">
        <v>121.87</v>
      </c>
      <c r="J225" s="21">
        <v>45533</v>
      </c>
      <c r="K225" s="12" t="s">
        <v>3038</v>
      </c>
    </row>
    <row r="226" spans="1:11" x14ac:dyDescent="0.35">
      <c r="A226" s="13" t="s">
        <v>3279</v>
      </c>
      <c r="B226" s="22">
        <v>45500</v>
      </c>
      <c r="C226" s="14" t="s">
        <v>562</v>
      </c>
      <c r="D226" s="14" t="s">
        <v>650</v>
      </c>
      <c r="E226" s="14" t="s">
        <v>786</v>
      </c>
      <c r="F226" s="14" t="s">
        <v>3008</v>
      </c>
      <c r="G226" s="14" t="s">
        <v>3056</v>
      </c>
      <c r="H226" s="14" t="s">
        <v>623</v>
      </c>
      <c r="I226" s="14">
        <v>48.29</v>
      </c>
      <c r="J226" s="14"/>
      <c r="K226" s="14" t="s">
        <v>3048</v>
      </c>
    </row>
    <row r="227" spans="1:11" x14ac:dyDescent="0.35">
      <c r="A227" s="11" t="s">
        <v>3280</v>
      </c>
      <c r="B227" s="21">
        <v>45730</v>
      </c>
      <c r="C227" s="12" t="s">
        <v>279</v>
      </c>
      <c r="D227" s="12" t="s">
        <v>650</v>
      </c>
      <c r="E227" s="12" t="s">
        <v>798</v>
      </c>
      <c r="F227" s="12" t="s">
        <v>3013</v>
      </c>
      <c r="G227" s="12" t="s">
        <v>859</v>
      </c>
      <c r="H227" s="12" t="s">
        <v>623</v>
      </c>
      <c r="I227" s="12">
        <v>57.06</v>
      </c>
      <c r="J227" s="21">
        <v>45732</v>
      </c>
      <c r="K227" s="12" t="s">
        <v>3024</v>
      </c>
    </row>
    <row r="228" spans="1:11" x14ac:dyDescent="0.35">
      <c r="A228" s="13" t="s">
        <v>3281</v>
      </c>
      <c r="B228" s="22">
        <v>45599</v>
      </c>
      <c r="C228" s="14" t="s">
        <v>562</v>
      </c>
      <c r="D228" s="14" t="s">
        <v>650</v>
      </c>
      <c r="E228" s="14" t="s">
        <v>813</v>
      </c>
      <c r="F228" s="14" t="s">
        <v>3013</v>
      </c>
      <c r="G228" s="14" t="s">
        <v>3245</v>
      </c>
      <c r="H228" s="14" t="s">
        <v>3003</v>
      </c>
      <c r="I228" s="14">
        <v>47.63</v>
      </c>
      <c r="J228" s="22">
        <v>45608</v>
      </c>
      <c r="K228" s="14" t="s">
        <v>2992</v>
      </c>
    </row>
    <row r="229" spans="1:11" x14ac:dyDescent="0.35">
      <c r="A229" s="11" t="s">
        <v>3282</v>
      </c>
      <c r="B229" s="21">
        <v>45646</v>
      </c>
      <c r="C229" s="12" t="s">
        <v>610</v>
      </c>
      <c r="D229" s="12" t="s">
        <v>3017</v>
      </c>
      <c r="E229" s="12" t="s">
        <v>813</v>
      </c>
      <c r="F229" s="12" t="s">
        <v>2990</v>
      </c>
      <c r="G229" s="12" t="s">
        <v>3245</v>
      </c>
      <c r="H229" s="12" t="s">
        <v>3003</v>
      </c>
      <c r="I229" s="12">
        <v>34.89</v>
      </c>
      <c r="J229" s="21">
        <v>45647</v>
      </c>
      <c r="K229" s="12" t="s">
        <v>2992</v>
      </c>
    </row>
    <row r="230" spans="1:11" x14ac:dyDescent="0.35">
      <c r="A230" s="13" t="s">
        <v>3283</v>
      </c>
      <c r="B230" s="22">
        <v>45689</v>
      </c>
      <c r="C230" s="14" t="s">
        <v>304</v>
      </c>
      <c r="D230" s="14" t="s">
        <v>3006</v>
      </c>
      <c r="E230" s="14" t="s">
        <v>786</v>
      </c>
      <c r="F230" s="14" t="s">
        <v>3013</v>
      </c>
      <c r="G230" s="14" t="s">
        <v>3085</v>
      </c>
      <c r="H230" s="14" t="s">
        <v>623</v>
      </c>
      <c r="I230" s="14">
        <v>25</v>
      </c>
      <c r="J230" s="22">
        <v>45700</v>
      </c>
      <c r="K230" s="14" t="s">
        <v>3038</v>
      </c>
    </row>
    <row r="231" spans="1:11" x14ac:dyDescent="0.35">
      <c r="A231" s="11" t="s">
        <v>3284</v>
      </c>
      <c r="B231" s="21">
        <v>45699</v>
      </c>
      <c r="C231" s="12" t="s">
        <v>542</v>
      </c>
      <c r="D231" s="12" t="s">
        <v>2994</v>
      </c>
      <c r="E231" s="12" t="s">
        <v>813</v>
      </c>
      <c r="F231" s="12" t="s">
        <v>3013</v>
      </c>
      <c r="G231" s="12" t="s">
        <v>963</v>
      </c>
      <c r="H231" s="12" t="s">
        <v>623</v>
      </c>
      <c r="I231" s="12">
        <v>32.369999999999997</v>
      </c>
      <c r="J231" s="21">
        <v>45701</v>
      </c>
      <c r="K231" s="12" t="s">
        <v>3024</v>
      </c>
    </row>
    <row r="232" spans="1:11" x14ac:dyDescent="0.35">
      <c r="A232" s="13" t="s">
        <v>3285</v>
      </c>
      <c r="B232" s="22">
        <v>45688</v>
      </c>
      <c r="C232" s="14" t="s">
        <v>594</v>
      </c>
      <c r="D232" s="14" t="s">
        <v>2994</v>
      </c>
      <c r="E232" s="14" t="s">
        <v>786</v>
      </c>
      <c r="F232" s="14" t="s">
        <v>787</v>
      </c>
      <c r="G232" s="14" t="s">
        <v>3037</v>
      </c>
      <c r="H232" s="14" t="s">
        <v>2991</v>
      </c>
      <c r="I232" s="14">
        <v>109.23</v>
      </c>
      <c r="J232" s="14"/>
      <c r="K232" s="14" t="s">
        <v>3024</v>
      </c>
    </row>
    <row r="233" spans="1:11" x14ac:dyDescent="0.35">
      <c r="A233" s="11" t="s">
        <v>3286</v>
      </c>
      <c r="B233" s="21">
        <v>45565</v>
      </c>
      <c r="C233" s="12" t="s">
        <v>586</v>
      </c>
      <c r="D233" s="12" t="s">
        <v>3012</v>
      </c>
      <c r="E233" s="12" t="s">
        <v>786</v>
      </c>
      <c r="F233" s="12" t="s">
        <v>3013</v>
      </c>
      <c r="G233" s="12" t="s">
        <v>3042</v>
      </c>
      <c r="H233" s="12" t="s">
        <v>3003</v>
      </c>
      <c r="I233" s="12">
        <v>144.91999999999999</v>
      </c>
      <c r="J233" s="21">
        <v>45575</v>
      </c>
      <c r="K233" s="12" t="s">
        <v>2998</v>
      </c>
    </row>
    <row r="234" spans="1:11" x14ac:dyDescent="0.35">
      <c r="A234" s="13" t="s">
        <v>3287</v>
      </c>
      <c r="B234" s="22">
        <v>45606</v>
      </c>
      <c r="C234" s="14" t="s">
        <v>546</v>
      </c>
      <c r="D234" s="14" t="s">
        <v>3012</v>
      </c>
      <c r="E234" s="14" t="s">
        <v>813</v>
      </c>
      <c r="F234" s="14" t="s">
        <v>3008</v>
      </c>
      <c r="G234" s="14" t="s">
        <v>3019</v>
      </c>
      <c r="H234" s="14" t="s">
        <v>623</v>
      </c>
      <c r="I234" s="14">
        <v>28.6</v>
      </c>
      <c r="J234" s="14"/>
      <c r="K234" s="14" t="s">
        <v>3038</v>
      </c>
    </row>
    <row r="235" spans="1:11" x14ac:dyDescent="0.35">
      <c r="A235" s="11" t="s">
        <v>3288</v>
      </c>
      <c r="B235" s="21">
        <v>45694</v>
      </c>
      <c r="C235" s="12" t="s">
        <v>287</v>
      </c>
      <c r="D235" s="12" t="s">
        <v>2994</v>
      </c>
      <c r="E235" s="12" t="s">
        <v>786</v>
      </c>
      <c r="F235" s="12" t="s">
        <v>2990</v>
      </c>
      <c r="G235" s="12" t="s">
        <v>3150</v>
      </c>
      <c r="H235" s="12" t="s">
        <v>2997</v>
      </c>
      <c r="I235" s="12">
        <v>85.08</v>
      </c>
      <c r="J235" s="21">
        <v>45700</v>
      </c>
      <c r="K235" s="12" t="s">
        <v>3038</v>
      </c>
    </row>
    <row r="236" spans="1:11" x14ac:dyDescent="0.35">
      <c r="A236" s="13" t="s">
        <v>3289</v>
      </c>
      <c r="B236" s="22">
        <v>45515</v>
      </c>
      <c r="C236" s="14" t="s">
        <v>287</v>
      </c>
      <c r="D236" s="14" t="s">
        <v>3012</v>
      </c>
      <c r="E236" s="14" t="s">
        <v>786</v>
      </c>
      <c r="F236" s="14" t="s">
        <v>787</v>
      </c>
      <c r="G236" s="14" t="s">
        <v>3276</v>
      </c>
      <c r="H236" s="14" t="s">
        <v>3003</v>
      </c>
      <c r="I236" s="14">
        <v>47.27</v>
      </c>
      <c r="J236" s="14"/>
      <c r="K236" s="14" t="s">
        <v>3015</v>
      </c>
    </row>
    <row r="237" spans="1:11" x14ac:dyDescent="0.35">
      <c r="A237" s="11" t="s">
        <v>3290</v>
      </c>
      <c r="B237" s="21">
        <v>45612</v>
      </c>
      <c r="C237" s="12" t="s">
        <v>404</v>
      </c>
      <c r="D237" s="12" t="s">
        <v>3017</v>
      </c>
      <c r="E237" s="12" t="s">
        <v>798</v>
      </c>
      <c r="F237" s="12" t="s">
        <v>3008</v>
      </c>
      <c r="G237" s="12" t="s">
        <v>3100</v>
      </c>
      <c r="H237" s="12" t="s">
        <v>2991</v>
      </c>
      <c r="I237" s="12">
        <v>136.16</v>
      </c>
      <c r="J237" s="12"/>
      <c r="K237" s="12" t="s">
        <v>3024</v>
      </c>
    </row>
    <row r="238" spans="1:11" x14ac:dyDescent="0.35">
      <c r="A238" s="13" t="s">
        <v>3291</v>
      </c>
      <c r="B238" s="22">
        <v>45552</v>
      </c>
      <c r="C238" s="14" t="s">
        <v>282</v>
      </c>
      <c r="D238" s="14" t="s">
        <v>650</v>
      </c>
      <c r="E238" s="14" t="s">
        <v>786</v>
      </c>
      <c r="F238" s="14" t="s">
        <v>3008</v>
      </c>
      <c r="G238" s="14" t="s">
        <v>3066</v>
      </c>
      <c r="H238" s="14" t="s">
        <v>3003</v>
      </c>
      <c r="I238" s="14">
        <v>53.5</v>
      </c>
      <c r="J238" s="14"/>
      <c r="K238" s="14" t="s">
        <v>3048</v>
      </c>
    </row>
    <row r="239" spans="1:11" x14ac:dyDescent="0.35">
      <c r="A239" s="11" t="s">
        <v>3292</v>
      </c>
      <c r="B239" s="21">
        <v>45518</v>
      </c>
      <c r="C239" s="12" t="s">
        <v>427</v>
      </c>
      <c r="D239" s="12" t="s">
        <v>3002</v>
      </c>
      <c r="E239" s="12" t="s">
        <v>798</v>
      </c>
      <c r="F239" s="12" t="s">
        <v>787</v>
      </c>
      <c r="G239" s="12" t="s">
        <v>3122</v>
      </c>
      <c r="H239" s="12" t="s">
        <v>623</v>
      </c>
      <c r="I239" s="12">
        <v>36.65</v>
      </c>
      <c r="J239" s="12"/>
      <c r="K239" s="12" t="s">
        <v>3015</v>
      </c>
    </row>
    <row r="240" spans="1:11" x14ac:dyDescent="0.35">
      <c r="A240" s="13" t="s">
        <v>3293</v>
      </c>
      <c r="B240" s="22">
        <v>45985</v>
      </c>
      <c r="C240" s="14" t="s">
        <v>279</v>
      </c>
      <c r="D240" s="14" t="s">
        <v>3002</v>
      </c>
      <c r="E240" s="14" t="s">
        <v>786</v>
      </c>
      <c r="F240" s="14" t="s">
        <v>2990</v>
      </c>
      <c r="G240" s="14" t="s">
        <v>3162</v>
      </c>
      <c r="H240" s="14" t="s">
        <v>2991</v>
      </c>
      <c r="I240" s="14">
        <v>61.64</v>
      </c>
      <c r="J240" s="22">
        <v>45994</v>
      </c>
      <c r="K240" s="14" t="s">
        <v>2998</v>
      </c>
    </row>
    <row r="241" spans="1:11" x14ac:dyDescent="0.35">
      <c r="A241" s="11" t="s">
        <v>3294</v>
      </c>
      <c r="B241" s="21">
        <v>45540</v>
      </c>
      <c r="C241" s="12" t="s">
        <v>249</v>
      </c>
      <c r="D241" s="12" t="s">
        <v>3017</v>
      </c>
      <c r="E241" s="12" t="s">
        <v>798</v>
      </c>
      <c r="F241" s="12" t="s">
        <v>787</v>
      </c>
      <c r="G241" s="12" t="s">
        <v>3081</v>
      </c>
      <c r="H241" s="12" t="s">
        <v>2991</v>
      </c>
      <c r="I241" s="12">
        <v>25</v>
      </c>
      <c r="J241" s="12"/>
      <c r="K241" s="12" t="s">
        <v>3020</v>
      </c>
    </row>
    <row r="242" spans="1:11" x14ac:dyDescent="0.35">
      <c r="A242" s="13" t="s">
        <v>3295</v>
      </c>
      <c r="B242" s="22">
        <v>45517</v>
      </c>
      <c r="C242" s="14" t="s">
        <v>344</v>
      </c>
      <c r="D242" s="14" t="s">
        <v>650</v>
      </c>
      <c r="E242" s="14" t="s">
        <v>813</v>
      </c>
      <c r="F242" s="14" t="s">
        <v>3008</v>
      </c>
      <c r="G242" s="14" t="s">
        <v>825</v>
      </c>
      <c r="H242" s="14" t="s">
        <v>2991</v>
      </c>
      <c r="I242" s="14">
        <v>59.59</v>
      </c>
      <c r="J242" s="14"/>
      <c r="K242" s="14" t="s">
        <v>2992</v>
      </c>
    </row>
    <row r="243" spans="1:11" x14ac:dyDescent="0.35">
      <c r="A243" s="11" t="s">
        <v>3296</v>
      </c>
      <c r="B243" s="21">
        <v>45868</v>
      </c>
      <c r="C243" s="12" t="s">
        <v>535</v>
      </c>
      <c r="D243" s="12" t="s">
        <v>650</v>
      </c>
      <c r="E243" s="12" t="s">
        <v>786</v>
      </c>
      <c r="F243" s="12" t="s">
        <v>2990</v>
      </c>
      <c r="G243" s="12" t="s">
        <v>3032</v>
      </c>
      <c r="H243" s="12" t="s">
        <v>623</v>
      </c>
      <c r="I243" s="12">
        <v>45.53</v>
      </c>
      <c r="J243" s="21">
        <v>45871</v>
      </c>
      <c r="K243" s="12" t="s">
        <v>3000</v>
      </c>
    </row>
    <row r="244" spans="1:11" x14ac:dyDescent="0.35">
      <c r="A244" s="13" t="s">
        <v>3297</v>
      </c>
      <c r="B244" s="22">
        <v>46046</v>
      </c>
      <c r="C244" s="14" t="s">
        <v>408</v>
      </c>
      <c r="D244" s="14" t="s">
        <v>2994</v>
      </c>
      <c r="E244" s="14" t="s">
        <v>786</v>
      </c>
      <c r="F244" s="14" t="s">
        <v>3008</v>
      </c>
      <c r="G244" s="14" t="s">
        <v>3009</v>
      </c>
      <c r="H244" s="14" t="s">
        <v>3003</v>
      </c>
      <c r="I244" s="14">
        <v>45.57</v>
      </c>
      <c r="J244" s="14"/>
      <c r="K244" s="14" t="s">
        <v>3015</v>
      </c>
    </row>
    <row r="245" spans="1:11" x14ac:dyDescent="0.35">
      <c r="A245" s="11" t="s">
        <v>3298</v>
      </c>
      <c r="B245" s="21">
        <v>45979</v>
      </c>
      <c r="C245" s="12" t="s">
        <v>245</v>
      </c>
      <c r="D245" s="12" t="s">
        <v>3006</v>
      </c>
      <c r="E245" s="12" t="s">
        <v>798</v>
      </c>
      <c r="F245" s="12" t="s">
        <v>787</v>
      </c>
      <c r="G245" s="12" t="s">
        <v>3062</v>
      </c>
      <c r="H245" s="12" t="s">
        <v>2997</v>
      </c>
      <c r="I245" s="12">
        <v>37.380000000000003</v>
      </c>
      <c r="J245" s="12"/>
      <c r="K245" s="12" t="s">
        <v>3024</v>
      </c>
    </row>
    <row r="246" spans="1:11" x14ac:dyDescent="0.35">
      <c r="A246" s="13" t="s">
        <v>3299</v>
      </c>
      <c r="B246" s="22">
        <v>45483</v>
      </c>
      <c r="C246" s="14" t="s">
        <v>307</v>
      </c>
      <c r="D246" s="14" t="s">
        <v>3002</v>
      </c>
      <c r="E246" s="14" t="s">
        <v>786</v>
      </c>
      <c r="F246" s="14" t="s">
        <v>2995</v>
      </c>
      <c r="G246" s="14" t="s">
        <v>3030</v>
      </c>
      <c r="H246" s="14" t="s">
        <v>3003</v>
      </c>
      <c r="I246" s="14">
        <v>33.950000000000003</v>
      </c>
      <c r="J246" s="14"/>
      <c r="K246" s="14" t="s">
        <v>3038</v>
      </c>
    </row>
    <row r="247" spans="1:11" x14ac:dyDescent="0.35">
      <c r="A247" s="11" t="s">
        <v>3300</v>
      </c>
      <c r="B247" s="21">
        <v>45747</v>
      </c>
      <c r="C247" s="12" t="s">
        <v>332</v>
      </c>
      <c r="D247" s="12" t="s">
        <v>3006</v>
      </c>
      <c r="E247" s="12" t="s">
        <v>798</v>
      </c>
      <c r="F247" s="12" t="s">
        <v>2990</v>
      </c>
      <c r="G247" s="12" t="s">
        <v>3019</v>
      </c>
      <c r="H247" s="12" t="s">
        <v>623</v>
      </c>
      <c r="I247" s="12">
        <v>65.09</v>
      </c>
      <c r="J247" s="21">
        <v>45750</v>
      </c>
      <c r="K247" s="12" t="s">
        <v>3048</v>
      </c>
    </row>
    <row r="248" spans="1:11" x14ac:dyDescent="0.35">
      <c r="A248" s="13" t="s">
        <v>3301</v>
      </c>
      <c r="B248" s="22">
        <v>45733</v>
      </c>
      <c r="C248" s="14" t="s">
        <v>435</v>
      </c>
      <c r="D248" s="14" t="s">
        <v>3017</v>
      </c>
      <c r="E248" s="14" t="s">
        <v>786</v>
      </c>
      <c r="F248" s="14" t="s">
        <v>2990</v>
      </c>
      <c r="G248" s="14" t="s">
        <v>3192</v>
      </c>
      <c r="H248" s="14" t="s">
        <v>623</v>
      </c>
      <c r="I248" s="14">
        <v>57.21</v>
      </c>
      <c r="J248" s="22">
        <v>45739</v>
      </c>
      <c r="K248" s="14" t="s">
        <v>3024</v>
      </c>
    </row>
    <row r="249" spans="1:11" x14ac:dyDescent="0.35">
      <c r="A249" s="11" t="s">
        <v>3302</v>
      </c>
      <c r="B249" s="21">
        <v>45419</v>
      </c>
      <c r="C249" s="12" t="s">
        <v>521</v>
      </c>
      <c r="D249" s="12" t="s">
        <v>650</v>
      </c>
      <c r="E249" s="12" t="s">
        <v>813</v>
      </c>
      <c r="F249" s="12" t="s">
        <v>2990</v>
      </c>
      <c r="G249" s="12" t="s">
        <v>3253</v>
      </c>
      <c r="H249" s="12" t="s">
        <v>623</v>
      </c>
      <c r="I249" s="12">
        <v>48.02</v>
      </c>
      <c r="J249" s="21">
        <v>45426</v>
      </c>
      <c r="K249" s="12" t="s">
        <v>3010</v>
      </c>
    </row>
    <row r="250" spans="1:11" x14ac:dyDescent="0.35">
      <c r="A250" s="13" t="s">
        <v>3303</v>
      </c>
      <c r="B250" s="22">
        <v>45406</v>
      </c>
      <c r="C250" s="14" t="s">
        <v>512</v>
      </c>
      <c r="D250" s="14" t="s">
        <v>2994</v>
      </c>
      <c r="E250" s="14" t="s">
        <v>786</v>
      </c>
      <c r="F250" s="14" t="s">
        <v>3008</v>
      </c>
      <c r="G250" s="14" t="s">
        <v>963</v>
      </c>
      <c r="H250" s="14" t="s">
        <v>623</v>
      </c>
      <c r="I250" s="14">
        <v>68.16</v>
      </c>
      <c r="J250" s="14"/>
      <c r="K250" s="14" t="s">
        <v>3000</v>
      </c>
    </row>
    <row r="251" spans="1:11" x14ac:dyDescent="0.35">
      <c r="A251" s="11" t="s">
        <v>3304</v>
      </c>
      <c r="B251" s="21">
        <v>45612</v>
      </c>
      <c r="C251" s="12" t="s">
        <v>458</v>
      </c>
      <c r="D251" s="12" t="s">
        <v>3012</v>
      </c>
      <c r="E251" s="12" t="s">
        <v>786</v>
      </c>
      <c r="F251" s="12" t="s">
        <v>3013</v>
      </c>
      <c r="G251" s="12" t="s">
        <v>3192</v>
      </c>
      <c r="H251" s="12" t="s">
        <v>623</v>
      </c>
      <c r="I251" s="12">
        <v>51.61</v>
      </c>
      <c r="J251" s="21">
        <v>45619</v>
      </c>
      <c r="K251" s="12" t="s">
        <v>3024</v>
      </c>
    </row>
    <row r="252" spans="1:11" x14ac:dyDescent="0.35">
      <c r="A252" s="13" t="s">
        <v>3305</v>
      </c>
      <c r="B252" s="22">
        <v>45821</v>
      </c>
      <c r="C252" s="14" t="s">
        <v>279</v>
      </c>
      <c r="D252" s="14" t="s">
        <v>3012</v>
      </c>
      <c r="E252" s="14" t="s">
        <v>786</v>
      </c>
      <c r="F252" s="14" t="s">
        <v>3013</v>
      </c>
      <c r="G252" s="14" t="s">
        <v>3245</v>
      </c>
      <c r="H252" s="14" t="s">
        <v>3003</v>
      </c>
      <c r="I252" s="14">
        <v>47.21</v>
      </c>
      <c r="J252" s="22">
        <v>45829</v>
      </c>
      <c r="K252" s="14" t="s">
        <v>3024</v>
      </c>
    </row>
    <row r="253" spans="1:11" x14ac:dyDescent="0.35">
      <c r="A253" s="11" t="s">
        <v>3306</v>
      </c>
      <c r="B253" s="21">
        <v>46008</v>
      </c>
      <c r="C253" s="12" t="s">
        <v>445</v>
      </c>
      <c r="D253" s="12" t="s">
        <v>3017</v>
      </c>
      <c r="E253" s="12" t="s">
        <v>786</v>
      </c>
      <c r="F253" s="12" t="s">
        <v>3013</v>
      </c>
      <c r="G253" s="12" t="s">
        <v>1001</v>
      </c>
      <c r="H253" s="12" t="s">
        <v>3003</v>
      </c>
      <c r="I253" s="12">
        <v>36.090000000000003</v>
      </c>
      <c r="J253" s="21">
        <v>46017</v>
      </c>
      <c r="K253" s="12" t="s">
        <v>3000</v>
      </c>
    </row>
    <row r="254" spans="1:11" x14ac:dyDescent="0.35">
      <c r="A254" s="13" t="s">
        <v>3307</v>
      </c>
      <c r="B254" s="22">
        <v>45783</v>
      </c>
      <c r="C254" s="14" t="s">
        <v>365</v>
      </c>
      <c r="D254" s="14" t="s">
        <v>650</v>
      </c>
      <c r="E254" s="14" t="s">
        <v>786</v>
      </c>
      <c r="F254" s="14" t="s">
        <v>3013</v>
      </c>
      <c r="G254" s="14" t="s">
        <v>3089</v>
      </c>
      <c r="H254" s="14" t="s">
        <v>623</v>
      </c>
      <c r="I254" s="14">
        <v>104.17</v>
      </c>
      <c r="J254" s="22">
        <v>45794</v>
      </c>
      <c r="K254" s="14" t="s">
        <v>3010</v>
      </c>
    </row>
    <row r="255" spans="1:11" x14ac:dyDescent="0.35">
      <c r="A255" s="11" t="s">
        <v>3308</v>
      </c>
      <c r="B255" s="21">
        <v>45818</v>
      </c>
      <c r="C255" s="12" t="s">
        <v>346</v>
      </c>
      <c r="D255" s="12" t="s">
        <v>3017</v>
      </c>
      <c r="E255" s="12" t="s">
        <v>798</v>
      </c>
      <c r="F255" s="12" t="s">
        <v>2995</v>
      </c>
      <c r="G255" s="12" t="s">
        <v>839</v>
      </c>
      <c r="H255" s="12" t="s">
        <v>623</v>
      </c>
      <c r="I255" s="12">
        <v>213.01</v>
      </c>
      <c r="J255" s="12"/>
      <c r="K255" s="12" t="s">
        <v>3004</v>
      </c>
    </row>
    <row r="256" spans="1:11" x14ac:dyDescent="0.35">
      <c r="A256" s="13" t="s">
        <v>3309</v>
      </c>
      <c r="B256" s="22">
        <v>45856</v>
      </c>
      <c r="C256" s="14" t="s">
        <v>383</v>
      </c>
      <c r="D256" s="14" t="s">
        <v>650</v>
      </c>
      <c r="E256" s="14" t="s">
        <v>786</v>
      </c>
      <c r="F256" s="14" t="s">
        <v>787</v>
      </c>
      <c r="G256" s="14" t="s">
        <v>3009</v>
      </c>
      <c r="H256" s="14" t="s">
        <v>3003</v>
      </c>
      <c r="I256" s="14">
        <v>25</v>
      </c>
      <c r="J256" s="14"/>
      <c r="K256" s="14" t="s">
        <v>3004</v>
      </c>
    </row>
    <row r="257" spans="1:11" x14ac:dyDescent="0.35">
      <c r="A257" s="11" t="s">
        <v>3310</v>
      </c>
      <c r="B257" s="21">
        <v>45352</v>
      </c>
      <c r="C257" s="12" t="s">
        <v>402</v>
      </c>
      <c r="D257" s="12" t="s">
        <v>3006</v>
      </c>
      <c r="E257" s="12" t="s">
        <v>786</v>
      </c>
      <c r="F257" s="12" t="s">
        <v>2995</v>
      </c>
      <c r="G257" s="12" t="s">
        <v>834</v>
      </c>
      <c r="H257" s="12" t="s">
        <v>3003</v>
      </c>
      <c r="I257" s="12">
        <v>47.1</v>
      </c>
      <c r="J257" s="12"/>
      <c r="K257" s="12" t="s">
        <v>3004</v>
      </c>
    </row>
    <row r="258" spans="1:11" x14ac:dyDescent="0.35">
      <c r="A258" s="13" t="s">
        <v>3311</v>
      </c>
      <c r="B258" s="22">
        <v>45829</v>
      </c>
      <c r="C258" s="14" t="s">
        <v>389</v>
      </c>
      <c r="D258" s="14" t="s">
        <v>3006</v>
      </c>
      <c r="E258" s="14" t="s">
        <v>786</v>
      </c>
      <c r="F258" s="14" t="s">
        <v>3013</v>
      </c>
      <c r="G258" s="14" t="s">
        <v>3253</v>
      </c>
      <c r="H258" s="14" t="s">
        <v>3003</v>
      </c>
      <c r="I258" s="14">
        <v>49.16</v>
      </c>
      <c r="J258" s="22">
        <v>45841</v>
      </c>
      <c r="K258" s="14" t="s">
        <v>3038</v>
      </c>
    </row>
    <row r="259" spans="1:11" x14ac:dyDescent="0.35">
      <c r="A259" s="11" t="s">
        <v>3312</v>
      </c>
      <c r="B259" s="21">
        <v>45981</v>
      </c>
      <c r="C259" s="12" t="s">
        <v>340</v>
      </c>
      <c r="D259" s="12" t="s">
        <v>3012</v>
      </c>
      <c r="E259" s="12" t="s">
        <v>798</v>
      </c>
      <c r="F259" s="12" t="s">
        <v>787</v>
      </c>
      <c r="G259" s="12" t="s">
        <v>3122</v>
      </c>
      <c r="H259" s="12" t="s">
        <v>3003</v>
      </c>
      <c r="I259" s="12">
        <v>60.16</v>
      </c>
      <c r="J259" s="12"/>
      <c r="K259" s="12" t="s">
        <v>3038</v>
      </c>
    </row>
    <row r="260" spans="1:11" x14ac:dyDescent="0.35">
      <c r="A260" s="13" t="s">
        <v>3313</v>
      </c>
      <c r="B260" s="22">
        <v>45575</v>
      </c>
      <c r="C260" s="14" t="s">
        <v>478</v>
      </c>
      <c r="D260" s="14" t="s">
        <v>3012</v>
      </c>
      <c r="E260" s="14" t="s">
        <v>786</v>
      </c>
      <c r="F260" s="14" t="s">
        <v>2990</v>
      </c>
      <c r="G260" s="14" t="s">
        <v>3056</v>
      </c>
      <c r="H260" s="14" t="s">
        <v>2991</v>
      </c>
      <c r="I260" s="14">
        <v>289.29000000000002</v>
      </c>
      <c r="J260" s="22">
        <v>45583</v>
      </c>
      <c r="K260" s="14" t="s">
        <v>2992</v>
      </c>
    </row>
    <row r="261" spans="1:11" x14ac:dyDescent="0.35">
      <c r="A261" s="11" t="s">
        <v>3314</v>
      </c>
      <c r="B261" s="21">
        <v>45422</v>
      </c>
      <c r="C261" s="12" t="s">
        <v>431</v>
      </c>
      <c r="D261" s="12" t="s">
        <v>3006</v>
      </c>
      <c r="E261" s="12" t="s">
        <v>786</v>
      </c>
      <c r="F261" s="12" t="s">
        <v>2990</v>
      </c>
      <c r="G261" s="12" t="s">
        <v>3064</v>
      </c>
      <c r="H261" s="12" t="s">
        <v>3003</v>
      </c>
      <c r="I261" s="12">
        <v>56.44</v>
      </c>
      <c r="J261" s="21">
        <v>45431</v>
      </c>
      <c r="K261" s="12" t="s">
        <v>3010</v>
      </c>
    </row>
    <row r="262" spans="1:11" x14ac:dyDescent="0.35">
      <c r="A262" s="13" t="s">
        <v>3315</v>
      </c>
      <c r="B262" s="22">
        <v>45719</v>
      </c>
      <c r="C262" s="14" t="s">
        <v>439</v>
      </c>
      <c r="D262" s="14" t="s">
        <v>3006</v>
      </c>
      <c r="E262" s="14" t="s">
        <v>786</v>
      </c>
      <c r="F262" s="14" t="s">
        <v>3008</v>
      </c>
      <c r="G262" s="14" t="s">
        <v>839</v>
      </c>
      <c r="H262" s="14" t="s">
        <v>623</v>
      </c>
      <c r="I262" s="14">
        <v>44.37</v>
      </c>
      <c r="J262" s="14"/>
      <c r="K262" s="14" t="s">
        <v>2992</v>
      </c>
    </row>
    <row r="263" spans="1:11" x14ac:dyDescent="0.35">
      <c r="A263" s="11" t="s">
        <v>3316</v>
      </c>
      <c r="B263" s="21">
        <v>46024</v>
      </c>
      <c r="C263" s="12" t="s">
        <v>304</v>
      </c>
      <c r="D263" s="12" t="s">
        <v>3017</v>
      </c>
      <c r="E263" s="12" t="s">
        <v>813</v>
      </c>
      <c r="F263" s="12" t="s">
        <v>2995</v>
      </c>
      <c r="G263" s="12" t="s">
        <v>892</v>
      </c>
      <c r="H263" s="12" t="s">
        <v>2997</v>
      </c>
      <c r="I263" s="12">
        <v>78.790000000000006</v>
      </c>
      <c r="J263" s="12"/>
      <c r="K263" s="12" t="s">
        <v>3015</v>
      </c>
    </row>
    <row r="264" spans="1:11" x14ac:dyDescent="0.35">
      <c r="A264" s="13" t="s">
        <v>3317</v>
      </c>
      <c r="B264" s="22">
        <v>45890</v>
      </c>
      <c r="C264" s="14" t="s">
        <v>321</v>
      </c>
      <c r="D264" s="14" t="s">
        <v>650</v>
      </c>
      <c r="E264" s="14" t="s">
        <v>786</v>
      </c>
      <c r="F264" s="14" t="s">
        <v>787</v>
      </c>
      <c r="G264" s="14" t="s">
        <v>2996</v>
      </c>
      <c r="H264" s="14" t="s">
        <v>623</v>
      </c>
      <c r="I264" s="14">
        <v>89.91</v>
      </c>
      <c r="J264" s="14"/>
      <c r="K264" s="14" t="s">
        <v>3004</v>
      </c>
    </row>
    <row r="265" spans="1:11" x14ac:dyDescent="0.35">
      <c r="A265" s="11" t="s">
        <v>3318</v>
      </c>
      <c r="B265" s="21">
        <v>45904</v>
      </c>
      <c r="C265" s="12" t="s">
        <v>316</v>
      </c>
      <c r="D265" s="12" t="s">
        <v>2994</v>
      </c>
      <c r="E265" s="12" t="s">
        <v>798</v>
      </c>
      <c r="F265" s="12" t="s">
        <v>2990</v>
      </c>
      <c r="G265" s="12" t="s">
        <v>2996</v>
      </c>
      <c r="H265" s="12" t="s">
        <v>2991</v>
      </c>
      <c r="I265" s="12">
        <v>37.94</v>
      </c>
      <c r="J265" s="21">
        <v>45909</v>
      </c>
      <c r="K265" s="12" t="s">
        <v>3015</v>
      </c>
    </row>
    <row r="266" spans="1:11" x14ac:dyDescent="0.35">
      <c r="A266" s="13" t="s">
        <v>3319</v>
      </c>
      <c r="B266" s="22">
        <v>45914</v>
      </c>
      <c r="C266" s="14" t="s">
        <v>277</v>
      </c>
      <c r="D266" s="14" t="s">
        <v>3017</v>
      </c>
      <c r="E266" s="14" t="s">
        <v>798</v>
      </c>
      <c r="F266" s="14" t="s">
        <v>3013</v>
      </c>
      <c r="G266" s="14" t="s">
        <v>3042</v>
      </c>
      <c r="H266" s="14" t="s">
        <v>623</v>
      </c>
      <c r="I266" s="14">
        <v>51.81</v>
      </c>
      <c r="J266" s="22">
        <v>45927</v>
      </c>
      <c r="K266" s="14" t="s">
        <v>3038</v>
      </c>
    </row>
    <row r="267" spans="1:11" x14ac:dyDescent="0.35">
      <c r="A267" s="11" t="s">
        <v>3320</v>
      </c>
      <c r="B267" s="21">
        <v>45561</v>
      </c>
      <c r="C267" s="12" t="s">
        <v>383</v>
      </c>
      <c r="D267" s="12" t="s">
        <v>3012</v>
      </c>
      <c r="E267" s="12" t="s">
        <v>786</v>
      </c>
      <c r="F267" s="12" t="s">
        <v>3008</v>
      </c>
      <c r="G267" s="12" t="s">
        <v>3035</v>
      </c>
      <c r="H267" s="12" t="s">
        <v>2991</v>
      </c>
      <c r="I267" s="12">
        <v>53.19</v>
      </c>
      <c r="J267" s="12"/>
      <c r="K267" s="12" t="s">
        <v>3015</v>
      </c>
    </row>
    <row r="268" spans="1:11" x14ac:dyDescent="0.35">
      <c r="A268" s="13" t="s">
        <v>3321</v>
      </c>
      <c r="B268" s="22">
        <v>45458</v>
      </c>
      <c r="C268" s="14" t="s">
        <v>258</v>
      </c>
      <c r="D268" s="14" t="s">
        <v>650</v>
      </c>
      <c r="E268" s="14" t="s">
        <v>786</v>
      </c>
      <c r="F268" s="14" t="s">
        <v>2990</v>
      </c>
      <c r="G268" s="14" t="s">
        <v>3102</v>
      </c>
      <c r="H268" s="14" t="s">
        <v>2991</v>
      </c>
      <c r="I268" s="14">
        <v>143.57</v>
      </c>
      <c r="J268" s="22">
        <v>45466</v>
      </c>
      <c r="K268" s="14" t="s">
        <v>3038</v>
      </c>
    </row>
    <row r="269" spans="1:11" x14ac:dyDescent="0.35">
      <c r="A269" s="11" t="s">
        <v>3322</v>
      </c>
      <c r="B269" s="21">
        <v>45805</v>
      </c>
      <c r="C269" s="12" t="s">
        <v>287</v>
      </c>
      <c r="D269" s="12" t="s">
        <v>3002</v>
      </c>
      <c r="E269" s="12" t="s">
        <v>786</v>
      </c>
      <c r="F269" s="12" t="s">
        <v>3013</v>
      </c>
      <c r="G269" s="12" t="s">
        <v>3150</v>
      </c>
      <c r="H269" s="12" t="s">
        <v>2991</v>
      </c>
      <c r="I269" s="12">
        <v>59.34</v>
      </c>
      <c r="J269" s="21">
        <v>45813</v>
      </c>
      <c r="K269" s="12" t="s">
        <v>3038</v>
      </c>
    </row>
    <row r="270" spans="1:11" x14ac:dyDescent="0.35">
      <c r="A270" s="13" t="s">
        <v>3323</v>
      </c>
      <c r="B270" s="22">
        <v>45684</v>
      </c>
      <c r="C270" s="14" t="s">
        <v>356</v>
      </c>
      <c r="D270" s="14" t="s">
        <v>3012</v>
      </c>
      <c r="E270" s="14" t="s">
        <v>786</v>
      </c>
      <c r="F270" s="14" t="s">
        <v>787</v>
      </c>
      <c r="G270" s="14" t="s">
        <v>3066</v>
      </c>
      <c r="H270" s="14" t="s">
        <v>2991</v>
      </c>
      <c r="I270" s="14">
        <v>71.62</v>
      </c>
      <c r="J270" s="14"/>
      <c r="K270" s="14" t="s">
        <v>2992</v>
      </c>
    </row>
    <row r="271" spans="1:11" x14ac:dyDescent="0.35">
      <c r="A271" s="11" t="s">
        <v>3324</v>
      </c>
      <c r="B271" s="21">
        <v>45662</v>
      </c>
      <c r="C271" s="12" t="s">
        <v>292</v>
      </c>
      <c r="D271" s="12" t="s">
        <v>3002</v>
      </c>
      <c r="E271" s="12" t="s">
        <v>798</v>
      </c>
      <c r="F271" s="12" t="s">
        <v>2990</v>
      </c>
      <c r="G271" s="12" t="s">
        <v>963</v>
      </c>
      <c r="H271" s="12" t="s">
        <v>2997</v>
      </c>
      <c r="I271" s="12">
        <v>38.14</v>
      </c>
      <c r="J271" s="21">
        <v>45673</v>
      </c>
      <c r="K271" s="12" t="s">
        <v>3038</v>
      </c>
    </row>
    <row r="272" spans="1:11" x14ac:dyDescent="0.35">
      <c r="A272" s="13" t="s">
        <v>3325</v>
      </c>
      <c r="B272" s="22">
        <v>45743</v>
      </c>
      <c r="C272" s="14" t="s">
        <v>482</v>
      </c>
      <c r="D272" s="14" t="s">
        <v>2994</v>
      </c>
      <c r="E272" s="14" t="s">
        <v>813</v>
      </c>
      <c r="F272" s="14" t="s">
        <v>2990</v>
      </c>
      <c r="G272" s="14" t="s">
        <v>1001</v>
      </c>
      <c r="H272" s="14" t="s">
        <v>3003</v>
      </c>
      <c r="I272" s="14">
        <v>71.989999999999995</v>
      </c>
      <c r="J272" s="22">
        <v>45755</v>
      </c>
      <c r="K272" s="14" t="s">
        <v>3048</v>
      </c>
    </row>
    <row r="273" spans="1:11" x14ac:dyDescent="0.35">
      <c r="A273" s="11" t="s">
        <v>3326</v>
      </c>
      <c r="B273" s="21">
        <v>45873</v>
      </c>
      <c r="C273" s="12" t="s">
        <v>330</v>
      </c>
      <c r="D273" s="12" t="s">
        <v>3002</v>
      </c>
      <c r="E273" s="12" t="s">
        <v>786</v>
      </c>
      <c r="F273" s="12" t="s">
        <v>2990</v>
      </c>
      <c r="G273" s="12" t="s">
        <v>834</v>
      </c>
      <c r="H273" s="12" t="s">
        <v>3003</v>
      </c>
      <c r="I273" s="12">
        <v>49.91</v>
      </c>
      <c r="J273" s="21">
        <v>45881</v>
      </c>
      <c r="K273" s="12" t="s">
        <v>3048</v>
      </c>
    </row>
    <row r="274" spans="1:11" x14ac:dyDescent="0.35">
      <c r="A274" s="13" t="s">
        <v>3327</v>
      </c>
      <c r="B274" s="22">
        <v>45424</v>
      </c>
      <c r="C274" s="14" t="s">
        <v>363</v>
      </c>
      <c r="D274" s="14" t="s">
        <v>2994</v>
      </c>
      <c r="E274" s="14" t="s">
        <v>786</v>
      </c>
      <c r="F274" s="14" t="s">
        <v>3013</v>
      </c>
      <c r="G274" s="14" t="s">
        <v>3102</v>
      </c>
      <c r="H274" s="14" t="s">
        <v>623</v>
      </c>
      <c r="I274" s="14">
        <v>46.76</v>
      </c>
      <c r="J274" s="22">
        <v>45429</v>
      </c>
      <c r="K274" s="14" t="s">
        <v>3004</v>
      </c>
    </row>
    <row r="275" spans="1:11" x14ac:dyDescent="0.35">
      <c r="A275" s="11" t="s">
        <v>3328</v>
      </c>
      <c r="B275" s="21">
        <v>45553</v>
      </c>
      <c r="C275" s="12" t="s">
        <v>385</v>
      </c>
      <c r="D275" s="12" t="s">
        <v>2994</v>
      </c>
      <c r="E275" s="12" t="s">
        <v>798</v>
      </c>
      <c r="F275" s="12" t="s">
        <v>3013</v>
      </c>
      <c r="G275" s="12" t="s">
        <v>3245</v>
      </c>
      <c r="H275" s="12" t="s">
        <v>2997</v>
      </c>
      <c r="I275" s="12">
        <v>38.61</v>
      </c>
      <c r="J275" s="21">
        <v>45558</v>
      </c>
      <c r="K275" s="12" t="s">
        <v>3004</v>
      </c>
    </row>
    <row r="276" spans="1:11" x14ac:dyDescent="0.35">
      <c r="A276" s="13" t="s">
        <v>3329</v>
      </c>
      <c r="B276" s="22">
        <v>45395</v>
      </c>
      <c r="C276" s="14" t="s">
        <v>514</v>
      </c>
      <c r="D276" s="14" t="s">
        <v>650</v>
      </c>
      <c r="E276" s="14" t="s">
        <v>798</v>
      </c>
      <c r="F276" s="14" t="s">
        <v>2990</v>
      </c>
      <c r="G276" s="14" t="s">
        <v>3064</v>
      </c>
      <c r="H276" s="14" t="s">
        <v>2991</v>
      </c>
      <c r="I276" s="14">
        <v>62</v>
      </c>
      <c r="J276" s="22">
        <v>45405</v>
      </c>
      <c r="K276" s="14" t="s">
        <v>3000</v>
      </c>
    </row>
    <row r="277" spans="1:11" x14ac:dyDescent="0.35">
      <c r="A277" s="11" t="s">
        <v>3330</v>
      </c>
      <c r="B277" s="21">
        <v>45392</v>
      </c>
      <c r="C277" s="12" t="s">
        <v>508</v>
      </c>
      <c r="D277" s="12" t="s">
        <v>650</v>
      </c>
      <c r="E277" s="12" t="s">
        <v>813</v>
      </c>
      <c r="F277" s="12" t="s">
        <v>787</v>
      </c>
      <c r="G277" s="12" t="s">
        <v>3037</v>
      </c>
      <c r="H277" s="12" t="s">
        <v>2997</v>
      </c>
      <c r="I277" s="12">
        <v>49.76</v>
      </c>
      <c r="J277" s="12"/>
      <c r="K277" s="12" t="s">
        <v>3010</v>
      </c>
    </row>
    <row r="278" spans="1:11" x14ac:dyDescent="0.35">
      <c r="A278" s="13" t="s">
        <v>3331</v>
      </c>
      <c r="B278" s="22">
        <v>45965</v>
      </c>
      <c r="C278" s="14" t="s">
        <v>553</v>
      </c>
      <c r="D278" s="14" t="s">
        <v>650</v>
      </c>
      <c r="E278" s="14" t="s">
        <v>798</v>
      </c>
      <c r="F278" s="14" t="s">
        <v>3008</v>
      </c>
      <c r="G278" s="14" t="s">
        <v>3077</v>
      </c>
      <c r="H278" s="14" t="s">
        <v>2997</v>
      </c>
      <c r="I278" s="14">
        <v>30.58</v>
      </c>
      <c r="J278" s="14"/>
      <c r="K278" s="14" t="s">
        <v>3048</v>
      </c>
    </row>
    <row r="279" spans="1:11" x14ac:dyDescent="0.35">
      <c r="A279" s="11" t="s">
        <v>3332</v>
      </c>
      <c r="B279" s="21">
        <v>45429</v>
      </c>
      <c r="C279" s="12" t="s">
        <v>253</v>
      </c>
      <c r="D279" s="12" t="s">
        <v>3002</v>
      </c>
      <c r="E279" s="12" t="s">
        <v>813</v>
      </c>
      <c r="F279" s="12" t="s">
        <v>3013</v>
      </c>
      <c r="G279" s="12" t="s">
        <v>3032</v>
      </c>
      <c r="H279" s="12" t="s">
        <v>2997</v>
      </c>
      <c r="I279" s="12">
        <v>31.63</v>
      </c>
      <c r="J279" s="21">
        <v>45440</v>
      </c>
      <c r="K279" s="12" t="s">
        <v>3038</v>
      </c>
    </row>
    <row r="280" spans="1:11" x14ac:dyDescent="0.35">
      <c r="A280" s="13" t="s">
        <v>3333</v>
      </c>
      <c r="B280" s="22">
        <v>45665</v>
      </c>
      <c r="C280" s="14" t="s">
        <v>526</v>
      </c>
      <c r="D280" s="14" t="s">
        <v>3017</v>
      </c>
      <c r="E280" s="14" t="s">
        <v>786</v>
      </c>
      <c r="F280" s="14" t="s">
        <v>3008</v>
      </c>
      <c r="G280" s="14" t="s">
        <v>3077</v>
      </c>
      <c r="H280" s="14" t="s">
        <v>623</v>
      </c>
      <c r="I280" s="14">
        <v>61.84</v>
      </c>
      <c r="J280" s="14"/>
      <c r="K280" s="14" t="s">
        <v>3048</v>
      </c>
    </row>
    <row r="281" spans="1:11" x14ac:dyDescent="0.35">
      <c r="A281" s="11" t="s">
        <v>3334</v>
      </c>
      <c r="B281" s="21">
        <v>45371</v>
      </c>
      <c r="C281" s="12" t="s">
        <v>311</v>
      </c>
      <c r="D281" s="12" t="s">
        <v>3012</v>
      </c>
      <c r="E281" s="12" t="s">
        <v>798</v>
      </c>
      <c r="F281" s="12" t="s">
        <v>2990</v>
      </c>
      <c r="G281" s="12" t="s">
        <v>3081</v>
      </c>
      <c r="H281" s="12" t="s">
        <v>2991</v>
      </c>
      <c r="I281" s="12">
        <v>57.79</v>
      </c>
      <c r="J281" s="21">
        <v>45378</v>
      </c>
      <c r="K281" s="12" t="s">
        <v>3038</v>
      </c>
    </row>
    <row r="282" spans="1:11" x14ac:dyDescent="0.35">
      <c r="A282" s="13" t="s">
        <v>3335</v>
      </c>
      <c r="B282" s="22">
        <v>45674</v>
      </c>
      <c r="C282" s="14" t="s">
        <v>253</v>
      </c>
      <c r="D282" s="14" t="s">
        <v>3002</v>
      </c>
      <c r="E282" s="14" t="s">
        <v>786</v>
      </c>
      <c r="F282" s="14" t="s">
        <v>2995</v>
      </c>
      <c r="G282" s="14" t="s">
        <v>3081</v>
      </c>
      <c r="H282" s="14" t="s">
        <v>2997</v>
      </c>
      <c r="I282" s="14">
        <v>79.64</v>
      </c>
      <c r="J282" s="14"/>
      <c r="K282" s="14" t="s">
        <v>3020</v>
      </c>
    </row>
    <row r="283" spans="1:11" x14ac:dyDescent="0.35">
      <c r="A283" s="11" t="s">
        <v>3336</v>
      </c>
      <c r="B283" s="21">
        <v>45630</v>
      </c>
      <c r="C283" s="12" t="s">
        <v>311</v>
      </c>
      <c r="D283" s="12" t="s">
        <v>2994</v>
      </c>
      <c r="E283" s="12" t="s">
        <v>798</v>
      </c>
      <c r="F283" s="12" t="s">
        <v>3013</v>
      </c>
      <c r="G283" s="12" t="s">
        <v>1017</v>
      </c>
      <c r="H283" s="12" t="s">
        <v>2997</v>
      </c>
      <c r="I283" s="12">
        <v>58.97</v>
      </c>
      <c r="J283" s="21">
        <v>45634</v>
      </c>
      <c r="K283" s="12" t="s">
        <v>2992</v>
      </c>
    </row>
    <row r="284" spans="1:11" x14ac:dyDescent="0.35">
      <c r="A284" s="13" t="s">
        <v>3337</v>
      </c>
      <c r="B284" s="22">
        <v>45537</v>
      </c>
      <c r="C284" s="14" t="s">
        <v>484</v>
      </c>
      <c r="D284" s="14" t="s">
        <v>3002</v>
      </c>
      <c r="E284" s="14" t="s">
        <v>798</v>
      </c>
      <c r="F284" s="14" t="s">
        <v>3013</v>
      </c>
      <c r="G284" s="14" t="s">
        <v>1017</v>
      </c>
      <c r="H284" s="14" t="s">
        <v>2991</v>
      </c>
      <c r="I284" s="14">
        <v>28.31</v>
      </c>
      <c r="J284" s="22">
        <v>45544</v>
      </c>
      <c r="K284" s="14" t="s">
        <v>3000</v>
      </c>
    </row>
    <row r="285" spans="1:11" x14ac:dyDescent="0.35">
      <c r="A285" s="11" t="s">
        <v>3338</v>
      </c>
      <c r="B285" s="21">
        <v>45806</v>
      </c>
      <c r="C285" s="12" t="s">
        <v>460</v>
      </c>
      <c r="D285" s="12" t="s">
        <v>3006</v>
      </c>
      <c r="E285" s="12" t="s">
        <v>786</v>
      </c>
      <c r="F285" s="12" t="s">
        <v>3013</v>
      </c>
      <c r="G285" s="12" t="s">
        <v>3056</v>
      </c>
      <c r="H285" s="12" t="s">
        <v>623</v>
      </c>
      <c r="I285" s="12">
        <v>76.91</v>
      </c>
      <c r="J285" s="21">
        <v>45809</v>
      </c>
      <c r="K285" s="12" t="s">
        <v>2992</v>
      </c>
    </row>
    <row r="286" spans="1:11" x14ac:dyDescent="0.35">
      <c r="A286" s="13" t="s">
        <v>3339</v>
      </c>
      <c r="B286" s="22">
        <v>45584</v>
      </c>
      <c r="C286" s="14" t="s">
        <v>454</v>
      </c>
      <c r="D286" s="14" t="s">
        <v>3006</v>
      </c>
      <c r="E286" s="14" t="s">
        <v>786</v>
      </c>
      <c r="F286" s="14" t="s">
        <v>3013</v>
      </c>
      <c r="G286" s="14" t="s">
        <v>3066</v>
      </c>
      <c r="H286" s="14" t="s">
        <v>2997</v>
      </c>
      <c r="I286" s="14">
        <v>32.590000000000003</v>
      </c>
      <c r="J286" s="22">
        <v>45598</v>
      </c>
      <c r="K286" s="14" t="s">
        <v>3000</v>
      </c>
    </row>
    <row r="287" spans="1:11" x14ac:dyDescent="0.35">
      <c r="A287" s="11" t="s">
        <v>3340</v>
      </c>
      <c r="B287" s="21">
        <v>45605</v>
      </c>
      <c r="C287" s="12" t="s">
        <v>512</v>
      </c>
      <c r="D287" s="12" t="s">
        <v>3006</v>
      </c>
      <c r="E287" s="12" t="s">
        <v>798</v>
      </c>
      <c r="F287" s="12" t="s">
        <v>3008</v>
      </c>
      <c r="G287" s="12" t="s">
        <v>3097</v>
      </c>
      <c r="H287" s="12" t="s">
        <v>3003</v>
      </c>
      <c r="I287" s="12">
        <v>101.5</v>
      </c>
      <c r="J287" s="12"/>
      <c r="K287" s="12" t="s">
        <v>2992</v>
      </c>
    </row>
    <row r="288" spans="1:11" x14ac:dyDescent="0.35">
      <c r="A288" s="13" t="s">
        <v>3341</v>
      </c>
      <c r="B288" s="22">
        <v>45672</v>
      </c>
      <c r="C288" s="14" t="s">
        <v>544</v>
      </c>
      <c r="D288" s="14" t="s">
        <v>2994</v>
      </c>
      <c r="E288" s="14" t="s">
        <v>786</v>
      </c>
      <c r="F288" s="14" t="s">
        <v>2990</v>
      </c>
      <c r="G288" s="14" t="s">
        <v>3032</v>
      </c>
      <c r="H288" s="14" t="s">
        <v>623</v>
      </c>
      <c r="I288" s="14">
        <v>97.21</v>
      </c>
      <c r="J288" s="22">
        <v>45686</v>
      </c>
      <c r="K288" s="14" t="s">
        <v>3048</v>
      </c>
    </row>
    <row r="289" spans="1:11" x14ac:dyDescent="0.35">
      <c r="A289" s="11" t="s">
        <v>3342</v>
      </c>
      <c r="B289" s="21">
        <v>45305</v>
      </c>
      <c r="C289" s="12" t="s">
        <v>311</v>
      </c>
      <c r="D289" s="12" t="s">
        <v>3002</v>
      </c>
      <c r="E289" s="12" t="s">
        <v>786</v>
      </c>
      <c r="F289" s="12" t="s">
        <v>3008</v>
      </c>
      <c r="G289" s="12" t="s">
        <v>825</v>
      </c>
      <c r="H289" s="12" t="s">
        <v>623</v>
      </c>
      <c r="I289" s="12">
        <v>38.200000000000003</v>
      </c>
      <c r="J289" s="12"/>
      <c r="K289" s="12" t="s">
        <v>2998</v>
      </c>
    </row>
    <row r="290" spans="1:11" x14ac:dyDescent="0.35">
      <c r="A290" s="13" t="s">
        <v>3343</v>
      </c>
      <c r="B290" s="22">
        <v>45477</v>
      </c>
      <c r="C290" s="14" t="s">
        <v>396</v>
      </c>
      <c r="D290" s="14" t="s">
        <v>3006</v>
      </c>
      <c r="E290" s="14" t="s">
        <v>813</v>
      </c>
      <c r="F290" s="14" t="s">
        <v>3008</v>
      </c>
      <c r="G290" s="14" t="s">
        <v>794</v>
      </c>
      <c r="H290" s="14" t="s">
        <v>3003</v>
      </c>
      <c r="I290" s="14">
        <v>33.17</v>
      </c>
      <c r="J290" s="14"/>
      <c r="K290" s="14" t="s">
        <v>3048</v>
      </c>
    </row>
    <row r="291" spans="1:11" x14ac:dyDescent="0.35">
      <c r="A291" s="11" t="s">
        <v>3344</v>
      </c>
      <c r="B291" s="21">
        <v>45453</v>
      </c>
      <c r="C291" s="12" t="s">
        <v>330</v>
      </c>
      <c r="D291" s="12" t="s">
        <v>3006</v>
      </c>
      <c r="E291" s="12" t="s">
        <v>786</v>
      </c>
      <c r="F291" s="12" t="s">
        <v>3008</v>
      </c>
      <c r="G291" s="12" t="s">
        <v>3089</v>
      </c>
      <c r="H291" s="12" t="s">
        <v>3003</v>
      </c>
      <c r="I291" s="12">
        <v>26.55</v>
      </c>
      <c r="J291" s="12"/>
      <c r="K291" s="12" t="s">
        <v>3038</v>
      </c>
    </row>
    <row r="292" spans="1:11" x14ac:dyDescent="0.35">
      <c r="A292" s="13" t="s">
        <v>3345</v>
      </c>
      <c r="B292" s="22">
        <v>45755</v>
      </c>
      <c r="C292" s="14" t="s">
        <v>458</v>
      </c>
      <c r="D292" s="14" t="s">
        <v>2994</v>
      </c>
      <c r="E292" s="14" t="s">
        <v>786</v>
      </c>
      <c r="F292" s="14" t="s">
        <v>2990</v>
      </c>
      <c r="G292" s="14" t="s">
        <v>3019</v>
      </c>
      <c r="H292" s="14" t="s">
        <v>623</v>
      </c>
      <c r="I292" s="14">
        <v>25.04</v>
      </c>
      <c r="J292" s="22">
        <v>45766</v>
      </c>
      <c r="K292" s="14" t="s">
        <v>3038</v>
      </c>
    </row>
    <row r="293" spans="1:11" x14ac:dyDescent="0.35">
      <c r="A293" s="11" t="s">
        <v>3346</v>
      </c>
      <c r="B293" s="21">
        <v>45322</v>
      </c>
      <c r="C293" s="12" t="s">
        <v>526</v>
      </c>
      <c r="D293" s="12" t="s">
        <v>3012</v>
      </c>
      <c r="E293" s="12" t="s">
        <v>798</v>
      </c>
      <c r="F293" s="12" t="s">
        <v>787</v>
      </c>
      <c r="G293" s="12" t="s">
        <v>3081</v>
      </c>
      <c r="H293" s="12" t="s">
        <v>2997</v>
      </c>
      <c r="I293" s="12">
        <v>145.04</v>
      </c>
      <c r="J293" s="12"/>
      <c r="K293" s="12" t="s">
        <v>3004</v>
      </c>
    </row>
    <row r="294" spans="1:11" x14ac:dyDescent="0.35">
      <c r="A294" s="13" t="s">
        <v>3347</v>
      </c>
      <c r="B294" s="22">
        <v>45437</v>
      </c>
      <c r="C294" s="14" t="s">
        <v>335</v>
      </c>
      <c r="D294" s="14" t="s">
        <v>3006</v>
      </c>
      <c r="E294" s="14" t="s">
        <v>786</v>
      </c>
      <c r="F294" s="14" t="s">
        <v>2995</v>
      </c>
      <c r="G294" s="14" t="s">
        <v>3168</v>
      </c>
      <c r="H294" s="14" t="s">
        <v>2997</v>
      </c>
      <c r="I294" s="14">
        <v>33.68</v>
      </c>
      <c r="J294" s="14"/>
      <c r="K294" s="14" t="s">
        <v>2992</v>
      </c>
    </row>
    <row r="295" spans="1:11" x14ac:dyDescent="0.35">
      <c r="A295" s="11" t="s">
        <v>3348</v>
      </c>
      <c r="B295" s="21">
        <v>45452</v>
      </c>
      <c r="C295" s="12" t="s">
        <v>380</v>
      </c>
      <c r="D295" s="12" t="s">
        <v>3002</v>
      </c>
      <c r="E295" s="12" t="s">
        <v>798</v>
      </c>
      <c r="F295" s="12" t="s">
        <v>2990</v>
      </c>
      <c r="G295" s="12" t="s">
        <v>3037</v>
      </c>
      <c r="H295" s="12" t="s">
        <v>2991</v>
      </c>
      <c r="I295" s="12">
        <v>43.06</v>
      </c>
      <c r="J295" s="21">
        <v>45461</v>
      </c>
      <c r="K295" s="12" t="s">
        <v>3020</v>
      </c>
    </row>
    <row r="296" spans="1:11" x14ac:dyDescent="0.35">
      <c r="A296" s="13" t="s">
        <v>3349</v>
      </c>
      <c r="B296" s="22">
        <v>45557</v>
      </c>
      <c r="C296" s="14" t="s">
        <v>408</v>
      </c>
      <c r="D296" s="14" t="s">
        <v>3012</v>
      </c>
      <c r="E296" s="14" t="s">
        <v>798</v>
      </c>
      <c r="F296" s="14" t="s">
        <v>2990</v>
      </c>
      <c r="G296" s="14" t="s">
        <v>3058</v>
      </c>
      <c r="H296" s="14" t="s">
        <v>623</v>
      </c>
      <c r="I296" s="14">
        <v>241.67</v>
      </c>
      <c r="J296" s="22">
        <v>45565</v>
      </c>
      <c r="K296" s="14" t="s">
        <v>3048</v>
      </c>
    </row>
    <row r="297" spans="1:11" x14ac:dyDescent="0.35">
      <c r="A297" s="11" t="s">
        <v>3350</v>
      </c>
      <c r="B297" s="21">
        <v>45950</v>
      </c>
      <c r="C297" s="12" t="s">
        <v>287</v>
      </c>
      <c r="D297" s="12" t="s">
        <v>3012</v>
      </c>
      <c r="E297" s="12" t="s">
        <v>813</v>
      </c>
      <c r="F297" s="12" t="s">
        <v>2990</v>
      </c>
      <c r="G297" s="12" t="s">
        <v>3081</v>
      </c>
      <c r="H297" s="12" t="s">
        <v>2991</v>
      </c>
      <c r="I297" s="12">
        <v>109.1</v>
      </c>
      <c r="J297" s="21">
        <v>45963</v>
      </c>
      <c r="K297" s="12" t="s">
        <v>2992</v>
      </c>
    </row>
    <row r="298" spans="1:11" x14ac:dyDescent="0.35">
      <c r="A298" s="13" t="s">
        <v>3351</v>
      </c>
      <c r="B298" s="22">
        <v>46051</v>
      </c>
      <c r="C298" s="14" t="s">
        <v>352</v>
      </c>
      <c r="D298" s="14" t="s">
        <v>3017</v>
      </c>
      <c r="E298" s="14" t="s">
        <v>813</v>
      </c>
      <c r="F298" s="14" t="s">
        <v>2995</v>
      </c>
      <c r="G298" s="14" t="s">
        <v>3056</v>
      </c>
      <c r="H298" s="14" t="s">
        <v>2991</v>
      </c>
      <c r="I298" s="14">
        <v>100.97</v>
      </c>
      <c r="J298" s="14"/>
      <c r="K298" s="14" t="s">
        <v>3015</v>
      </c>
    </row>
    <row r="299" spans="1:11" x14ac:dyDescent="0.35">
      <c r="A299" s="11" t="s">
        <v>3352</v>
      </c>
      <c r="B299" s="21">
        <v>45990</v>
      </c>
      <c r="C299" s="12" t="s">
        <v>435</v>
      </c>
      <c r="D299" s="12" t="s">
        <v>2994</v>
      </c>
      <c r="E299" s="12" t="s">
        <v>786</v>
      </c>
      <c r="F299" s="12" t="s">
        <v>2995</v>
      </c>
      <c r="G299" s="12" t="s">
        <v>919</v>
      </c>
      <c r="H299" s="12" t="s">
        <v>2997</v>
      </c>
      <c r="I299" s="12">
        <v>81.55</v>
      </c>
      <c r="J299" s="12"/>
      <c r="K299" s="12" t="s">
        <v>3038</v>
      </c>
    </row>
    <row r="300" spans="1:11" x14ac:dyDescent="0.35">
      <c r="A300" s="13" t="s">
        <v>3353</v>
      </c>
      <c r="B300" s="22">
        <v>45953</v>
      </c>
      <c r="C300" s="14" t="s">
        <v>279</v>
      </c>
      <c r="D300" s="14" t="s">
        <v>3012</v>
      </c>
      <c r="E300" s="14" t="s">
        <v>798</v>
      </c>
      <c r="F300" s="14" t="s">
        <v>2990</v>
      </c>
      <c r="G300" s="14" t="s">
        <v>2996</v>
      </c>
      <c r="H300" s="14" t="s">
        <v>623</v>
      </c>
      <c r="I300" s="14">
        <v>101.97</v>
      </c>
      <c r="J300" s="22">
        <v>45954</v>
      </c>
      <c r="K300" s="14" t="s">
        <v>2992</v>
      </c>
    </row>
    <row r="301" spans="1:11" x14ac:dyDescent="0.35">
      <c r="A301" s="11" t="s">
        <v>3354</v>
      </c>
      <c r="B301" s="21">
        <v>45625</v>
      </c>
      <c r="C301" s="12" t="s">
        <v>435</v>
      </c>
      <c r="D301" s="12" t="s">
        <v>650</v>
      </c>
      <c r="E301" s="12" t="s">
        <v>798</v>
      </c>
      <c r="F301" s="12" t="s">
        <v>787</v>
      </c>
      <c r="G301" s="12" t="s">
        <v>3030</v>
      </c>
      <c r="H301" s="12" t="s">
        <v>3003</v>
      </c>
      <c r="I301" s="12">
        <v>25</v>
      </c>
      <c r="J301" s="12"/>
      <c r="K301" s="12" t="s">
        <v>3020</v>
      </c>
    </row>
    <row r="302" spans="1:11" x14ac:dyDescent="0.35">
      <c r="A302" s="13" t="s">
        <v>3355</v>
      </c>
      <c r="B302" s="22">
        <v>45990</v>
      </c>
      <c r="C302" s="14" t="s">
        <v>245</v>
      </c>
      <c r="D302" s="14" t="s">
        <v>3012</v>
      </c>
      <c r="E302" s="14" t="s">
        <v>786</v>
      </c>
      <c r="F302" s="14" t="s">
        <v>3008</v>
      </c>
      <c r="G302" s="14" t="s">
        <v>3120</v>
      </c>
      <c r="H302" s="14" t="s">
        <v>2991</v>
      </c>
      <c r="I302" s="14">
        <v>50.48</v>
      </c>
      <c r="J302" s="14"/>
      <c r="K302" s="14" t="s">
        <v>3048</v>
      </c>
    </row>
    <row r="303" spans="1:11" x14ac:dyDescent="0.35">
      <c r="A303" s="11" t="s">
        <v>3356</v>
      </c>
      <c r="B303" s="21">
        <v>45414</v>
      </c>
      <c r="C303" s="12" t="s">
        <v>478</v>
      </c>
      <c r="D303" s="12" t="s">
        <v>3006</v>
      </c>
      <c r="E303" s="12" t="s">
        <v>798</v>
      </c>
      <c r="F303" s="12" t="s">
        <v>3008</v>
      </c>
      <c r="G303" s="12" t="s">
        <v>3066</v>
      </c>
      <c r="H303" s="12" t="s">
        <v>623</v>
      </c>
      <c r="I303" s="12">
        <v>36.18</v>
      </c>
      <c r="J303" s="12"/>
      <c r="K303" s="12" t="s">
        <v>3048</v>
      </c>
    </row>
    <row r="304" spans="1:11" x14ac:dyDescent="0.35">
      <c r="A304" s="13" t="s">
        <v>3357</v>
      </c>
      <c r="B304" s="22">
        <v>45699</v>
      </c>
      <c r="C304" s="14" t="s">
        <v>484</v>
      </c>
      <c r="D304" s="14" t="s">
        <v>3012</v>
      </c>
      <c r="E304" s="14" t="s">
        <v>798</v>
      </c>
      <c r="F304" s="14" t="s">
        <v>2995</v>
      </c>
      <c r="G304" s="14" t="s">
        <v>3192</v>
      </c>
      <c r="H304" s="14" t="s">
        <v>623</v>
      </c>
      <c r="I304" s="14">
        <v>25</v>
      </c>
      <c r="J304" s="14"/>
      <c r="K304" s="14" t="s">
        <v>3048</v>
      </c>
    </row>
    <row r="305" spans="1:11" x14ac:dyDescent="0.35">
      <c r="A305" s="11" t="s">
        <v>3358</v>
      </c>
      <c r="B305" s="21">
        <v>45416</v>
      </c>
      <c r="C305" s="12" t="s">
        <v>375</v>
      </c>
      <c r="D305" s="12" t="s">
        <v>2994</v>
      </c>
      <c r="E305" s="12" t="s">
        <v>798</v>
      </c>
      <c r="F305" s="12" t="s">
        <v>3008</v>
      </c>
      <c r="G305" s="12" t="s">
        <v>810</v>
      </c>
      <c r="H305" s="12" t="s">
        <v>2991</v>
      </c>
      <c r="I305" s="12">
        <v>25</v>
      </c>
      <c r="J305" s="12"/>
      <c r="K305" s="12" t="s">
        <v>3004</v>
      </c>
    </row>
    <row r="306" spans="1:11" x14ac:dyDescent="0.35">
      <c r="A306" s="13" t="s">
        <v>3359</v>
      </c>
      <c r="B306" s="22">
        <v>46030</v>
      </c>
      <c r="C306" s="14" t="s">
        <v>261</v>
      </c>
      <c r="D306" s="14" t="s">
        <v>650</v>
      </c>
      <c r="E306" s="14" t="s">
        <v>798</v>
      </c>
      <c r="F306" s="14" t="s">
        <v>2995</v>
      </c>
      <c r="G306" s="14" t="s">
        <v>3231</v>
      </c>
      <c r="H306" s="14" t="s">
        <v>3003</v>
      </c>
      <c r="I306" s="14">
        <v>49.52</v>
      </c>
      <c r="J306" s="14"/>
      <c r="K306" s="14" t="s">
        <v>2992</v>
      </c>
    </row>
    <row r="307" spans="1:11" x14ac:dyDescent="0.35">
      <c r="A307" s="11" t="s">
        <v>3360</v>
      </c>
      <c r="B307" s="21">
        <v>45422</v>
      </c>
      <c r="C307" s="12" t="s">
        <v>253</v>
      </c>
      <c r="D307" s="12" t="s">
        <v>3002</v>
      </c>
      <c r="E307" s="12" t="s">
        <v>813</v>
      </c>
      <c r="F307" s="12" t="s">
        <v>3008</v>
      </c>
      <c r="G307" s="12" t="s">
        <v>3042</v>
      </c>
      <c r="H307" s="12" t="s">
        <v>3003</v>
      </c>
      <c r="I307" s="12">
        <v>25</v>
      </c>
      <c r="J307" s="12"/>
      <c r="K307" s="12" t="s">
        <v>3004</v>
      </c>
    </row>
    <row r="308" spans="1:11" x14ac:dyDescent="0.35">
      <c r="A308" s="13" t="s">
        <v>3361</v>
      </c>
      <c r="B308" s="22">
        <v>45465</v>
      </c>
      <c r="C308" s="14" t="s">
        <v>258</v>
      </c>
      <c r="D308" s="14" t="s">
        <v>3012</v>
      </c>
      <c r="E308" s="14" t="s">
        <v>798</v>
      </c>
      <c r="F308" s="14" t="s">
        <v>2990</v>
      </c>
      <c r="G308" s="14" t="s">
        <v>3009</v>
      </c>
      <c r="H308" s="14" t="s">
        <v>3003</v>
      </c>
      <c r="I308" s="14">
        <v>47.74</v>
      </c>
      <c r="J308" s="22">
        <v>45474</v>
      </c>
      <c r="K308" s="14" t="s">
        <v>3000</v>
      </c>
    </row>
    <row r="309" spans="1:11" x14ac:dyDescent="0.35">
      <c r="A309" s="11" t="s">
        <v>3362</v>
      </c>
      <c r="B309" s="21">
        <v>45914</v>
      </c>
      <c r="C309" s="12" t="s">
        <v>365</v>
      </c>
      <c r="D309" s="12" t="s">
        <v>3006</v>
      </c>
      <c r="E309" s="12" t="s">
        <v>786</v>
      </c>
      <c r="F309" s="12" t="s">
        <v>2990</v>
      </c>
      <c r="G309" s="12" t="s">
        <v>3019</v>
      </c>
      <c r="H309" s="12" t="s">
        <v>2997</v>
      </c>
      <c r="I309" s="12">
        <v>41.63</v>
      </c>
      <c r="J309" s="21">
        <v>45918</v>
      </c>
      <c r="K309" s="12" t="s">
        <v>3004</v>
      </c>
    </row>
    <row r="310" spans="1:11" x14ac:dyDescent="0.35">
      <c r="A310" s="13" t="s">
        <v>3363</v>
      </c>
      <c r="B310" s="22">
        <v>45524</v>
      </c>
      <c r="C310" s="14" t="s">
        <v>478</v>
      </c>
      <c r="D310" s="14" t="s">
        <v>2994</v>
      </c>
      <c r="E310" s="14" t="s">
        <v>786</v>
      </c>
      <c r="F310" s="14" t="s">
        <v>3008</v>
      </c>
      <c r="G310" s="14" t="s">
        <v>3122</v>
      </c>
      <c r="H310" s="14" t="s">
        <v>2991</v>
      </c>
      <c r="I310" s="14">
        <v>144.1</v>
      </c>
      <c r="J310" s="14"/>
      <c r="K310" s="14" t="s">
        <v>3015</v>
      </c>
    </row>
    <row r="311" spans="1:11" x14ac:dyDescent="0.35">
      <c r="A311" s="11" t="s">
        <v>3364</v>
      </c>
      <c r="B311" s="21">
        <v>45385</v>
      </c>
      <c r="C311" s="12" t="s">
        <v>282</v>
      </c>
      <c r="D311" s="12" t="s">
        <v>650</v>
      </c>
      <c r="E311" s="12" t="s">
        <v>813</v>
      </c>
      <c r="F311" s="12" t="s">
        <v>787</v>
      </c>
      <c r="G311" s="12" t="s">
        <v>3032</v>
      </c>
      <c r="H311" s="12" t="s">
        <v>2991</v>
      </c>
      <c r="I311" s="12">
        <v>80.540000000000006</v>
      </c>
      <c r="J311" s="12"/>
      <c r="K311" s="12" t="s">
        <v>3000</v>
      </c>
    </row>
    <row r="312" spans="1:11" x14ac:dyDescent="0.35">
      <c r="A312" s="13" t="s">
        <v>3365</v>
      </c>
      <c r="B312" s="22">
        <v>45801</v>
      </c>
      <c r="C312" s="14" t="s">
        <v>335</v>
      </c>
      <c r="D312" s="14" t="s">
        <v>650</v>
      </c>
      <c r="E312" s="14" t="s">
        <v>798</v>
      </c>
      <c r="F312" s="14" t="s">
        <v>2990</v>
      </c>
      <c r="G312" s="14" t="s">
        <v>3077</v>
      </c>
      <c r="H312" s="14" t="s">
        <v>2991</v>
      </c>
      <c r="I312" s="14">
        <v>91.8</v>
      </c>
      <c r="J312" s="22">
        <v>45802</v>
      </c>
      <c r="K312" s="14" t="s">
        <v>3010</v>
      </c>
    </row>
    <row r="313" spans="1:11" x14ac:dyDescent="0.35">
      <c r="A313" s="11" t="s">
        <v>3366</v>
      </c>
      <c r="B313" s="21">
        <v>45306</v>
      </c>
      <c r="C313" s="12" t="s">
        <v>287</v>
      </c>
      <c r="D313" s="12" t="s">
        <v>3006</v>
      </c>
      <c r="E313" s="12" t="s">
        <v>786</v>
      </c>
      <c r="F313" s="12" t="s">
        <v>787</v>
      </c>
      <c r="G313" s="12" t="s">
        <v>963</v>
      </c>
      <c r="H313" s="12" t="s">
        <v>3003</v>
      </c>
      <c r="I313" s="12">
        <v>28.48</v>
      </c>
      <c r="J313" s="12"/>
      <c r="K313" s="12" t="s">
        <v>3024</v>
      </c>
    </row>
    <row r="314" spans="1:11" x14ac:dyDescent="0.35">
      <c r="A314" s="13" t="s">
        <v>3367</v>
      </c>
      <c r="B314" s="22">
        <v>45986</v>
      </c>
      <c r="C314" s="14" t="s">
        <v>537</v>
      </c>
      <c r="D314" s="14" t="s">
        <v>3012</v>
      </c>
      <c r="E314" s="14" t="s">
        <v>813</v>
      </c>
      <c r="F314" s="14" t="s">
        <v>2990</v>
      </c>
      <c r="G314" s="14" t="s">
        <v>3276</v>
      </c>
      <c r="H314" s="14" t="s">
        <v>2991</v>
      </c>
      <c r="I314" s="14">
        <v>117.74</v>
      </c>
      <c r="J314" s="22">
        <v>45998</v>
      </c>
      <c r="K314" s="14" t="s">
        <v>2998</v>
      </c>
    </row>
    <row r="315" spans="1:11" x14ac:dyDescent="0.35">
      <c r="A315" s="11" t="s">
        <v>3368</v>
      </c>
      <c r="B315" s="21">
        <v>45838</v>
      </c>
      <c r="C315" s="12" t="s">
        <v>404</v>
      </c>
      <c r="D315" s="12" t="s">
        <v>2994</v>
      </c>
      <c r="E315" s="12" t="s">
        <v>786</v>
      </c>
      <c r="F315" s="12" t="s">
        <v>3008</v>
      </c>
      <c r="G315" s="12" t="s">
        <v>794</v>
      </c>
      <c r="H315" s="12" t="s">
        <v>3003</v>
      </c>
      <c r="I315" s="12">
        <v>78</v>
      </c>
      <c r="J315" s="12"/>
      <c r="K315" s="12" t="s">
        <v>3004</v>
      </c>
    </row>
    <row r="316" spans="1:11" x14ac:dyDescent="0.35">
      <c r="A316" s="13" t="s">
        <v>3369</v>
      </c>
      <c r="B316" s="22">
        <v>45506</v>
      </c>
      <c r="C316" s="14" t="s">
        <v>385</v>
      </c>
      <c r="D316" s="14" t="s">
        <v>3012</v>
      </c>
      <c r="E316" s="14" t="s">
        <v>813</v>
      </c>
      <c r="F316" s="14" t="s">
        <v>787</v>
      </c>
      <c r="G316" s="14" t="s">
        <v>3150</v>
      </c>
      <c r="H316" s="14" t="s">
        <v>623</v>
      </c>
      <c r="I316" s="14">
        <v>51.59</v>
      </c>
      <c r="J316" s="14"/>
      <c r="K316" s="14" t="s">
        <v>3010</v>
      </c>
    </row>
    <row r="317" spans="1:11" x14ac:dyDescent="0.35">
      <c r="A317" s="11" t="s">
        <v>3370</v>
      </c>
      <c r="B317" s="21">
        <v>45914</v>
      </c>
      <c r="C317" s="12" t="s">
        <v>420</v>
      </c>
      <c r="D317" s="12" t="s">
        <v>3002</v>
      </c>
      <c r="E317" s="12" t="s">
        <v>813</v>
      </c>
      <c r="F317" s="12" t="s">
        <v>3008</v>
      </c>
      <c r="G317" s="12" t="s">
        <v>3085</v>
      </c>
      <c r="H317" s="12" t="s">
        <v>3003</v>
      </c>
      <c r="I317" s="12">
        <v>25</v>
      </c>
      <c r="J317" s="12"/>
      <c r="K317" s="12" t="s">
        <v>3004</v>
      </c>
    </row>
    <row r="318" spans="1:11" x14ac:dyDescent="0.35">
      <c r="A318" s="13" t="s">
        <v>3371</v>
      </c>
      <c r="B318" s="22">
        <v>45474</v>
      </c>
      <c r="C318" s="14" t="s">
        <v>600</v>
      </c>
      <c r="D318" s="14" t="s">
        <v>3002</v>
      </c>
      <c r="E318" s="14" t="s">
        <v>786</v>
      </c>
      <c r="F318" s="14" t="s">
        <v>3008</v>
      </c>
      <c r="G318" s="14" t="s">
        <v>3035</v>
      </c>
      <c r="H318" s="14" t="s">
        <v>2997</v>
      </c>
      <c r="I318" s="14">
        <v>69.06</v>
      </c>
      <c r="J318" s="14"/>
      <c r="K318" s="14" t="s">
        <v>3048</v>
      </c>
    </row>
    <row r="319" spans="1:11" x14ac:dyDescent="0.35">
      <c r="A319" s="11" t="s">
        <v>3372</v>
      </c>
      <c r="B319" s="21">
        <v>45672</v>
      </c>
      <c r="C319" s="12" t="s">
        <v>304</v>
      </c>
      <c r="D319" s="12" t="s">
        <v>3006</v>
      </c>
      <c r="E319" s="12" t="s">
        <v>813</v>
      </c>
      <c r="F319" s="12" t="s">
        <v>3008</v>
      </c>
      <c r="G319" s="12" t="s">
        <v>790</v>
      </c>
      <c r="H319" s="12" t="s">
        <v>3003</v>
      </c>
      <c r="I319" s="12">
        <v>45.45</v>
      </c>
      <c r="J319" s="12"/>
      <c r="K319" s="12" t="s">
        <v>3010</v>
      </c>
    </row>
    <row r="320" spans="1:11" x14ac:dyDescent="0.35">
      <c r="A320" s="13" t="s">
        <v>3373</v>
      </c>
      <c r="B320" s="22">
        <v>45955</v>
      </c>
      <c r="C320" s="14" t="s">
        <v>332</v>
      </c>
      <c r="D320" s="14" t="s">
        <v>650</v>
      </c>
      <c r="E320" s="14" t="s">
        <v>786</v>
      </c>
      <c r="F320" s="14" t="s">
        <v>3008</v>
      </c>
      <c r="G320" s="14" t="s">
        <v>3231</v>
      </c>
      <c r="H320" s="14" t="s">
        <v>2997</v>
      </c>
      <c r="I320" s="14">
        <v>36.36</v>
      </c>
      <c r="J320" s="14"/>
      <c r="K320" s="14" t="s">
        <v>3010</v>
      </c>
    </row>
    <row r="321" spans="1:11" x14ac:dyDescent="0.35">
      <c r="A321" s="11" t="s">
        <v>3374</v>
      </c>
      <c r="B321" s="21">
        <v>45533</v>
      </c>
      <c r="C321" s="12" t="s">
        <v>239</v>
      </c>
      <c r="D321" s="12" t="s">
        <v>2994</v>
      </c>
      <c r="E321" s="12" t="s">
        <v>798</v>
      </c>
      <c r="F321" s="12" t="s">
        <v>3008</v>
      </c>
      <c r="G321" s="12" t="s">
        <v>3092</v>
      </c>
      <c r="H321" s="12" t="s">
        <v>2997</v>
      </c>
      <c r="I321" s="12">
        <v>62.97</v>
      </c>
      <c r="J321" s="12"/>
      <c r="K321" s="12" t="s">
        <v>3010</v>
      </c>
    </row>
    <row r="322" spans="1:11" x14ac:dyDescent="0.35">
      <c r="A322" s="13" t="s">
        <v>3375</v>
      </c>
      <c r="B322" s="22">
        <v>45960</v>
      </c>
      <c r="C322" s="14" t="s">
        <v>537</v>
      </c>
      <c r="D322" s="14" t="s">
        <v>3002</v>
      </c>
      <c r="E322" s="14" t="s">
        <v>786</v>
      </c>
      <c r="F322" s="14" t="s">
        <v>3013</v>
      </c>
      <c r="G322" s="14" t="s">
        <v>2996</v>
      </c>
      <c r="H322" s="14" t="s">
        <v>3003</v>
      </c>
      <c r="I322" s="14">
        <v>43.45</v>
      </c>
      <c r="J322" s="22">
        <v>45973</v>
      </c>
      <c r="K322" s="14" t="s">
        <v>3015</v>
      </c>
    </row>
    <row r="323" spans="1:11" x14ac:dyDescent="0.35">
      <c r="A323" s="11" t="s">
        <v>3376</v>
      </c>
      <c r="B323" s="21">
        <v>45470</v>
      </c>
      <c r="C323" s="12" t="s">
        <v>468</v>
      </c>
      <c r="D323" s="12" t="s">
        <v>3012</v>
      </c>
      <c r="E323" s="12" t="s">
        <v>786</v>
      </c>
      <c r="F323" s="12" t="s">
        <v>2990</v>
      </c>
      <c r="G323" s="12" t="s">
        <v>3097</v>
      </c>
      <c r="H323" s="12" t="s">
        <v>3003</v>
      </c>
      <c r="I323" s="12">
        <v>51.09</v>
      </c>
      <c r="J323" s="21">
        <v>45480</v>
      </c>
      <c r="K323" s="12" t="s">
        <v>3020</v>
      </c>
    </row>
    <row r="324" spans="1:11" x14ac:dyDescent="0.35">
      <c r="A324" s="13" t="s">
        <v>3377</v>
      </c>
      <c r="B324" s="22">
        <v>45964</v>
      </c>
      <c r="C324" s="14" t="s">
        <v>420</v>
      </c>
      <c r="D324" s="14" t="s">
        <v>2994</v>
      </c>
      <c r="E324" s="14" t="s">
        <v>786</v>
      </c>
      <c r="F324" s="14" t="s">
        <v>2990</v>
      </c>
      <c r="G324" s="14" t="s">
        <v>3040</v>
      </c>
      <c r="H324" s="14" t="s">
        <v>623</v>
      </c>
      <c r="I324" s="14">
        <v>26.17</v>
      </c>
      <c r="J324" s="22">
        <v>45970</v>
      </c>
      <c r="K324" s="14" t="s">
        <v>2992</v>
      </c>
    </row>
    <row r="325" spans="1:11" x14ac:dyDescent="0.35">
      <c r="A325" s="11" t="s">
        <v>3378</v>
      </c>
      <c r="B325" s="21">
        <v>45549</v>
      </c>
      <c r="C325" s="12" t="s">
        <v>458</v>
      </c>
      <c r="D325" s="12" t="s">
        <v>3006</v>
      </c>
      <c r="E325" s="12" t="s">
        <v>798</v>
      </c>
      <c r="F325" s="12" t="s">
        <v>3013</v>
      </c>
      <c r="G325" s="12" t="s">
        <v>3379</v>
      </c>
      <c r="H325" s="12" t="s">
        <v>2997</v>
      </c>
      <c r="I325" s="12">
        <v>25</v>
      </c>
      <c r="J325" s="21">
        <v>45551</v>
      </c>
      <c r="K325" s="12" t="s">
        <v>3015</v>
      </c>
    </row>
    <row r="326" spans="1:11" x14ac:dyDescent="0.35">
      <c r="A326" s="13" t="s">
        <v>3380</v>
      </c>
      <c r="B326" s="22">
        <v>46029</v>
      </c>
      <c r="C326" s="14" t="s">
        <v>408</v>
      </c>
      <c r="D326" s="14" t="s">
        <v>3006</v>
      </c>
      <c r="E326" s="14" t="s">
        <v>786</v>
      </c>
      <c r="F326" s="14" t="s">
        <v>2990</v>
      </c>
      <c r="G326" s="14" t="s">
        <v>3245</v>
      </c>
      <c r="H326" s="14" t="s">
        <v>2997</v>
      </c>
      <c r="I326" s="14">
        <v>130.77000000000001</v>
      </c>
      <c r="J326" s="22">
        <v>46036</v>
      </c>
      <c r="K326" s="14" t="s">
        <v>2998</v>
      </c>
    </row>
    <row r="327" spans="1:11" x14ac:dyDescent="0.35">
      <c r="A327" s="11" t="s">
        <v>3381</v>
      </c>
      <c r="B327" s="21">
        <v>45309</v>
      </c>
      <c r="C327" s="12" t="s">
        <v>458</v>
      </c>
      <c r="D327" s="12" t="s">
        <v>3012</v>
      </c>
      <c r="E327" s="12" t="s">
        <v>786</v>
      </c>
      <c r="F327" s="12" t="s">
        <v>2990</v>
      </c>
      <c r="G327" s="12" t="s">
        <v>825</v>
      </c>
      <c r="H327" s="12" t="s">
        <v>3003</v>
      </c>
      <c r="I327" s="12">
        <v>26.48</v>
      </c>
      <c r="J327" s="21">
        <v>45319</v>
      </c>
      <c r="K327" s="12" t="s">
        <v>2992</v>
      </c>
    </row>
    <row r="328" spans="1:11" x14ac:dyDescent="0.35">
      <c r="A328" s="13" t="s">
        <v>3382</v>
      </c>
      <c r="B328" s="22">
        <v>45753</v>
      </c>
      <c r="C328" s="14" t="s">
        <v>531</v>
      </c>
      <c r="D328" s="14" t="s">
        <v>2994</v>
      </c>
      <c r="E328" s="14" t="s">
        <v>786</v>
      </c>
      <c r="F328" s="14" t="s">
        <v>3008</v>
      </c>
      <c r="G328" s="14" t="s">
        <v>790</v>
      </c>
      <c r="H328" s="14" t="s">
        <v>623</v>
      </c>
      <c r="I328" s="14">
        <v>27.22</v>
      </c>
      <c r="J328" s="14"/>
      <c r="K328" s="14" t="s">
        <v>3004</v>
      </c>
    </row>
    <row r="329" spans="1:11" x14ac:dyDescent="0.35">
      <c r="A329" s="11" t="s">
        <v>3383</v>
      </c>
      <c r="B329" s="21">
        <v>45310</v>
      </c>
      <c r="C329" s="12" t="s">
        <v>402</v>
      </c>
      <c r="D329" s="12" t="s">
        <v>3017</v>
      </c>
      <c r="E329" s="12" t="s">
        <v>786</v>
      </c>
      <c r="F329" s="12" t="s">
        <v>787</v>
      </c>
      <c r="G329" s="12" t="s">
        <v>819</v>
      </c>
      <c r="H329" s="12" t="s">
        <v>623</v>
      </c>
      <c r="I329" s="12">
        <v>37.81</v>
      </c>
      <c r="J329" s="12"/>
      <c r="K329" s="12" t="s">
        <v>3000</v>
      </c>
    </row>
    <row r="330" spans="1:11" x14ac:dyDescent="0.35">
      <c r="A330" s="13" t="s">
        <v>3384</v>
      </c>
      <c r="B330" s="22">
        <v>45959</v>
      </c>
      <c r="C330" s="14" t="s">
        <v>510</v>
      </c>
      <c r="D330" s="14" t="s">
        <v>3006</v>
      </c>
      <c r="E330" s="14" t="s">
        <v>786</v>
      </c>
      <c r="F330" s="14" t="s">
        <v>2990</v>
      </c>
      <c r="G330" s="14" t="s">
        <v>810</v>
      </c>
      <c r="H330" s="14" t="s">
        <v>2997</v>
      </c>
      <c r="I330" s="14">
        <v>90.43</v>
      </c>
      <c r="J330" s="22">
        <v>45961</v>
      </c>
      <c r="K330" s="14" t="s">
        <v>3048</v>
      </c>
    </row>
    <row r="331" spans="1:11" x14ac:dyDescent="0.35">
      <c r="A331" s="11" t="s">
        <v>3385</v>
      </c>
      <c r="B331" s="21">
        <v>45877</v>
      </c>
      <c r="C331" s="12" t="s">
        <v>399</v>
      </c>
      <c r="D331" s="12" t="s">
        <v>3012</v>
      </c>
      <c r="E331" s="12" t="s">
        <v>786</v>
      </c>
      <c r="F331" s="12" t="s">
        <v>3013</v>
      </c>
      <c r="G331" s="12" t="s">
        <v>3097</v>
      </c>
      <c r="H331" s="12" t="s">
        <v>2991</v>
      </c>
      <c r="I331" s="12">
        <v>36.75</v>
      </c>
      <c r="J331" s="21">
        <v>45886</v>
      </c>
      <c r="K331" s="12" t="s">
        <v>3000</v>
      </c>
    </row>
    <row r="332" spans="1:11" x14ac:dyDescent="0.35">
      <c r="A332" s="13" t="s">
        <v>3386</v>
      </c>
      <c r="B332" s="22">
        <v>45954</v>
      </c>
      <c r="C332" s="14" t="s">
        <v>311</v>
      </c>
      <c r="D332" s="14" t="s">
        <v>2994</v>
      </c>
      <c r="E332" s="14" t="s">
        <v>786</v>
      </c>
      <c r="F332" s="14" t="s">
        <v>3013</v>
      </c>
      <c r="G332" s="14" t="s">
        <v>3040</v>
      </c>
      <c r="H332" s="14" t="s">
        <v>3003</v>
      </c>
      <c r="I332" s="14">
        <v>49.58</v>
      </c>
      <c r="J332" s="22">
        <v>45956</v>
      </c>
      <c r="K332" s="14" t="s">
        <v>3004</v>
      </c>
    </row>
    <row r="333" spans="1:11" x14ac:dyDescent="0.35">
      <c r="A333" s="11" t="s">
        <v>3387</v>
      </c>
      <c r="B333" s="21">
        <v>45728</v>
      </c>
      <c r="C333" s="12" t="s">
        <v>287</v>
      </c>
      <c r="D333" s="12" t="s">
        <v>2994</v>
      </c>
      <c r="E333" s="12" t="s">
        <v>786</v>
      </c>
      <c r="F333" s="12" t="s">
        <v>2990</v>
      </c>
      <c r="G333" s="12" t="s">
        <v>3032</v>
      </c>
      <c r="H333" s="12" t="s">
        <v>3003</v>
      </c>
      <c r="I333" s="12">
        <v>31.56</v>
      </c>
      <c r="J333" s="21">
        <v>45736</v>
      </c>
      <c r="K333" s="12" t="s">
        <v>3015</v>
      </c>
    </row>
    <row r="334" spans="1:11" x14ac:dyDescent="0.35">
      <c r="A334" s="13" t="s">
        <v>3388</v>
      </c>
      <c r="B334" s="22">
        <v>45983</v>
      </c>
      <c r="C334" s="14" t="s">
        <v>287</v>
      </c>
      <c r="D334" s="14" t="s">
        <v>3006</v>
      </c>
      <c r="E334" s="14" t="s">
        <v>786</v>
      </c>
      <c r="F334" s="14" t="s">
        <v>3008</v>
      </c>
      <c r="G334" s="14" t="s">
        <v>3066</v>
      </c>
      <c r="H334" s="14" t="s">
        <v>2991</v>
      </c>
      <c r="I334" s="14">
        <v>108.85</v>
      </c>
      <c r="J334" s="14"/>
      <c r="K334" s="14" t="s">
        <v>3024</v>
      </c>
    </row>
    <row r="335" spans="1:11" x14ac:dyDescent="0.35">
      <c r="A335" s="11" t="s">
        <v>3389</v>
      </c>
      <c r="B335" s="21">
        <v>45722</v>
      </c>
      <c r="C335" s="12" t="s">
        <v>427</v>
      </c>
      <c r="D335" s="12" t="s">
        <v>3017</v>
      </c>
      <c r="E335" s="12" t="s">
        <v>798</v>
      </c>
      <c r="F335" s="12" t="s">
        <v>3013</v>
      </c>
      <c r="G335" s="12" t="s">
        <v>3066</v>
      </c>
      <c r="H335" s="12" t="s">
        <v>2997</v>
      </c>
      <c r="I335" s="12">
        <v>25</v>
      </c>
      <c r="J335" s="21">
        <v>45726</v>
      </c>
      <c r="K335" s="12" t="s">
        <v>3010</v>
      </c>
    </row>
    <row r="336" spans="1:11" x14ac:dyDescent="0.35">
      <c r="A336" s="13" t="s">
        <v>3390</v>
      </c>
      <c r="B336" s="22">
        <v>45909</v>
      </c>
      <c r="C336" s="14" t="s">
        <v>318</v>
      </c>
      <c r="D336" s="14" t="s">
        <v>3012</v>
      </c>
      <c r="E336" s="14" t="s">
        <v>798</v>
      </c>
      <c r="F336" s="14" t="s">
        <v>3008</v>
      </c>
      <c r="G336" s="14" t="s">
        <v>3138</v>
      </c>
      <c r="H336" s="14" t="s">
        <v>623</v>
      </c>
      <c r="I336" s="14">
        <v>62.62</v>
      </c>
      <c r="J336" s="14"/>
      <c r="K336" s="14" t="s">
        <v>3024</v>
      </c>
    </row>
    <row r="337" spans="1:11" x14ac:dyDescent="0.35">
      <c r="A337" s="11" t="s">
        <v>3391</v>
      </c>
      <c r="B337" s="21">
        <v>45980</v>
      </c>
      <c r="C337" s="12" t="s">
        <v>443</v>
      </c>
      <c r="D337" s="12" t="s">
        <v>650</v>
      </c>
      <c r="E337" s="12" t="s">
        <v>798</v>
      </c>
      <c r="F337" s="12" t="s">
        <v>3008</v>
      </c>
      <c r="G337" s="12" t="s">
        <v>3102</v>
      </c>
      <c r="H337" s="12" t="s">
        <v>3003</v>
      </c>
      <c r="I337" s="12">
        <v>172.98</v>
      </c>
      <c r="J337" s="12"/>
      <c r="K337" s="12" t="s">
        <v>3038</v>
      </c>
    </row>
    <row r="338" spans="1:11" x14ac:dyDescent="0.35">
      <c r="A338" s="13" t="s">
        <v>3392</v>
      </c>
      <c r="B338" s="22">
        <v>45454</v>
      </c>
      <c r="C338" s="14" t="s">
        <v>335</v>
      </c>
      <c r="D338" s="14" t="s">
        <v>650</v>
      </c>
      <c r="E338" s="14" t="s">
        <v>786</v>
      </c>
      <c r="F338" s="14" t="s">
        <v>2990</v>
      </c>
      <c r="G338" s="14" t="s">
        <v>3035</v>
      </c>
      <c r="H338" s="14" t="s">
        <v>2991</v>
      </c>
      <c r="I338" s="14">
        <v>46.14</v>
      </c>
      <c r="J338" s="22">
        <v>45467</v>
      </c>
      <c r="K338" s="14" t="s">
        <v>3015</v>
      </c>
    </row>
    <row r="339" spans="1:11" x14ac:dyDescent="0.35">
      <c r="A339" s="11" t="s">
        <v>3393</v>
      </c>
      <c r="B339" s="21">
        <v>45570</v>
      </c>
      <c r="C339" s="12" t="s">
        <v>417</v>
      </c>
      <c r="D339" s="12" t="s">
        <v>650</v>
      </c>
      <c r="E339" s="12" t="s">
        <v>798</v>
      </c>
      <c r="F339" s="12" t="s">
        <v>2990</v>
      </c>
      <c r="G339" s="12" t="s">
        <v>859</v>
      </c>
      <c r="H339" s="12" t="s">
        <v>2991</v>
      </c>
      <c r="I339" s="12">
        <v>31.34</v>
      </c>
      <c r="J339" s="21">
        <v>45571</v>
      </c>
      <c r="K339" s="12" t="s">
        <v>3038</v>
      </c>
    </row>
    <row r="340" spans="1:11" x14ac:dyDescent="0.35">
      <c r="A340" s="13" t="s">
        <v>3394</v>
      </c>
      <c r="B340" s="22">
        <v>45293</v>
      </c>
      <c r="C340" s="14" t="s">
        <v>346</v>
      </c>
      <c r="D340" s="14" t="s">
        <v>2994</v>
      </c>
      <c r="E340" s="14" t="s">
        <v>813</v>
      </c>
      <c r="F340" s="14" t="s">
        <v>2995</v>
      </c>
      <c r="G340" s="14" t="s">
        <v>3089</v>
      </c>
      <c r="H340" s="14" t="s">
        <v>2997</v>
      </c>
      <c r="I340" s="14">
        <v>25</v>
      </c>
      <c r="J340" s="14"/>
      <c r="K340" s="14" t="s">
        <v>3024</v>
      </c>
    </row>
    <row r="341" spans="1:11" x14ac:dyDescent="0.35">
      <c r="A341" s="11" t="s">
        <v>3395</v>
      </c>
      <c r="B341" s="21">
        <v>45973</v>
      </c>
      <c r="C341" s="12" t="s">
        <v>287</v>
      </c>
      <c r="D341" s="12" t="s">
        <v>2994</v>
      </c>
      <c r="E341" s="12" t="s">
        <v>786</v>
      </c>
      <c r="F341" s="12" t="s">
        <v>3008</v>
      </c>
      <c r="G341" s="12" t="s">
        <v>819</v>
      </c>
      <c r="H341" s="12" t="s">
        <v>2991</v>
      </c>
      <c r="I341" s="12">
        <v>67.55</v>
      </c>
      <c r="J341" s="12"/>
      <c r="K341" s="12" t="s">
        <v>2998</v>
      </c>
    </row>
    <row r="342" spans="1:11" x14ac:dyDescent="0.35">
      <c r="A342" s="13" t="s">
        <v>3396</v>
      </c>
      <c r="B342" s="22">
        <v>45383</v>
      </c>
      <c r="C342" s="14" t="s">
        <v>476</v>
      </c>
      <c r="D342" s="14" t="s">
        <v>3017</v>
      </c>
      <c r="E342" s="14" t="s">
        <v>786</v>
      </c>
      <c r="F342" s="14" t="s">
        <v>3008</v>
      </c>
      <c r="G342" s="14" t="s">
        <v>3122</v>
      </c>
      <c r="H342" s="14" t="s">
        <v>2997</v>
      </c>
      <c r="I342" s="14">
        <v>94.7</v>
      </c>
      <c r="J342" s="14"/>
      <c r="K342" s="14" t="s">
        <v>2992</v>
      </c>
    </row>
    <row r="343" spans="1:11" x14ac:dyDescent="0.35">
      <c r="A343" s="11" t="s">
        <v>3397</v>
      </c>
      <c r="B343" s="21">
        <v>45325</v>
      </c>
      <c r="C343" s="12" t="s">
        <v>258</v>
      </c>
      <c r="D343" s="12" t="s">
        <v>2994</v>
      </c>
      <c r="E343" s="12" t="s">
        <v>786</v>
      </c>
      <c r="F343" s="12" t="s">
        <v>3008</v>
      </c>
      <c r="G343" s="12" t="s">
        <v>3019</v>
      </c>
      <c r="H343" s="12" t="s">
        <v>2991</v>
      </c>
      <c r="I343" s="12">
        <v>107.24</v>
      </c>
      <c r="J343" s="12"/>
      <c r="K343" s="12" t="s">
        <v>3048</v>
      </c>
    </row>
    <row r="344" spans="1:11" x14ac:dyDescent="0.35">
      <c r="A344" s="13" t="s">
        <v>3398</v>
      </c>
      <c r="B344" s="22">
        <v>45330</v>
      </c>
      <c r="C344" s="14" t="s">
        <v>549</v>
      </c>
      <c r="D344" s="14" t="s">
        <v>3012</v>
      </c>
      <c r="E344" s="14" t="s">
        <v>786</v>
      </c>
      <c r="F344" s="14" t="s">
        <v>3008</v>
      </c>
      <c r="G344" s="14" t="s">
        <v>876</v>
      </c>
      <c r="H344" s="14" t="s">
        <v>3003</v>
      </c>
      <c r="I344" s="14">
        <v>132.32</v>
      </c>
      <c r="J344" s="14"/>
      <c r="K344" s="14" t="s">
        <v>3020</v>
      </c>
    </row>
    <row r="345" spans="1:11" x14ac:dyDescent="0.35">
      <c r="A345" s="11" t="s">
        <v>3399</v>
      </c>
      <c r="B345" s="21">
        <v>45743</v>
      </c>
      <c r="C345" s="12" t="s">
        <v>311</v>
      </c>
      <c r="D345" s="12" t="s">
        <v>3006</v>
      </c>
      <c r="E345" s="12" t="s">
        <v>798</v>
      </c>
      <c r="F345" s="12" t="s">
        <v>2995</v>
      </c>
      <c r="G345" s="12" t="s">
        <v>814</v>
      </c>
      <c r="H345" s="12" t="s">
        <v>3003</v>
      </c>
      <c r="I345" s="12">
        <v>86.6</v>
      </c>
      <c r="J345" s="12"/>
      <c r="K345" s="12" t="s">
        <v>3000</v>
      </c>
    </row>
    <row r="346" spans="1:11" x14ac:dyDescent="0.35">
      <c r="A346" s="13" t="s">
        <v>3400</v>
      </c>
      <c r="B346" s="22">
        <v>46004</v>
      </c>
      <c r="C346" s="14" t="s">
        <v>460</v>
      </c>
      <c r="D346" s="14" t="s">
        <v>3017</v>
      </c>
      <c r="E346" s="14" t="s">
        <v>786</v>
      </c>
      <c r="F346" s="14" t="s">
        <v>787</v>
      </c>
      <c r="G346" s="14" t="s">
        <v>3062</v>
      </c>
      <c r="H346" s="14" t="s">
        <v>2991</v>
      </c>
      <c r="I346" s="14">
        <v>25</v>
      </c>
      <c r="J346" s="14"/>
      <c r="K346" s="14" t="s">
        <v>3038</v>
      </c>
    </row>
    <row r="347" spans="1:11" x14ac:dyDescent="0.35">
      <c r="A347" s="11" t="s">
        <v>3401</v>
      </c>
      <c r="B347" s="21">
        <v>45475</v>
      </c>
      <c r="C347" s="12" t="s">
        <v>454</v>
      </c>
      <c r="D347" s="12" t="s">
        <v>3002</v>
      </c>
      <c r="E347" s="12" t="s">
        <v>786</v>
      </c>
      <c r="F347" s="12" t="s">
        <v>2995</v>
      </c>
      <c r="G347" s="12" t="s">
        <v>3060</v>
      </c>
      <c r="H347" s="12" t="s">
        <v>2991</v>
      </c>
      <c r="I347" s="12">
        <v>112.61</v>
      </c>
      <c r="J347" s="12"/>
      <c r="K347" s="12" t="s">
        <v>3048</v>
      </c>
    </row>
    <row r="348" spans="1:11" x14ac:dyDescent="0.35">
      <c r="A348" s="13" t="s">
        <v>3402</v>
      </c>
      <c r="B348" s="22">
        <v>45728</v>
      </c>
      <c r="C348" s="14" t="s">
        <v>424</v>
      </c>
      <c r="D348" s="14" t="s">
        <v>3017</v>
      </c>
      <c r="E348" s="14" t="s">
        <v>813</v>
      </c>
      <c r="F348" s="14" t="s">
        <v>2990</v>
      </c>
      <c r="G348" s="14" t="s">
        <v>3044</v>
      </c>
      <c r="H348" s="14" t="s">
        <v>2997</v>
      </c>
      <c r="I348" s="14">
        <v>32.880000000000003</v>
      </c>
      <c r="J348" s="22">
        <v>45737</v>
      </c>
      <c r="K348" s="14" t="s">
        <v>3000</v>
      </c>
    </row>
    <row r="349" spans="1:11" x14ac:dyDescent="0.35">
      <c r="A349" s="11" t="s">
        <v>3403</v>
      </c>
      <c r="B349" s="21">
        <v>45865</v>
      </c>
      <c r="C349" s="12" t="s">
        <v>458</v>
      </c>
      <c r="D349" s="12" t="s">
        <v>3002</v>
      </c>
      <c r="E349" s="12" t="s">
        <v>798</v>
      </c>
      <c r="F349" s="12" t="s">
        <v>3008</v>
      </c>
      <c r="G349" s="12" t="s">
        <v>859</v>
      </c>
      <c r="H349" s="12" t="s">
        <v>2991</v>
      </c>
      <c r="I349" s="12">
        <v>42.78</v>
      </c>
      <c r="J349" s="12"/>
      <c r="K349" s="12" t="s">
        <v>3015</v>
      </c>
    </row>
    <row r="350" spans="1:11" x14ac:dyDescent="0.35">
      <c r="A350" s="13" t="s">
        <v>3404</v>
      </c>
      <c r="B350" s="22">
        <v>45545</v>
      </c>
      <c r="C350" s="14" t="s">
        <v>424</v>
      </c>
      <c r="D350" s="14" t="s">
        <v>3002</v>
      </c>
      <c r="E350" s="14" t="s">
        <v>798</v>
      </c>
      <c r="F350" s="14" t="s">
        <v>2990</v>
      </c>
      <c r="G350" s="14" t="s">
        <v>3146</v>
      </c>
      <c r="H350" s="14" t="s">
        <v>3003</v>
      </c>
      <c r="I350" s="14">
        <v>84.16</v>
      </c>
      <c r="J350" s="22">
        <v>45550</v>
      </c>
      <c r="K350" s="14" t="s">
        <v>2998</v>
      </c>
    </row>
    <row r="351" spans="1:11" x14ac:dyDescent="0.35">
      <c r="A351" s="11" t="s">
        <v>3405</v>
      </c>
      <c r="B351" s="21">
        <v>45366</v>
      </c>
      <c r="C351" s="12" t="s">
        <v>427</v>
      </c>
      <c r="D351" s="12" t="s">
        <v>650</v>
      </c>
      <c r="E351" s="12" t="s">
        <v>786</v>
      </c>
      <c r="F351" s="12" t="s">
        <v>2995</v>
      </c>
      <c r="G351" s="12" t="s">
        <v>1001</v>
      </c>
      <c r="H351" s="12" t="s">
        <v>3003</v>
      </c>
      <c r="I351" s="12">
        <v>67.010000000000005</v>
      </c>
      <c r="J351" s="12"/>
      <c r="K351" s="12" t="s">
        <v>3000</v>
      </c>
    </row>
  </sheetData>
  <dataValidations count="1">
    <dataValidation type="decimal" operator="greaterThan" allowBlank="1" errorTitle="Invalid number" error="EstimatedCost must be a positive number." sqref="I2:I351" xr:uid="{6D350658-4FAA-40BA-871A-C086FE4E6BB0}">
      <formula1>0</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0323-3484-49C7-AF2D-277AC2AA7238}">
  <dimension ref="A1:B5"/>
  <sheetViews>
    <sheetView zoomScale="385" zoomScaleNormal="385" workbookViewId="0"/>
  </sheetViews>
  <sheetFormatPr defaultRowHeight="14.5" x14ac:dyDescent="0.35"/>
  <cols>
    <col min="2" max="2" width="11.453125" bestFit="1" customWidth="1"/>
  </cols>
  <sheetData>
    <row r="1" spans="1:2" ht="15" thickBot="1" x14ac:dyDescent="0.4">
      <c r="A1" s="15" t="s">
        <v>3552</v>
      </c>
      <c r="B1" s="15" t="s">
        <v>3553</v>
      </c>
    </row>
    <row r="2" spans="1:2" ht="14.25" customHeight="1" x14ac:dyDescent="0.35">
      <c r="A2" s="16" t="s">
        <v>3554</v>
      </c>
      <c r="B2" s="17">
        <v>12000</v>
      </c>
    </row>
    <row r="3" spans="1:2" ht="14.25" customHeight="1" x14ac:dyDescent="0.35">
      <c r="A3" s="16" t="s">
        <v>3555</v>
      </c>
      <c r="B3" s="17">
        <v>8000</v>
      </c>
    </row>
    <row r="4" spans="1:2" ht="14.25" customHeight="1" x14ac:dyDescent="0.35">
      <c r="A4" s="16" t="s">
        <v>3556</v>
      </c>
      <c r="B4" s="17">
        <v>2400</v>
      </c>
    </row>
    <row r="5" spans="1:2" ht="14.25" customHeight="1" x14ac:dyDescent="0.35">
      <c r="A5" s="16" t="s">
        <v>3557</v>
      </c>
      <c r="B5" s="17">
        <v>1800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6E30-F075-4961-8E3A-917B7C7BAC36}">
  <dimension ref="A1:B5"/>
  <sheetViews>
    <sheetView zoomScale="385" zoomScaleNormal="385" workbookViewId="0"/>
  </sheetViews>
  <sheetFormatPr defaultRowHeight="14.5" x14ac:dyDescent="0.35"/>
  <cols>
    <col min="2" max="2" width="10.26953125" bestFit="1" customWidth="1"/>
  </cols>
  <sheetData>
    <row r="1" spans="1:2" ht="15" thickBot="1" x14ac:dyDescent="0.4">
      <c r="A1" s="15" t="s">
        <v>3552</v>
      </c>
      <c r="B1" s="15" t="s">
        <v>3553</v>
      </c>
    </row>
    <row r="2" spans="1:2" ht="14.25" customHeight="1" x14ac:dyDescent="0.35">
      <c r="A2" s="16" t="s">
        <v>3554</v>
      </c>
      <c r="B2" s="17">
        <v>9800</v>
      </c>
    </row>
    <row r="3" spans="1:2" ht="14.25" customHeight="1" x14ac:dyDescent="0.35">
      <c r="A3" s="16" t="s">
        <v>3555</v>
      </c>
      <c r="B3" s="17">
        <v>7200</v>
      </c>
    </row>
    <row r="4" spans="1:2" ht="14.25" customHeight="1" x14ac:dyDescent="0.35">
      <c r="A4" s="16" t="s">
        <v>3556</v>
      </c>
      <c r="B4" s="17">
        <v>2100</v>
      </c>
    </row>
    <row r="5" spans="1:2" ht="14.25" customHeight="1" x14ac:dyDescent="0.35">
      <c r="A5" s="16" t="s">
        <v>3557</v>
      </c>
      <c r="B5" s="17">
        <v>1600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75FD-31CA-4FE6-B671-781CFF003486}">
  <dimension ref="A1:B5"/>
  <sheetViews>
    <sheetView zoomScale="385" zoomScaleNormal="385" workbookViewId="0"/>
  </sheetViews>
  <sheetFormatPr defaultRowHeight="14.5" x14ac:dyDescent="0.35"/>
  <cols>
    <col min="2" max="2" width="11.453125" bestFit="1" customWidth="1"/>
  </cols>
  <sheetData>
    <row r="1" spans="1:2" ht="15" thickBot="1" x14ac:dyDescent="0.4">
      <c r="A1" s="15" t="s">
        <v>3552</v>
      </c>
      <c r="B1" s="15" t="s">
        <v>3553</v>
      </c>
    </row>
    <row r="2" spans="1:2" ht="14.25" customHeight="1" x14ac:dyDescent="0.35">
      <c r="A2" s="16" t="s">
        <v>3554</v>
      </c>
      <c r="B2" s="17">
        <v>11000</v>
      </c>
    </row>
    <row r="3" spans="1:2" ht="14.25" customHeight="1" x14ac:dyDescent="0.35">
      <c r="A3" s="16" t="s">
        <v>3555</v>
      </c>
      <c r="B3" s="17">
        <v>7600</v>
      </c>
    </row>
    <row r="4" spans="1:2" ht="14.25" customHeight="1" x14ac:dyDescent="0.35">
      <c r="A4" s="16" t="s">
        <v>3556</v>
      </c>
      <c r="B4" s="17">
        <v>2250</v>
      </c>
    </row>
    <row r="5" spans="1:2" ht="14.25" customHeight="1" x14ac:dyDescent="0.35">
      <c r="A5" s="16" t="s">
        <v>3557</v>
      </c>
      <c r="B5" s="17">
        <v>1700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0690-E731-4D4E-99EF-A9242DEE3AB0}">
  <dimension ref="A1:B5"/>
  <sheetViews>
    <sheetView zoomScale="385" zoomScaleNormal="385" workbookViewId="0"/>
  </sheetViews>
  <sheetFormatPr defaultRowHeight="14.5" x14ac:dyDescent="0.35"/>
  <cols>
    <col min="2" max="2" width="14" customWidth="1"/>
  </cols>
  <sheetData>
    <row r="1" spans="1:2" ht="15" thickBot="1" x14ac:dyDescent="0.4">
      <c r="A1" s="15" t="s">
        <v>3552</v>
      </c>
      <c r="B1" s="15" t="s">
        <v>3553</v>
      </c>
    </row>
    <row r="2" spans="1:2" x14ac:dyDescent="0.35">
      <c r="A2" s="16" t="s">
        <v>3554</v>
      </c>
      <c r="B2" s="17"/>
    </row>
    <row r="3" spans="1:2" x14ac:dyDescent="0.35">
      <c r="A3" s="16" t="s">
        <v>3555</v>
      </c>
      <c r="B3" s="17"/>
    </row>
    <row r="4" spans="1:2" ht="13.5" customHeight="1" x14ac:dyDescent="0.35">
      <c r="A4" s="16" t="s">
        <v>3556</v>
      </c>
      <c r="B4" s="17"/>
    </row>
    <row r="5" spans="1:2" x14ac:dyDescent="0.35">
      <c r="A5" s="16" t="s">
        <v>3557</v>
      </c>
      <c r="B5" s="1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FAE2-33F3-4DB8-8BAA-52883B50DB40}">
  <dimension ref="A1:D5"/>
  <sheetViews>
    <sheetView zoomScale="295" zoomScaleNormal="295" workbookViewId="0"/>
  </sheetViews>
  <sheetFormatPr defaultRowHeight="14.5" x14ac:dyDescent="0.35"/>
  <cols>
    <col min="1" max="1" width="16.81640625" bestFit="1" customWidth="1"/>
    <col min="2" max="4" width="10.26953125" bestFit="1" customWidth="1"/>
  </cols>
  <sheetData>
    <row r="1" spans="1:4" ht="15" thickBot="1" x14ac:dyDescent="0.4">
      <c r="A1" s="18" t="s">
        <v>3558</v>
      </c>
      <c r="B1" s="18" t="s">
        <v>3559</v>
      </c>
      <c r="C1" s="18" t="s">
        <v>3560</v>
      </c>
      <c r="D1" s="18" t="s">
        <v>3561</v>
      </c>
    </row>
    <row r="2" spans="1:4" x14ac:dyDescent="0.35">
      <c r="A2" s="16" t="s">
        <v>3562</v>
      </c>
      <c r="B2" s="17">
        <v>4200</v>
      </c>
      <c r="C2" s="17">
        <v>3900</v>
      </c>
      <c r="D2" s="17">
        <v>4500</v>
      </c>
    </row>
    <row r="3" spans="1:4" x14ac:dyDescent="0.35">
      <c r="A3" s="16" t="s">
        <v>3563</v>
      </c>
      <c r="B3" s="17">
        <v>1800</v>
      </c>
      <c r="C3" s="17">
        <v>2100</v>
      </c>
      <c r="D3" s="17">
        <v>1950</v>
      </c>
    </row>
    <row r="4" spans="1:4" x14ac:dyDescent="0.35">
      <c r="A4" s="16" t="s">
        <v>20</v>
      </c>
      <c r="B4" s="17">
        <v>950</v>
      </c>
      <c r="C4" s="17">
        <v>950</v>
      </c>
      <c r="D4" s="17">
        <v>950</v>
      </c>
    </row>
    <row r="5" spans="1:4" x14ac:dyDescent="0.35">
      <c r="A5" s="16" t="s">
        <v>3564</v>
      </c>
      <c r="B5" s="17">
        <v>2200</v>
      </c>
      <c r="C5" s="17">
        <v>0</v>
      </c>
      <c r="D5" s="17">
        <v>3100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A628-D0AA-484A-A0DE-CC94CE932B08}">
  <dimension ref="A1:D5"/>
  <sheetViews>
    <sheetView zoomScale="295" zoomScaleNormal="295" workbookViewId="0"/>
  </sheetViews>
  <sheetFormatPr defaultRowHeight="14.5" x14ac:dyDescent="0.35"/>
  <cols>
    <col min="1" max="1" width="16.81640625" bestFit="1" customWidth="1"/>
    <col min="2" max="4" width="10.26953125" bestFit="1" customWidth="1"/>
  </cols>
  <sheetData>
    <row r="1" spans="1:4" ht="15" thickBot="1" x14ac:dyDescent="0.4">
      <c r="A1" s="18" t="s">
        <v>3558</v>
      </c>
      <c r="B1" s="18" t="s">
        <v>3559</v>
      </c>
      <c r="C1" s="18" t="s">
        <v>3560</v>
      </c>
      <c r="D1" s="18" t="s">
        <v>3561</v>
      </c>
    </row>
    <row r="2" spans="1:4" x14ac:dyDescent="0.35">
      <c r="A2" s="16" t="s">
        <v>20</v>
      </c>
      <c r="B2" s="17">
        <v>5200</v>
      </c>
      <c r="C2" s="17">
        <v>5200</v>
      </c>
      <c r="D2" s="17">
        <v>5200</v>
      </c>
    </row>
    <row r="3" spans="1:4" x14ac:dyDescent="0.35">
      <c r="A3" s="16" t="s">
        <v>14</v>
      </c>
      <c r="B3" s="17">
        <v>7800</v>
      </c>
      <c r="C3" s="17">
        <v>0</v>
      </c>
      <c r="D3" s="17">
        <v>3400</v>
      </c>
    </row>
    <row r="4" spans="1:4" x14ac:dyDescent="0.35">
      <c r="A4" s="16" t="s">
        <v>3563</v>
      </c>
      <c r="B4" s="17">
        <v>900</v>
      </c>
      <c r="C4" s="17">
        <v>1200</v>
      </c>
      <c r="D4" s="17">
        <v>1100</v>
      </c>
    </row>
    <row r="5" spans="1:4" x14ac:dyDescent="0.35">
      <c r="A5" s="16" t="s">
        <v>3565</v>
      </c>
      <c r="B5" s="17">
        <v>1500</v>
      </c>
      <c r="C5" s="17">
        <v>1500</v>
      </c>
      <c r="D5" s="17">
        <v>1500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FB886-17F7-45E4-9965-3CD6CC30FBD1}">
  <dimension ref="A1:D5"/>
  <sheetViews>
    <sheetView zoomScale="295" zoomScaleNormal="295" workbookViewId="0"/>
  </sheetViews>
  <sheetFormatPr defaultRowHeight="14.5" x14ac:dyDescent="0.35"/>
  <cols>
    <col min="1" max="1" width="16.81640625" bestFit="1" customWidth="1"/>
    <col min="2" max="4" width="10.26953125" bestFit="1" customWidth="1"/>
  </cols>
  <sheetData>
    <row r="1" spans="1:4" ht="15" thickBot="1" x14ac:dyDescent="0.4">
      <c r="A1" s="18" t="s">
        <v>3558</v>
      </c>
      <c r="B1" s="18" t="s">
        <v>3559</v>
      </c>
      <c r="C1" s="18" t="s">
        <v>3560</v>
      </c>
      <c r="D1" s="18" t="s">
        <v>3561</v>
      </c>
    </row>
    <row r="2" spans="1:4" x14ac:dyDescent="0.35">
      <c r="A2" s="16" t="s">
        <v>3565</v>
      </c>
      <c r="B2" s="17">
        <v>2600</v>
      </c>
      <c r="C2" s="17">
        <v>1800</v>
      </c>
      <c r="D2" s="17">
        <v>2200</v>
      </c>
    </row>
    <row r="3" spans="1:4" x14ac:dyDescent="0.35">
      <c r="A3" s="16" t="s">
        <v>3566</v>
      </c>
      <c r="B3" s="17">
        <v>3400</v>
      </c>
      <c r="C3" s="17">
        <v>4200</v>
      </c>
      <c r="D3" s="17">
        <v>3900</v>
      </c>
    </row>
    <row r="4" spans="1:4" x14ac:dyDescent="0.35">
      <c r="A4" s="16" t="s">
        <v>20</v>
      </c>
      <c r="B4" s="17">
        <v>600</v>
      </c>
      <c r="C4" s="17">
        <v>600</v>
      </c>
      <c r="D4" s="17">
        <v>600</v>
      </c>
    </row>
    <row r="5" spans="1:4" x14ac:dyDescent="0.35">
      <c r="A5" s="16" t="s">
        <v>3563</v>
      </c>
      <c r="B5" s="17">
        <v>700</v>
      </c>
      <c r="C5" s="17">
        <v>650</v>
      </c>
      <c r="D5" s="17">
        <v>900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070E-2744-48FB-A4FC-69D1243FC678}">
  <dimension ref="A1:F8"/>
  <sheetViews>
    <sheetView zoomScale="265" zoomScaleNormal="265" workbookViewId="0"/>
  </sheetViews>
  <sheetFormatPr defaultRowHeight="14.5" x14ac:dyDescent="0.35"/>
  <cols>
    <col min="1" max="1" width="19.26953125" customWidth="1"/>
    <col min="2" max="2" width="13.54296875" customWidth="1"/>
    <col min="3" max="3" width="12.7265625" customWidth="1"/>
    <col min="4" max="4" width="12.26953125" customWidth="1"/>
    <col min="6" max="6" width="10.7265625" bestFit="1" customWidth="1"/>
  </cols>
  <sheetData>
    <row r="1" spans="1:6" ht="15" thickBot="1" x14ac:dyDescent="0.4">
      <c r="A1" s="18" t="s">
        <v>3558</v>
      </c>
      <c r="B1" s="18" t="s">
        <v>3559</v>
      </c>
      <c r="C1" s="18" t="s">
        <v>3560</v>
      </c>
      <c r="D1" s="18" t="s">
        <v>3561</v>
      </c>
    </row>
    <row r="2" spans="1:6" x14ac:dyDescent="0.35">
      <c r="A2" s="16"/>
      <c r="B2" s="17"/>
      <c r="C2" s="17"/>
      <c r="D2" s="17"/>
      <c r="F2" s="19"/>
    </row>
    <row r="3" spans="1:6" x14ac:dyDescent="0.35">
      <c r="A3" s="16"/>
      <c r="B3" s="17"/>
      <c r="C3" s="17"/>
      <c r="D3" s="17"/>
    </row>
    <row r="4" spans="1:6" x14ac:dyDescent="0.35">
      <c r="A4" s="16"/>
      <c r="B4" s="17"/>
      <c r="C4" s="17"/>
      <c r="D4" s="17"/>
    </row>
    <row r="5" spans="1:6" x14ac:dyDescent="0.35">
      <c r="A5" s="16"/>
      <c r="B5" s="17"/>
      <c r="C5" s="17"/>
      <c r="D5" s="17"/>
    </row>
    <row r="6" spans="1:6" x14ac:dyDescent="0.35">
      <c r="B6" s="19"/>
      <c r="C6" s="19"/>
      <c r="D6" s="19"/>
    </row>
    <row r="7" spans="1:6" x14ac:dyDescent="0.35">
      <c r="B7" s="19"/>
      <c r="C7" s="19"/>
      <c r="D7" s="19"/>
    </row>
    <row r="8" spans="1:6" x14ac:dyDescent="0.35">
      <c r="B8" s="19"/>
      <c r="C8" s="19"/>
      <c r="D8" s="19"/>
    </row>
  </sheetData>
  <dataConsolid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90"/>
  <sheetViews>
    <sheetView workbookViewId="0"/>
  </sheetViews>
  <sheetFormatPr defaultRowHeight="14.5" x14ac:dyDescent="0.35"/>
  <sheetData>
    <row r="1" spans="1:1" x14ac:dyDescent="0.35">
      <c r="A1" t="s">
        <v>2982</v>
      </c>
    </row>
    <row r="2" spans="1:1" x14ac:dyDescent="0.35">
      <c r="A2" t="s">
        <v>3006</v>
      </c>
    </row>
    <row r="3" spans="1:1" x14ac:dyDescent="0.35">
      <c r="A3" t="s">
        <v>3017</v>
      </c>
    </row>
    <row r="4" spans="1:1" x14ac:dyDescent="0.35">
      <c r="A4" t="s">
        <v>3002</v>
      </c>
    </row>
    <row r="5" spans="1:1" x14ac:dyDescent="0.35">
      <c r="A5" t="s">
        <v>2994</v>
      </c>
    </row>
    <row r="6" spans="1:1" x14ac:dyDescent="0.35">
      <c r="A6" t="s">
        <v>650</v>
      </c>
    </row>
    <row r="7" spans="1:1" x14ac:dyDescent="0.35">
      <c r="A7" t="s">
        <v>3012</v>
      </c>
    </row>
    <row r="9" spans="1:1" x14ac:dyDescent="0.35">
      <c r="A9" t="s">
        <v>2983</v>
      </c>
    </row>
    <row r="10" spans="1:1" x14ac:dyDescent="0.35">
      <c r="A10" t="s">
        <v>786</v>
      </c>
    </row>
    <row r="11" spans="1:1" x14ac:dyDescent="0.35">
      <c r="A11" t="s">
        <v>798</v>
      </c>
    </row>
    <row r="12" spans="1:1" x14ac:dyDescent="0.35">
      <c r="A12" t="s">
        <v>813</v>
      </c>
    </row>
    <row r="14" spans="1:1" x14ac:dyDescent="0.35">
      <c r="A14" t="s">
        <v>3406</v>
      </c>
    </row>
    <row r="15" spans="1:1" x14ac:dyDescent="0.35">
      <c r="A15" t="s">
        <v>787</v>
      </c>
    </row>
    <row r="16" spans="1:1" x14ac:dyDescent="0.35">
      <c r="A16" t="s">
        <v>3008</v>
      </c>
    </row>
    <row r="17" spans="1:1" x14ac:dyDescent="0.35">
      <c r="A17" t="s">
        <v>2995</v>
      </c>
    </row>
    <row r="18" spans="1:1" x14ac:dyDescent="0.35">
      <c r="A18" t="s">
        <v>2990</v>
      </c>
    </row>
    <row r="19" spans="1:1" x14ac:dyDescent="0.35">
      <c r="A19" t="s">
        <v>3013</v>
      </c>
    </row>
    <row r="21" spans="1:1" x14ac:dyDescent="0.35">
      <c r="A21" t="s">
        <v>2984</v>
      </c>
    </row>
    <row r="22" spans="1:1" x14ac:dyDescent="0.35">
      <c r="A22" t="s">
        <v>814</v>
      </c>
    </row>
    <row r="23" spans="1:1" x14ac:dyDescent="0.35">
      <c r="A23" t="s">
        <v>3060</v>
      </c>
    </row>
    <row r="24" spans="1:1" x14ac:dyDescent="0.35">
      <c r="A24" t="s">
        <v>1017</v>
      </c>
    </row>
    <row r="25" spans="1:1" x14ac:dyDescent="0.35">
      <c r="A25" t="s">
        <v>935</v>
      </c>
    </row>
    <row r="26" spans="1:1" x14ac:dyDescent="0.35">
      <c r="A26" t="s">
        <v>869</v>
      </c>
    </row>
    <row r="27" spans="1:1" x14ac:dyDescent="0.35">
      <c r="A27" t="s">
        <v>3120</v>
      </c>
    </row>
    <row r="28" spans="1:1" x14ac:dyDescent="0.35">
      <c r="A28" t="s">
        <v>1001</v>
      </c>
    </row>
    <row r="29" spans="1:1" x14ac:dyDescent="0.35">
      <c r="A29" t="s">
        <v>3032</v>
      </c>
    </row>
    <row r="30" spans="1:1" x14ac:dyDescent="0.35">
      <c r="A30" t="s">
        <v>790</v>
      </c>
    </row>
    <row r="31" spans="1:1" x14ac:dyDescent="0.35">
      <c r="A31" t="s">
        <v>3162</v>
      </c>
    </row>
    <row r="32" spans="1:1" x14ac:dyDescent="0.35">
      <c r="A32" t="s">
        <v>3009</v>
      </c>
    </row>
    <row r="33" spans="1:1" x14ac:dyDescent="0.35">
      <c r="A33" t="s">
        <v>3245</v>
      </c>
    </row>
    <row r="34" spans="1:1" x14ac:dyDescent="0.35">
      <c r="A34" t="s">
        <v>3040</v>
      </c>
    </row>
    <row r="35" spans="1:1" x14ac:dyDescent="0.35">
      <c r="A35" t="s">
        <v>3276</v>
      </c>
    </row>
    <row r="36" spans="1:1" x14ac:dyDescent="0.35">
      <c r="A36" t="s">
        <v>3062</v>
      </c>
    </row>
    <row r="37" spans="1:1" x14ac:dyDescent="0.35">
      <c r="A37" t="s">
        <v>3253</v>
      </c>
    </row>
    <row r="38" spans="1:1" x14ac:dyDescent="0.35">
      <c r="A38" t="s">
        <v>3138</v>
      </c>
    </row>
    <row r="39" spans="1:1" x14ac:dyDescent="0.35">
      <c r="A39" t="s">
        <v>3044</v>
      </c>
    </row>
    <row r="40" spans="1:1" x14ac:dyDescent="0.35">
      <c r="A40" t="s">
        <v>3081</v>
      </c>
    </row>
    <row r="41" spans="1:1" x14ac:dyDescent="0.35">
      <c r="A41" t="s">
        <v>845</v>
      </c>
    </row>
    <row r="42" spans="1:1" x14ac:dyDescent="0.35">
      <c r="A42" t="s">
        <v>3146</v>
      </c>
    </row>
    <row r="43" spans="1:1" x14ac:dyDescent="0.35">
      <c r="A43" t="s">
        <v>2996</v>
      </c>
    </row>
    <row r="44" spans="1:1" x14ac:dyDescent="0.35">
      <c r="A44" t="s">
        <v>3128</v>
      </c>
    </row>
    <row r="45" spans="1:1" x14ac:dyDescent="0.35">
      <c r="A45" t="s">
        <v>3089</v>
      </c>
    </row>
    <row r="46" spans="1:1" x14ac:dyDescent="0.35">
      <c r="A46" t="s">
        <v>810</v>
      </c>
    </row>
    <row r="47" spans="1:1" x14ac:dyDescent="0.35">
      <c r="A47" t="s">
        <v>3047</v>
      </c>
    </row>
    <row r="48" spans="1:1" x14ac:dyDescent="0.35">
      <c r="A48" t="s">
        <v>3042</v>
      </c>
    </row>
    <row r="49" spans="1:1" x14ac:dyDescent="0.35">
      <c r="A49" t="s">
        <v>3066</v>
      </c>
    </row>
    <row r="50" spans="1:1" x14ac:dyDescent="0.35">
      <c r="A50" t="s">
        <v>919</v>
      </c>
    </row>
    <row r="51" spans="1:1" x14ac:dyDescent="0.35">
      <c r="A51" t="s">
        <v>819</v>
      </c>
    </row>
    <row r="52" spans="1:1" x14ac:dyDescent="0.35">
      <c r="A52" t="s">
        <v>3150</v>
      </c>
    </row>
    <row r="53" spans="1:1" x14ac:dyDescent="0.35">
      <c r="A53" t="s">
        <v>876</v>
      </c>
    </row>
    <row r="54" spans="1:1" x14ac:dyDescent="0.35">
      <c r="A54" t="s">
        <v>892</v>
      </c>
    </row>
    <row r="55" spans="1:1" x14ac:dyDescent="0.35">
      <c r="A55" t="s">
        <v>3192</v>
      </c>
    </row>
    <row r="56" spans="1:1" x14ac:dyDescent="0.35">
      <c r="A56" t="s">
        <v>1134</v>
      </c>
    </row>
    <row r="57" spans="1:1" x14ac:dyDescent="0.35">
      <c r="A57" t="s">
        <v>3100</v>
      </c>
    </row>
    <row r="58" spans="1:1" x14ac:dyDescent="0.35">
      <c r="A58" t="s">
        <v>834</v>
      </c>
    </row>
    <row r="59" spans="1:1" x14ac:dyDescent="0.35">
      <c r="A59" t="s">
        <v>3019</v>
      </c>
    </row>
    <row r="60" spans="1:1" x14ac:dyDescent="0.35">
      <c r="A60" t="s">
        <v>3035</v>
      </c>
    </row>
    <row r="61" spans="1:1" x14ac:dyDescent="0.35">
      <c r="A61" t="s">
        <v>3102</v>
      </c>
    </row>
    <row r="62" spans="1:1" x14ac:dyDescent="0.35">
      <c r="A62" t="s">
        <v>3115</v>
      </c>
    </row>
    <row r="63" spans="1:1" x14ac:dyDescent="0.35">
      <c r="A63" t="s">
        <v>3023</v>
      </c>
    </row>
    <row r="64" spans="1:1" x14ac:dyDescent="0.35">
      <c r="A64" t="s">
        <v>3407</v>
      </c>
    </row>
    <row r="65" spans="1:1" x14ac:dyDescent="0.35">
      <c r="A65" t="s">
        <v>3085</v>
      </c>
    </row>
    <row r="66" spans="1:1" x14ac:dyDescent="0.35">
      <c r="A66" t="s">
        <v>859</v>
      </c>
    </row>
    <row r="67" spans="1:1" x14ac:dyDescent="0.35">
      <c r="A67" t="s">
        <v>3231</v>
      </c>
    </row>
    <row r="68" spans="1:1" x14ac:dyDescent="0.35">
      <c r="A68" t="s">
        <v>3087</v>
      </c>
    </row>
    <row r="69" spans="1:1" x14ac:dyDescent="0.35">
      <c r="A69" t="s">
        <v>3037</v>
      </c>
    </row>
    <row r="70" spans="1:1" x14ac:dyDescent="0.35">
      <c r="A70" t="s">
        <v>3030</v>
      </c>
    </row>
    <row r="71" spans="1:1" x14ac:dyDescent="0.35">
      <c r="A71" t="s">
        <v>3122</v>
      </c>
    </row>
    <row r="72" spans="1:1" x14ac:dyDescent="0.35">
      <c r="A72" t="s">
        <v>3058</v>
      </c>
    </row>
    <row r="73" spans="1:1" x14ac:dyDescent="0.35">
      <c r="A73" t="s">
        <v>3028</v>
      </c>
    </row>
    <row r="74" spans="1:1" x14ac:dyDescent="0.35">
      <c r="A74" t="s">
        <v>3070</v>
      </c>
    </row>
    <row r="75" spans="1:1" x14ac:dyDescent="0.35">
      <c r="A75" t="s">
        <v>3379</v>
      </c>
    </row>
    <row r="76" spans="1:1" x14ac:dyDescent="0.35">
      <c r="A76" t="s">
        <v>825</v>
      </c>
    </row>
    <row r="77" spans="1:1" x14ac:dyDescent="0.35">
      <c r="A77" t="s">
        <v>839</v>
      </c>
    </row>
    <row r="78" spans="1:1" x14ac:dyDescent="0.35">
      <c r="A78" t="s">
        <v>3104</v>
      </c>
    </row>
    <row r="79" spans="1:1" x14ac:dyDescent="0.35">
      <c r="A79" t="s">
        <v>829</v>
      </c>
    </row>
    <row r="80" spans="1:1" x14ac:dyDescent="0.35">
      <c r="A80" t="s">
        <v>803</v>
      </c>
    </row>
    <row r="81" spans="1:1" x14ac:dyDescent="0.35">
      <c r="A81" t="s">
        <v>946</v>
      </c>
    </row>
    <row r="82" spans="1:1" x14ac:dyDescent="0.35">
      <c r="A82" t="s">
        <v>963</v>
      </c>
    </row>
    <row r="83" spans="1:1" x14ac:dyDescent="0.35">
      <c r="A83" t="s">
        <v>3056</v>
      </c>
    </row>
    <row r="84" spans="1:1" x14ac:dyDescent="0.35">
      <c r="A84" t="s">
        <v>3064</v>
      </c>
    </row>
    <row r="85" spans="1:1" x14ac:dyDescent="0.35">
      <c r="A85" t="s">
        <v>794</v>
      </c>
    </row>
    <row r="86" spans="1:1" x14ac:dyDescent="0.35">
      <c r="A86" t="s">
        <v>3168</v>
      </c>
    </row>
    <row r="87" spans="1:1" x14ac:dyDescent="0.35">
      <c r="A87" t="s">
        <v>3077</v>
      </c>
    </row>
    <row r="88" spans="1:1" x14ac:dyDescent="0.35">
      <c r="A88" t="s">
        <v>3092</v>
      </c>
    </row>
    <row r="89" spans="1:1" x14ac:dyDescent="0.35">
      <c r="A89" t="s">
        <v>888</v>
      </c>
    </row>
    <row r="90" spans="1:1" x14ac:dyDescent="0.35">
      <c r="A90" t="s">
        <v>3097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Employees</vt:lpstr>
      <vt:lpstr>Clothing Inventory</vt:lpstr>
      <vt:lpstr>Department Orders</vt:lpstr>
      <vt:lpstr>Products</vt:lpstr>
      <vt:lpstr>Duplicates</vt:lpstr>
      <vt:lpstr>Orders List</vt:lpstr>
      <vt:lpstr>DGET - Customer</vt:lpstr>
      <vt:lpstr>Customers</vt:lpstr>
      <vt:lpstr>Purchase Request</vt:lpstr>
      <vt:lpstr>Orders</vt:lpstr>
      <vt:lpstr>Pivot_Source</vt:lpstr>
      <vt:lpstr>ServiceRequests</vt:lpstr>
      <vt:lpstr>North</vt:lpstr>
      <vt:lpstr>South</vt:lpstr>
      <vt:lpstr>West</vt:lpstr>
      <vt:lpstr>All Regions</vt:lpstr>
      <vt:lpstr>Marketing</vt:lpstr>
      <vt:lpstr>IT</vt:lpstr>
      <vt:lpstr>HR</vt:lpstr>
      <vt:lpstr>All Departments</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Newb</dc:creator>
  <cp:lastModifiedBy>Praful Chaudhari</cp:lastModifiedBy>
  <dcterms:created xsi:type="dcterms:W3CDTF">2026-02-24T01:25:36Z</dcterms:created>
  <dcterms:modified xsi:type="dcterms:W3CDTF">2026-05-05T11:18:17Z</dcterms:modified>
</cp:coreProperties>
</file>