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What IF Analysis\"/>
    </mc:Choice>
  </mc:AlternateContent>
  <xr:revisionPtr revIDLastSave="0" documentId="13_ncr:1_{8F43424F-2496-44EC-9EAF-9819B054ACF7}" xr6:coauthVersionLast="47" xr6:coauthVersionMax="47" xr10:uidLastSave="{00000000-0000-0000-0000-000000000000}"/>
  <bookViews>
    <workbookView xWindow="-110" yWindow="-110" windowWidth="19420" windowHeight="10420" activeTab="1" xr2:uid="{A61D4B7C-3D74-4E19-AADD-F4BE7F2DD134}"/>
  </bookViews>
  <sheets>
    <sheet name="Solver Tool" sheetId="1" r:id="rId1"/>
    <sheet name="Solver Tool 001" sheetId="2" r:id="rId2"/>
  </sheets>
  <definedNames>
    <definedName name="solver_adj" localSheetId="0" hidden="1">'Solver Tool'!$C$3:$C$5</definedName>
    <definedName name="solver_adj" localSheetId="1" hidden="1">'Solver Tool 001'!$B$2:$B$3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'Solver Tool'!$C$3</definedName>
    <definedName name="solver_lhs1" localSheetId="1" hidden="1">'Solver Tool 001'!$B$2</definedName>
    <definedName name="solver_lhs2" localSheetId="0" hidden="1">'Solver Tool'!$C$4</definedName>
    <definedName name="solver_lhs2" localSheetId="1" hidden="1">'Solver Tool 001'!$B$2</definedName>
    <definedName name="solver_lhs3" localSheetId="0" hidden="1">'Solver Tool'!$C$5</definedName>
    <definedName name="solver_lhs3" localSheetId="1" hidden="1">'Solver Tool 001'!$B$3</definedName>
    <definedName name="solver_lhs4" localSheetId="0" hidden="1">'Solver Tool'!$C$6</definedName>
    <definedName name="solver_lhs4" localSheetId="1" hidden="1">'Solver Tool 001'!$B$3</definedName>
    <definedName name="solver_lhs5" localSheetId="1" hidden="1">'Solver Tool 001'!$I$4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5</definedName>
    <definedName name="solver_nwt" localSheetId="0" hidden="1">1</definedName>
    <definedName name="solver_nwt" localSheetId="1" hidden="1">1</definedName>
    <definedName name="solver_opt" localSheetId="0" hidden="1">'Solver Tool'!$D$3</definedName>
    <definedName name="solver_opt" localSheetId="1" hidden="1">'Solver Tool 001'!$D$4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4</definedName>
    <definedName name="solver_rel2" localSheetId="0" hidden="1">3</definedName>
    <definedName name="solver_rel2" localSheetId="1" hidden="1">3</definedName>
    <definedName name="solver_rel3" localSheetId="0" hidden="1">3</definedName>
    <definedName name="solver_rel3" localSheetId="1" hidden="1">4</definedName>
    <definedName name="solver_rel4" localSheetId="0" hidden="1">2</definedName>
    <definedName name="solver_rel4" localSheetId="1" hidden="1">3</definedName>
    <definedName name="solver_rel5" localSheetId="1" hidden="1">1</definedName>
    <definedName name="solver_rhs1" localSheetId="0" hidden="1">0</definedName>
    <definedName name="solver_rhs1" localSheetId="1" hidden="1">"integer"</definedName>
    <definedName name="solver_rhs2" localSheetId="0" hidden="1">0</definedName>
    <definedName name="solver_rhs2" localSheetId="1" hidden="1">0</definedName>
    <definedName name="solver_rhs3" localSheetId="0" hidden="1">0</definedName>
    <definedName name="solver_rhs3" localSheetId="1" hidden="1">"integer"</definedName>
    <definedName name="solver_rhs4" localSheetId="0" hidden="1">'Solver Tool'!$C$7</definedName>
    <definedName name="solver_rhs4" localSheetId="1" hidden="1">0</definedName>
    <definedName name="solver_rhs5" localSheetId="1" hidden="1">100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I3" i="2" s="1"/>
  <c r="H2" i="2"/>
  <c r="I2" i="2" s="1"/>
  <c r="D3" i="2"/>
  <c r="D2" i="2"/>
  <c r="C6" i="1"/>
  <c r="D3" i="1"/>
  <c r="I4" i="2" l="1"/>
  <c r="D4" i="2"/>
</calcChain>
</file>

<file path=xl/sharedStrings.xml><?xml version="1.0" encoding="utf-8"?>
<sst xmlns="http://schemas.openxmlformats.org/spreadsheetml/2006/main" count="24" uniqueCount="19">
  <si>
    <t>Restaurant</t>
  </si>
  <si>
    <t>Profit</t>
  </si>
  <si>
    <t>Pizza</t>
  </si>
  <si>
    <t>Burger</t>
  </si>
  <si>
    <t>Items</t>
  </si>
  <si>
    <t>Per Day</t>
  </si>
  <si>
    <t>Total Profit</t>
  </si>
  <si>
    <t>Sandwich</t>
  </si>
  <si>
    <t>Per Day Capacity</t>
  </si>
  <si>
    <t>Total Items</t>
  </si>
  <si>
    <t>Product</t>
  </si>
  <si>
    <t xml:space="preserve">Units </t>
  </si>
  <si>
    <t>Profit Per Unit</t>
  </si>
  <si>
    <t>A</t>
  </si>
  <si>
    <t>B</t>
  </si>
  <si>
    <t>Total Cloth</t>
  </si>
  <si>
    <t>Units</t>
  </si>
  <si>
    <t>Cloths Per Unit (Meter)</t>
  </si>
  <si>
    <t>Total Cloth = 100M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</si>
</sst>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1" fontId="1" fillId="0" borderId="1" xfId="0" applyNumberFormat="1" applyFont="1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39C0-A4E0-4E00-925C-98EE695900D1}">
  <dimension ref="A1:D7"/>
  <sheetViews>
    <sheetView workbookViewId="0">
      <selection activeCell="B5" sqref="B5"/>
    </sheetView>
  </sheetViews>
  <sheetFormatPr defaultRowHeight="14.5" x14ac:dyDescent="0.35"/>
  <cols>
    <col min="1" max="1" width="14.7265625" bestFit="1" customWidth="1"/>
    <col min="3" max="3" width="14.1796875" bestFit="1" customWidth="1"/>
    <col min="4" max="4" width="10" bestFit="1" customWidth="1"/>
    <col min="6" max="6" width="29.26953125" bestFit="1" customWidth="1"/>
  </cols>
  <sheetData>
    <row r="1" spans="1:4" x14ac:dyDescent="0.35">
      <c r="A1" s="1" t="s">
        <v>0</v>
      </c>
      <c r="B1" s="1"/>
      <c r="C1" s="1"/>
      <c r="D1" s="1"/>
    </row>
    <row r="2" spans="1:4" x14ac:dyDescent="0.35">
      <c r="A2" s="2" t="s">
        <v>4</v>
      </c>
      <c r="B2" s="2" t="s">
        <v>1</v>
      </c>
      <c r="C2" s="2" t="s">
        <v>5</v>
      </c>
      <c r="D2" s="2" t="s">
        <v>6</v>
      </c>
    </row>
    <row r="3" spans="1:4" x14ac:dyDescent="0.35">
      <c r="A3" s="2" t="s">
        <v>3</v>
      </c>
      <c r="B3" s="2">
        <v>150</v>
      </c>
      <c r="C3" s="2">
        <v>19.999999999999996</v>
      </c>
      <c r="D3" s="1">
        <f>(B3*C3)+(B4*C4)+(B5*C5)</f>
        <v>2999.9999999999995</v>
      </c>
    </row>
    <row r="4" spans="1:4" x14ac:dyDescent="0.35">
      <c r="A4" s="2" t="s">
        <v>2</v>
      </c>
      <c r="B4" s="2">
        <v>100</v>
      </c>
      <c r="C4" s="2">
        <v>0</v>
      </c>
      <c r="D4" s="1"/>
    </row>
    <row r="5" spans="1:4" x14ac:dyDescent="0.35">
      <c r="A5" s="2" t="s">
        <v>7</v>
      </c>
      <c r="B5" s="2">
        <v>50</v>
      </c>
      <c r="C5" s="2">
        <v>0</v>
      </c>
      <c r="D5" s="1"/>
    </row>
    <row r="6" spans="1:4" x14ac:dyDescent="0.35">
      <c r="A6" s="3" t="s">
        <v>9</v>
      </c>
      <c r="B6" s="4"/>
      <c r="C6" s="3">
        <f>SUM(C3:C5)</f>
        <v>19.999999999999996</v>
      </c>
      <c r="D6" s="4"/>
    </row>
    <row r="7" spans="1:4" x14ac:dyDescent="0.35">
      <c r="A7" s="3" t="s">
        <v>8</v>
      </c>
      <c r="B7" s="4"/>
      <c r="C7" s="3">
        <v>20</v>
      </c>
      <c r="D7" s="4"/>
    </row>
  </sheetData>
  <mergeCells count="2">
    <mergeCell ref="D3:D5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913F-A78E-46B2-B924-0F509CE228EC}">
  <dimension ref="A1:I4"/>
  <sheetViews>
    <sheetView tabSelected="1" workbookViewId="0">
      <selection activeCell="G13" sqref="G13"/>
    </sheetView>
  </sheetViews>
  <sheetFormatPr defaultRowHeight="14.5" x14ac:dyDescent="0.35"/>
  <cols>
    <col min="1" max="1" width="7.453125" bestFit="1" customWidth="1"/>
    <col min="2" max="2" width="11.81640625" bestFit="1" customWidth="1"/>
    <col min="3" max="3" width="12.90625" bestFit="1" customWidth="1"/>
    <col min="4" max="4" width="11.81640625" bestFit="1" customWidth="1"/>
    <col min="6" max="6" width="7.453125" bestFit="1" customWidth="1"/>
    <col min="7" max="7" width="23.7265625" bestFit="1" customWidth="1"/>
    <col min="8" max="8" width="11.81640625" style="9" bestFit="1" customWidth="1"/>
    <col min="9" max="9" width="11.81640625" bestFit="1" customWidth="1"/>
  </cols>
  <sheetData>
    <row r="1" spans="1:9" x14ac:dyDescent="0.35">
      <c r="A1" s="6" t="s">
        <v>10</v>
      </c>
      <c r="B1" s="6" t="s">
        <v>11</v>
      </c>
      <c r="C1" s="6" t="s">
        <v>12</v>
      </c>
      <c r="D1" s="6" t="s">
        <v>6</v>
      </c>
      <c r="F1" s="6" t="s">
        <v>10</v>
      </c>
      <c r="G1" s="6" t="s">
        <v>17</v>
      </c>
      <c r="H1" s="7" t="s">
        <v>16</v>
      </c>
      <c r="I1" s="6" t="s">
        <v>15</v>
      </c>
    </row>
    <row r="2" spans="1:9" x14ac:dyDescent="0.35">
      <c r="A2" s="4" t="s">
        <v>13</v>
      </c>
      <c r="B2" s="4">
        <v>15</v>
      </c>
      <c r="C2" s="4">
        <v>100</v>
      </c>
      <c r="D2" s="4">
        <f>B2*C2</f>
        <v>1500</v>
      </c>
      <c r="F2" s="4" t="s">
        <v>13</v>
      </c>
      <c r="G2" s="4">
        <v>2</v>
      </c>
      <c r="H2" s="8">
        <f>B2</f>
        <v>15</v>
      </c>
      <c r="I2" s="4">
        <f>G2*H2</f>
        <v>30</v>
      </c>
    </row>
    <row r="3" spans="1:9" x14ac:dyDescent="0.35">
      <c r="A3" s="4" t="s">
        <v>14</v>
      </c>
      <c r="B3" s="4">
        <v>23</v>
      </c>
      <c r="C3" s="4">
        <v>150</v>
      </c>
      <c r="D3" s="4">
        <f>B3*C3</f>
        <v>3450</v>
      </c>
      <c r="F3" s="4" t="s">
        <v>14</v>
      </c>
      <c r="G3" s="4">
        <v>3</v>
      </c>
      <c r="H3" s="8">
        <f>B3</f>
        <v>23</v>
      </c>
      <c r="I3" s="4">
        <f>G3*H3</f>
        <v>69</v>
      </c>
    </row>
    <row r="4" spans="1:9" x14ac:dyDescent="0.35">
      <c r="C4" s="5" t="s">
        <v>6</v>
      </c>
      <c r="D4" s="5">
        <f>SUM(D2:D3)</f>
        <v>4950</v>
      </c>
      <c r="G4" s="4" t="s">
        <v>18</v>
      </c>
      <c r="I4" s="4">
        <f>SUM(I2:I3)</f>
        <v>99</v>
      </c>
    </row>
  </sheetData>
  <dataValidations count="1">
    <dataValidation type="whole" operator="greaterThan" allowBlank="1" showInputMessage="1" showErrorMessage="1" sqref="B1 B3:B1048576 B2" xr:uid="{F4AA5A6D-0FF3-4663-B5D1-29F3F6EB7B3C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Solver Tool</vt:lpstr>
      <vt:lpstr>Solver Tool 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2026-05-19T09:55:07Z</dcterms:created>
  <dcterms:modified xsi:type="dcterms:W3CDTF">2026-05-19T13:04:00Z</dcterms:modified>
</cp:coreProperties>
</file>