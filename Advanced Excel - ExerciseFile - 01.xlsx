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Excel Expert\"/>
    </mc:Choice>
  </mc:AlternateContent>
  <xr:revisionPtr revIDLastSave="0" documentId="8_{1F8CA733-C26D-4266-93C8-1A75D6DE58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mp Commission" sheetId="36" r:id="rId1"/>
    <sheet name="IF Function" sheetId="4" r:id="rId2"/>
    <sheet name="SUMIF Function" sheetId="17" r:id="rId3"/>
    <sheet name="VLOOKUP Function" sheetId="1" r:id="rId4"/>
    <sheet name="Master Emp List" sheetId="35" r:id="rId5"/>
    <sheet name="HLOOKUP Function" sheetId="22" r:id="rId6"/>
    <sheet name="Master Inventory List" sheetId="23" r:id="rId7"/>
    <sheet name="INDEX MATCH Functions" sheetId="34" r:id="rId8"/>
    <sheet name="INDEX MATCH Master Emp List" sheetId="5" r:id="rId9"/>
    <sheet name="LEFT RIGHT MID Functions" sheetId="21" r:id="rId10"/>
    <sheet name="SEARCH Function" sheetId="24" r:id="rId11"/>
    <sheet name="CONCAT" sheetId="20" r:id="rId12"/>
    <sheet name="Contact List" sheetId="37" r:id="rId13"/>
    <sheet name="Formula Auditing" sheetId="25" r:id="rId14"/>
    <sheet name="Transactions" sheetId="39" r:id="rId15"/>
    <sheet name="Transaction Summary" sheetId="40" r:id="rId16"/>
    <sheet name="Worksheet Protection" sheetId="26" r:id="rId17"/>
    <sheet name="Goal Seek" sheetId="31" r:id="rId18"/>
    <sheet name="Solver" sheetId="30" r:id="rId19"/>
    <sheet name="Data Table" sheetId="28" r:id="rId20"/>
    <sheet name="Scenarios" sheetId="29" r:id="rId21"/>
    <sheet name="Macro" sheetId="32" r:id="rId22"/>
    <sheet name="Test Macro" sheetId="33" r:id="rId23"/>
    <sheet name="Test Edited Macro" sheetId="38" r:id="rId24"/>
  </sheets>
  <definedNames>
    <definedName name="_xlnm._FilterDatabase" localSheetId="8" hidden="1">'INDEX MATCH Master Emp List'!$A$1:$I$38</definedName>
    <definedName name="_xlnm._FilterDatabase" localSheetId="4" hidden="1">'Master Emp List'!$B$1:$I$38</definedName>
    <definedName name="_xlnm._FilterDatabase" localSheetId="2" hidden="1">'SUMIF Function'!$A$2:$E$272</definedName>
    <definedName name="Comm">'Emp Commission'!$D$2</definedName>
    <definedName name="MonthlyGoal">'IF Function'!$I$2</definedName>
    <definedName name="solver_cvg" localSheetId="18" hidden="1">0.0001</definedName>
    <definedName name="solver_drv" localSheetId="18" hidden="1">1</definedName>
    <definedName name="solver_eng" localSheetId="1" hidden="1">1</definedName>
    <definedName name="solver_eng" localSheetId="18" hidden="1">1</definedName>
    <definedName name="solver_est" localSheetId="18" hidden="1">1</definedName>
    <definedName name="solver_itr" localSheetId="18" hidden="1">100</definedName>
    <definedName name="solver_lhs1" localSheetId="18" hidden="1">Solver!$B$8:$E$8</definedName>
    <definedName name="solver_lhs2" localSheetId="18" hidden="1">Solver!$B$8:$E$8</definedName>
    <definedName name="solver_lhs3" localSheetId="18" hidden="1">Solver!$B$8:$E$8</definedName>
    <definedName name="solver_lhs4" localSheetId="18" hidden="1">Solver!$B$8:$E$8</definedName>
    <definedName name="solver_lhs5" localSheetId="18" hidden="1">Solver!$B$8:$E$8</definedName>
    <definedName name="solver_lhs6" localSheetId="18" hidden="1">Solver!$E$8</definedName>
    <definedName name="solver_lhs7" localSheetId="18" hidden="1">Solver!$E$8</definedName>
    <definedName name="solver_lhs8" localSheetId="18" hidden="1">Solver!$E$8</definedName>
    <definedName name="solver_lin" localSheetId="18" hidden="1">0</definedName>
    <definedName name="solver_mip" localSheetId="18" hidden="1">2147483647</definedName>
    <definedName name="solver_mni" localSheetId="18" hidden="1">30</definedName>
    <definedName name="solver_mrt" localSheetId="18" hidden="1">0.075</definedName>
    <definedName name="solver_msl" localSheetId="18" hidden="1">2</definedName>
    <definedName name="solver_neg" localSheetId="1" hidden="1">1</definedName>
    <definedName name="solver_neg" localSheetId="18" hidden="1">1</definedName>
    <definedName name="solver_nod" localSheetId="18" hidden="1">2147483647</definedName>
    <definedName name="solver_num" localSheetId="1" hidden="1">0</definedName>
    <definedName name="solver_num" localSheetId="18" hidden="1">0</definedName>
    <definedName name="solver_nwt" localSheetId="18" hidden="1">1</definedName>
    <definedName name="solver_opt" localSheetId="1" hidden="1">'IF Function'!$I$2</definedName>
    <definedName name="solver_opt" localSheetId="18" hidden="1">Solver!$H$8</definedName>
    <definedName name="solver_pre" localSheetId="18" hidden="1">0.000001</definedName>
    <definedName name="solver_rbv" localSheetId="18" hidden="1">1</definedName>
    <definedName name="solver_rel1" localSheetId="18" hidden="1">2</definedName>
    <definedName name="solver_rel2" localSheetId="18" hidden="1">2</definedName>
    <definedName name="solver_rel3" localSheetId="18" hidden="1">2</definedName>
    <definedName name="solver_rel4" localSheetId="18" hidden="1">2</definedName>
    <definedName name="solver_rel5" localSheetId="18" hidden="1">2</definedName>
    <definedName name="solver_rel6" localSheetId="18" hidden="1">2</definedName>
    <definedName name="solver_rel7" localSheetId="18" hidden="1">2</definedName>
    <definedName name="solver_rel8" localSheetId="18" hidden="1">2</definedName>
    <definedName name="solver_rhs1" localSheetId="18" hidden="1">Solver!$B$10:$E$10</definedName>
    <definedName name="solver_rhs2" localSheetId="18" hidden="1">Solver!$B$10:$E$10</definedName>
    <definedName name="solver_rhs3" localSheetId="18" hidden="1">Solver!$B$10:$E$10</definedName>
    <definedName name="solver_rhs4" localSheetId="18" hidden="1">Solver!$B$10:$E$10</definedName>
    <definedName name="solver_rhs5" localSheetId="18" hidden="1">Solver!$B$10:$E$10</definedName>
    <definedName name="solver_rhs6" localSheetId="18" hidden="1">Solver!$E$10</definedName>
    <definedName name="solver_rhs7" localSheetId="18" hidden="1">Solver!$E$10</definedName>
    <definedName name="solver_rhs8" localSheetId="18" hidden="1">Solver!$E$10</definedName>
    <definedName name="solver_rlx" localSheetId="18" hidden="1">1</definedName>
    <definedName name="solver_rsd" localSheetId="18" hidden="1">0</definedName>
    <definedName name="solver_scl" localSheetId="18" hidden="1">2</definedName>
    <definedName name="solver_sho" localSheetId="18" hidden="1">2</definedName>
    <definedName name="solver_ssz" localSheetId="18" hidden="1">100</definedName>
    <definedName name="solver_tim" localSheetId="18" hidden="1">100</definedName>
    <definedName name="solver_tol" localSheetId="18" hidden="1">0.05</definedName>
    <definedName name="solver_typ" localSheetId="1" hidden="1">1</definedName>
    <definedName name="solver_typ" localSheetId="18" hidden="1">2</definedName>
    <definedName name="solver_val" localSheetId="1" hidden="1">0</definedName>
    <definedName name="solver_val" localSheetId="18" hidden="1">0</definedName>
    <definedName name="solver_ver" localSheetId="1" hidden="1">3</definedName>
    <definedName name="solver_ver" localSheetId="18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0" l="1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3" i="20"/>
  <c r="C3" i="24"/>
  <c r="C4" i="24"/>
  <c r="C5" i="24"/>
  <c r="C6" i="24"/>
  <c r="C2" i="24"/>
  <c r="B3" i="24"/>
  <c r="B4" i="24"/>
  <c r="B5" i="24"/>
  <c r="B6" i="24"/>
  <c r="B2" i="24"/>
  <c r="E3" i="24"/>
  <c r="E4" i="24"/>
  <c r="E5" i="24"/>
  <c r="E6" i="24"/>
  <c r="E2" i="24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3" i="21"/>
  <c r="E16" i="21"/>
  <c r="E17" i="21"/>
  <c r="E18" i="21"/>
  <c r="E19" i="21"/>
  <c r="E20" i="21"/>
  <c r="E21" i="21"/>
  <c r="E22" i="21"/>
  <c r="E23" i="21"/>
  <c r="E24" i="21"/>
  <c r="E25" i="21"/>
  <c r="E26" i="21"/>
  <c r="E4" i="21"/>
  <c r="E5" i="21"/>
  <c r="E6" i="21"/>
  <c r="E7" i="21"/>
  <c r="E8" i="21"/>
  <c r="E9" i="21"/>
  <c r="E10" i="21"/>
  <c r="E11" i="21"/>
  <c r="E12" i="21"/>
  <c r="E13" i="21"/>
  <c r="E14" i="21"/>
  <c r="E15" i="21"/>
  <c r="E3" i="2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B5" i="22"/>
  <c r="C3" i="1"/>
  <c r="J5" i="17"/>
  <c r="I5" i="17"/>
  <c r="J3" i="17"/>
  <c r="F12" i="4"/>
  <c r="I3" i="17"/>
  <c r="I6" i="4"/>
  <c r="I7" i="4"/>
  <c r="I8" i="4"/>
  <c r="I9" i="4"/>
  <c r="I5" i="4"/>
  <c r="H6" i="4"/>
  <c r="H7" i="4"/>
  <c r="H8" i="4"/>
  <c r="H9" i="4"/>
  <c r="H5" i="4"/>
  <c r="D6" i="36"/>
  <c r="D7" i="36"/>
  <c r="D8" i="36"/>
  <c r="D9" i="36"/>
  <c r="D5" i="36"/>
  <c r="C7" i="40"/>
  <c r="C6" i="40"/>
  <c r="C5" i="40"/>
  <c r="C4" i="40"/>
  <c r="C3" i="40"/>
  <c r="F10" i="25"/>
  <c r="H8" i="25"/>
  <c r="I5" i="25"/>
  <c r="H6" i="25"/>
  <c r="H7" i="25"/>
  <c r="H5" i="25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F8" i="25"/>
  <c r="I8" i="25" s="1"/>
  <c r="F7" i="25"/>
  <c r="I7" i="25" s="1"/>
  <c r="F6" i="25"/>
  <c r="I6" i="25" s="1"/>
  <c r="H9" i="25" s="1"/>
  <c r="I9" i="25" s="1"/>
  <c r="F5" i="25"/>
  <c r="F7" i="4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G3" i="29"/>
  <c r="E7" i="29"/>
  <c r="G4" i="29"/>
  <c r="F10" i="26"/>
  <c r="H5" i="26"/>
  <c r="F12" i="25"/>
  <c r="G7" i="29" l="1"/>
  <c r="F12" i="26"/>
  <c r="I5" i="26"/>
</calcChain>
</file>

<file path=xl/sharedStrings.xml><?xml version="1.0" encoding="utf-8"?>
<sst xmlns="http://schemas.openxmlformats.org/spreadsheetml/2006/main" count="4267" uniqueCount="365">
  <si>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</si>
  <si>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</si>
  <si>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</si>
  <si>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</si>
  <si>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</si>
  <si>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</si>
  <si>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</si>
  <si>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</si>
  <si>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</si>
  <si>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</si>
  <si>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</si>
  <si>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</si>
  <si>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</si>
  <si>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</si>
  <si>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</si>
  <si>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</si>
  <si>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</si>
  <si>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</si>
  <si>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</si>
  <si>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</si>
  <si>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</si>
  <si>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</si>
  <si>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</si>
  <si>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</si>
  <si>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</si>
  <si>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</si>
  <si>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</si>
  <si>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</si>
  <si>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</si>
  <si>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</si>
  <si>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</si>
  <si>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</si>
  <si>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</si>
  <si>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</si>
  <si>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</si>
  <si>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</si>
  <si>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</si>
  <si>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</si>
  <si>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</si>
  <si>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</si>
  <si>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</si>
  <si>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</si>
  <si>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</si>
  <si>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</si>
  <si>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</si>
  <si>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</si>
  <si>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</si>
  <si>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</si>
  <si>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</si>
  <si>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</si>
  <si>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</si>
  <si>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</si>
  <si>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</si>
  <si>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</si>
  <si>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</si>
  <si>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</si>
  <si>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</si>
  <si>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</si>
  <si>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</si>
  <si>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</si>
  <si>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</si>
  <si>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</si>
  <si>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</si>
  <si>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</si>
  <si>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</si>
  <si>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</si>
  <si>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</si>
  <si>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</si>
  <si>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</si>
  <si>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</si>
  <si>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</si>
  <si>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</si>
  <si>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</si>
  <si>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</si>
  <si>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</si>
  <si>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</si>
  <si>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</si>
  <si>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</si>
  <si>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</si>
  <si>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</si>
  <si>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</si>
  <si>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</si>
  <si>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</si>
  <si>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</si>
  <si>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</si>
  <si>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</si>
  <si>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</si>
  <si>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</si>
  <si>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</si>
  <si>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</si>
  <si>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</si>
  <si>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</si>
  <si>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</si>
  <si>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</si>
  <si>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</si>
  <si>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</si>
  <si>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</si>
  <si>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</si>
  <si>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</si>
  <si>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</si>
  <si>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</si>
  <si>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</si>
  <si>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</si>
  <si>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</si>
  <si>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</si>
  <si>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</si>
  <si>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</si>
  <si>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</si>
  <si>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</si>
  <si>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</si>
  <si>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</si>
  <si>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</si>
  <si>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</si>
  <si>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</si>
  <si>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</si>
  <si>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</si>
  <si>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</si>
  <si>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</si>
  <si>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</si>
  <si>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</si>
  <si>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</si>
  <si>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</si>
  <si>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</si>
  <si>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</si>
  <si>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</si>
  <si>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</si>
  <si>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</si>
  <si>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</si>
  <si>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</si>
  <si>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</si>
  <si>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</si>
  <si>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</si>
  <si>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</si>
  <si>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</si>
  <si>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</si>
  <si>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</si>
  <si>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</si>
  <si>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</si>
  <si>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</si>
  <si>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</si>
  <si>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</si>
  <si>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</si>
  <si>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</si>
  <si>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</si>
  <si>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</si>
  <si>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</si>
  <si>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</si>
  <si>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</si>
  <si>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</si>
  <si>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</si>
  <si>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</si>
  <si>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</si>
  <si>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</si>
  <si>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</si>
  <si>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</si>
  <si>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</si>
  <si>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</si>
  <si>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</si>
  <si>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</si>
  <si>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</si>
  <si>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</si>
  <si>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</si>
  <si>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</si>
  <si>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</si>
  <si>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</si>
  <si>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</si>
  <si>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</si>
  <si>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</si>
  <si>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</si>
  <si>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</si>
  <si>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</si>
  <si>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</si>
  <si>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</si>
  <si>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</si>
  <si>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</si>
  <si>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</si>
  <si>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</si>
  <si>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</si>
  <si>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</si>
  <si>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</si>
  <si>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</si>
  <si>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</si>
  <si>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</si>
  <si>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</si>
  <si>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</si>
  <si>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</si>
  <si>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</si>
  <si>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</si>
  <si>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</si>
  <si>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</si>
  <si>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</si>
  <si>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</si>
  <si>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</si>
  <si>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</si>
  <si>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</si>
  <si>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</si>
  <si>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</si>
  <si>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</si>
  <si>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</si>
  <si>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</si>
  <si>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</si>
  <si>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</si>
  <si>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</si>
  <si>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</si>
  <si>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</si>
  <si>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</si>
  <si>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</si>
  <si>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</si>
  <si>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</si>
  <si>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</si>
  <si>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</si>
  <si>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</si>
  <si>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</si>
  <si>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</si>
  <si>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</si>
  <si>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</si>
  <si>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</si>
  <si>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</si>
  <si>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</si>
  <si>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</si>
  <si>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</si>
  <si>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</si>
  <si>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</si>
  <si>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</si>
  <si>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</si>
  <si>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</si>
  <si>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</si>
  <si>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</si>
  <si>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</si>
  <si>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</si>
  <si>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</si>
  <si>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</si>
  <si>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</si>
  <si>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</si>
  <si>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</si>
  <si>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</si>
  <si>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</si>
  <si>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</si>
  <si>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</si>
  <si>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</si>
  <si>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</si>
  <si>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</si>
  <si>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</si>
  <si>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</si>
  <si>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</si>
  <si>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</si>
  <si>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</si>
  <si>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</si>
  <si>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</si>
  <si>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</si>
  <si>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</si>
  <si>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</si>
  <si>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</si>
  <si>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</si>
  <si>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</si>
  <si>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</si>
  <si>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</si>
  <si>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</si>
  <si>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</si>
  <si>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</si>
  <si>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</si>
  <si>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</si>
  <si>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</si>
  <si>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</si>
  <si>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</si>
  <si>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</si>
  <si>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</si>
  <si>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</si>
  <si>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</si>
  <si>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</si>
  <si>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</si>
  <si>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</si>
  <si>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</si>
  <si>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</si>
  <si>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</si>
  <si>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</si>
  <si>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</si>
  <si>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RETURNS VALUE AT A SPECIFIC POSITION</t>
  </si>
  <si>
    <t>RETURNS NUMERIC POSITION OF A VALUE</t>
  </si>
  <si>
    <t>EMP ID</t>
  </si>
  <si>
    <t>Sales Figures - December 2026</t>
  </si>
  <si>
    <t>LAST NAME</t>
  </si>
  <si>
    <t>Sales Rep</t>
  </si>
  <si>
    <t>Monthly Sales</t>
  </si>
  <si>
    <t>Alex</t>
  </si>
  <si>
    <t>Morgan</t>
  </si>
  <si>
    <t>Jamie</t>
  </si>
  <si>
    <t>Central</t>
  </si>
  <si>
    <t>Taylor</t>
  </si>
  <si>
    <t>Jordan</t>
  </si>
  <si>
    <t>Commission</t>
  </si>
  <si>
    <t>Earned</t>
  </si>
  <si>
    <t>Customer Name</t>
  </si>
  <si>
    <t>Company Name</t>
  </si>
  <si>
    <t>City</t>
  </si>
  <si>
    <t>State</t>
  </si>
  <si>
    <t>SEARCH</t>
  </si>
  <si>
    <t>Order Date</t>
  </si>
  <si>
    <t>Product</t>
  </si>
  <si>
    <t>Units Sold</t>
  </si>
  <si>
    <t>Revenue</t>
  </si>
  <si>
    <t>Abigail Miller</t>
  </si>
  <si>
    <t>Dell Latitude 5540</t>
  </si>
  <si>
    <t>James Wilson</t>
  </si>
  <si>
    <t>Samsung Galaxy S24</t>
  </si>
  <si>
    <t>Henry Moore</t>
  </si>
  <si>
    <t>iPhone 15</t>
  </si>
  <si>
    <t>Olivia Hernandez</t>
  </si>
  <si>
    <t>Lenovo ThinkPad E16</t>
  </si>
  <si>
    <t>Sophia Martin</t>
  </si>
  <si>
    <t>HP ProBook 450</t>
  </si>
  <si>
    <t>Lucas Lopez</t>
  </si>
  <si>
    <t>Emma Thomas</t>
  </si>
  <si>
    <t>Mia Garcia</t>
  </si>
  <si>
    <t>Harper Martinez</t>
  </si>
  <si>
    <t>Microsoft Surface Laptop 6</t>
  </si>
  <si>
    <t>Mason Smith</t>
  </si>
  <si>
    <t>Metric</t>
  </si>
  <si>
    <t>Value</t>
  </si>
  <si>
    <t>Total Revenue</t>
  </si>
  <si>
    <t>Average Deal Size</t>
  </si>
  <si>
    <t>Top Sales Rep (by Revenue)</t>
  </si>
  <si>
    <t>West Region Revenue</t>
  </si>
  <si>
    <t>East Region Revenue</t>
  </si>
  <si>
    <t>Jan</t>
  </si>
  <si>
    <t>USING &amp;</t>
  </si>
  <si>
    <t>John Smith</t>
  </si>
  <si>
    <t>Mary-Ann O'Connor</t>
  </si>
  <si>
    <t>Kevin Brown</t>
  </si>
  <si>
    <t>Sara Mcdonald</t>
  </si>
  <si>
    <t>Robert O’Neill</t>
  </si>
  <si>
    <t>Emily Johnson</t>
  </si>
  <si>
    <t>Michael Lee</t>
  </si>
  <si>
    <t>Laura Garcia</t>
  </si>
  <si>
    <t>Daniel Thompson</t>
  </si>
  <si>
    <t>Jessica Martinez</t>
  </si>
  <si>
    <t>Acme Industries</t>
  </si>
  <si>
    <t>Global Solutions</t>
  </si>
  <si>
    <t>Northwind Traders</t>
  </si>
  <si>
    <t>Blue Sky Consulting</t>
  </si>
  <si>
    <t>Apex Logistics</t>
  </si>
  <si>
    <t>Sunrise Healthcare</t>
  </si>
  <si>
    <t>Pacific Holdings</t>
  </si>
  <si>
    <t>Horizon Retail</t>
  </si>
  <si>
    <t>Silverline Finance</t>
  </si>
  <si>
    <t>Evergreen Marketing</t>
  </si>
  <si>
    <t>New York</t>
  </si>
  <si>
    <t>Los Angeles</t>
  </si>
  <si>
    <t>Chicago</t>
  </si>
  <si>
    <t>Seattle</t>
  </si>
  <si>
    <t>Dallas</t>
  </si>
  <si>
    <t>Boston</t>
  </si>
  <si>
    <t>San Francisco</t>
  </si>
  <si>
    <t>Miami</t>
  </si>
  <si>
    <t>Denver</t>
  </si>
  <si>
    <t>Portland</t>
  </si>
  <si>
    <t>NY</t>
  </si>
  <si>
    <t>CA</t>
  </si>
  <si>
    <t>IL</t>
  </si>
  <si>
    <t>WA</t>
  </si>
  <si>
    <t>TX</t>
  </si>
  <si>
    <t>MA</t>
  </si>
  <si>
    <t>FL</t>
  </si>
  <si>
    <t>CO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</si>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</sst>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  <numFmt numFmtId="172" formatCode="_-[$$-409]* #,##0.00_ ;_-[$$-409]* \-#,##0.00\ ;_-[$$-409]* &quot;-&quot;??_ ;_-@_ 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9" fillId="0" borderId="0"/>
    <xf numFmtId="0" fontId="7" fillId="0" borderId="0"/>
    <xf numFmtId="0" fontId="7" fillId="0" borderId="0"/>
    <xf numFmtId="0" fontId="16" fillId="0" borderId="0"/>
    <xf numFmtId="167" fontId="1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16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7" fillId="0" borderId="1" xfId="5" applyBorder="1" applyAlignment="1">
      <alignment horizontal="center" vertical="center" wrapText="1"/>
    </xf>
    <xf numFmtId="170" fontId="7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7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7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4" fillId="0" borderId="9" xfId="1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168" fontId="2" fillId="0" borderId="0" xfId="2" applyNumberFormat="1" applyAlignment="1">
      <alignment horizontal="center"/>
    </xf>
    <xf numFmtId="0" fontId="11" fillId="0" borderId="3" xfId="4" applyFont="1" applyBorder="1" applyAlignment="1">
      <alignment horizontal="center"/>
    </xf>
    <xf numFmtId="0" fontId="7" fillId="0" borderId="3" xfId="6" applyBorder="1" applyAlignment="1">
      <alignment horizontal="left" wrapText="1"/>
    </xf>
    <xf numFmtId="0" fontId="7" fillId="0" borderId="3" xfId="6" applyBorder="1" applyAlignment="1">
      <alignment horizontal="left"/>
    </xf>
    <xf numFmtId="171" fontId="7" fillId="0" borderId="3" xfId="6" applyNumberFormat="1" applyBorder="1" applyAlignment="1">
      <alignment horizontal="center" wrapText="1"/>
    </xf>
    <xf numFmtId="0" fontId="8" fillId="5" borderId="3" xfId="5" applyFont="1" applyFill="1" applyBorder="1" applyAlignment="1">
      <alignment horizontal="center" vertical="center" wrapText="1"/>
    </xf>
    <xf numFmtId="37" fontId="10" fillId="0" borderId="3" xfId="1" applyNumberFormat="1" applyFont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12" fillId="6" borderId="3" xfId="3" applyFont="1" applyFill="1" applyBorder="1" applyAlignment="1">
      <alignment horizontal="center"/>
    </xf>
    <xf numFmtId="0" fontId="13" fillId="6" borderId="3" xfId="4" applyFont="1" applyFill="1" applyBorder="1" applyAlignment="1">
      <alignment horizontal="center"/>
    </xf>
    <xf numFmtId="0" fontId="13" fillId="7" borderId="3" xfId="4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 vertical="center"/>
    </xf>
    <xf numFmtId="0" fontId="15" fillId="8" borderId="6" xfId="5" applyFont="1" applyFill="1" applyBorder="1" applyAlignment="1">
      <alignment horizontal="center" vertical="center"/>
    </xf>
    <xf numFmtId="0" fontId="15" fillId="8" borderId="7" xfId="5" applyFont="1" applyFill="1" applyBorder="1" applyAlignment="1">
      <alignment horizontal="center" vertical="center"/>
    </xf>
    <xf numFmtId="0" fontId="14" fillId="8" borderId="11" xfId="6" applyFont="1" applyFill="1" applyBorder="1" applyAlignment="1">
      <alignment horizontal="center"/>
    </xf>
    <xf numFmtId="0" fontId="14" fillId="8" borderId="0" xfId="6" applyFont="1" applyFill="1" applyAlignment="1">
      <alignment horizontal="center"/>
    </xf>
    <xf numFmtId="171" fontId="7" fillId="0" borderId="0" xfId="6" applyNumberFormat="1" applyAlignment="1">
      <alignment horizontal="center" wrapText="1"/>
    </xf>
    <xf numFmtId="0" fontId="14" fillId="8" borderId="3" xfId="6" applyFont="1" applyFill="1" applyBorder="1" applyAlignment="1">
      <alignment horizontal="center"/>
    </xf>
    <xf numFmtId="0" fontId="14" fillId="0" borderId="0" xfId="6" applyFont="1" applyAlignment="1">
      <alignment horizontal="center"/>
    </xf>
    <xf numFmtId="0" fontId="14" fillId="8" borderId="3" xfId="5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166" fontId="14" fillId="6" borderId="12" xfId="1" applyFont="1" applyFill="1" applyBorder="1"/>
    <xf numFmtId="0" fontId="6" fillId="8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4" fillId="0" borderId="21" xfId="1" applyNumberFormat="1" applyFont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6" fillId="0" borderId="0" xfId="7"/>
    <xf numFmtId="0" fontId="16" fillId="0" borderId="3" xfId="7" applyBorder="1" applyAlignment="1">
      <alignment horizontal="center"/>
    </xf>
    <xf numFmtId="0" fontId="4" fillId="0" borderId="9" xfId="7" applyFont="1" applyBorder="1" applyAlignment="1">
      <alignment horizontal="center"/>
    </xf>
    <xf numFmtId="0" fontId="16" fillId="0" borderId="22" xfId="7" applyBorder="1"/>
    <xf numFmtId="0" fontId="16" fillId="0" borderId="23" xfId="7" applyBorder="1" applyAlignment="1">
      <alignment horizontal="right"/>
    </xf>
    <xf numFmtId="0" fontId="3" fillId="4" borderId="24" xfId="7" applyFont="1" applyFill="1" applyBorder="1" applyAlignment="1">
      <alignment horizontal="center"/>
    </xf>
    <xf numFmtId="0" fontId="3" fillId="9" borderId="25" xfId="7" applyFont="1" applyFill="1" applyBorder="1" applyAlignment="1">
      <alignment horizontal="right"/>
    </xf>
    <xf numFmtId="0" fontId="4" fillId="9" borderId="4" xfId="7" applyFont="1" applyFill="1" applyBorder="1" applyAlignment="1">
      <alignment horizontal="right"/>
    </xf>
    <xf numFmtId="0" fontId="4" fillId="9" borderId="10" xfId="7" applyFont="1" applyFill="1" applyBorder="1" applyAlignment="1">
      <alignment horizontal="right"/>
    </xf>
    <xf numFmtId="0" fontId="14" fillId="8" borderId="3" xfId="7" applyFont="1" applyFill="1" applyBorder="1"/>
    <xf numFmtId="0" fontId="14" fillId="8" borderId="3" xfId="7" applyFont="1" applyFill="1" applyBorder="1" applyAlignment="1">
      <alignment horizontal="center"/>
    </xf>
    <xf numFmtId="0" fontId="4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8" fillId="8" borderId="0" xfId="0" applyFont="1" applyFill="1"/>
    <xf numFmtId="0" fontId="2" fillId="0" borderId="0" xfId="9"/>
    <xf numFmtId="10" fontId="3" fillId="0" borderId="3" xfId="10" applyNumberFormat="1" applyFont="1" applyFill="1" applyBorder="1" applyAlignment="1">
      <alignment horizontal="center"/>
    </xf>
    <xf numFmtId="165" fontId="2" fillId="0" borderId="0" xfId="9" applyNumberFormat="1"/>
    <xf numFmtId="165" fontId="3" fillId="2" borderId="3" xfId="1" applyNumberFormat="1" applyFont="1" applyFill="1" applyBorder="1" applyAlignment="1"/>
    <xf numFmtId="1" fontId="2" fillId="0" borderId="0" xfId="9" applyNumberFormat="1"/>
    <xf numFmtId="1" fontId="3" fillId="0" borderId="0" xfId="9" applyNumberFormat="1" applyFont="1"/>
    <xf numFmtId="1" fontId="3" fillId="0" borderId="3" xfId="1" applyNumberFormat="1" applyFont="1" applyFill="1" applyBorder="1" applyAlignment="1"/>
    <xf numFmtId="1" fontId="3" fillId="0" borderId="3" xfId="9" applyNumberFormat="1" applyFont="1" applyBorder="1"/>
    <xf numFmtId="1" fontId="2" fillId="0" borderId="3" xfId="9" applyNumberFormat="1" applyBorder="1"/>
    <xf numFmtId="1" fontId="4" fillId="10" borderId="3" xfId="9" applyNumberFormat="1" applyFont="1" applyFill="1" applyBorder="1" applyAlignment="1">
      <alignment horizontal="center"/>
    </xf>
    <xf numFmtId="166" fontId="2" fillId="0" borderId="3" xfId="1" applyBorder="1"/>
    <xf numFmtId="166" fontId="4" fillId="0" borderId="3" xfId="1" applyFont="1" applyBorder="1"/>
    <xf numFmtId="1" fontId="4" fillId="0" borderId="3" xfId="9" applyNumberFormat="1" applyFont="1" applyBorder="1" applyAlignment="1">
      <alignment horizontal="center"/>
    </xf>
    <xf numFmtId="1" fontId="3" fillId="2" borderId="3" xfId="9" applyNumberFormat="1" applyFont="1" applyFill="1" applyBorder="1" applyAlignment="1">
      <alignment horizontal="right"/>
    </xf>
    <xf numFmtId="1" fontId="4" fillId="0" borderId="3" xfId="1" applyNumberFormat="1" applyFont="1" applyBorder="1" applyAlignment="1">
      <alignment horizontal="center"/>
    </xf>
    <xf numFmtId="1" fontId="3" fillId="0" borderId="3" xfId="9" quotePrefix="1" applyNumberFormat="1" applyFont="1" applyBorder="1"/>
    <xf numFmtId="1" fontId="2" fillId="0" borderId="0" xfId="9" applyNumberFormat="1" applyAlignment="1">
      <alignment horizontal="centerContinuous"/>
    </xf>
    <xf numFmtId="1" fontId="20" fillId="0" borderId="0" xfId="9" applyNumberFormat="1" applyFont="1" applyAlignment="1">
      <alignment horizontal="centerContinuous"/>
    </xf>
    <xf numFmtId="168" fontId="2" fillId="9" borderId="3" xfId="1" applyNumberFormat="1" applyFont="1" applyFill="1" applyBorder="1" applyAlignment="1">
      <alignment horizontal="center"/>
    </xf>
    <xf numFmtId="9" fontId="2" fillId="9" borderId="3" xfId="9" applyNumberFormat="1" applyFill="1" applyBorder="1" applyAlignment="1">
      <alignment horizontal="center"/>
    </xf>
    <xf numFmtId="0" fontId="2" fillId="9" borderId="3" xfId="9" applyFill="1" applyBorder="1" applyAlignment="1">
      <alignment horizontal="center"/>
    </xf>
    <xf numFmtId="165" fontId="2" fillId="9" borderId="27" xfId="9" applyNumberFormat="1" applyFill="1" applyBorder="1" applyAlignment="1">
      <alignment horizontal="center"/>
    </xf>
    <xf numFmtId="0" fontId="14" fillId="8" borderId="28" xfId="9" applyFont="1" applyFill="1" applyBorder="1" applyAlignment="1">
      <alignment horizontal="center"/>
    </xf>
    <xf numFmtId="0" fontId="14" fillId="8" borderId="3" xfId="9" applyFont="1" applyFill="1" applyBorder="1" applyAlignment="1">
      <alignment horizontal="right"/>
    </xf>
    <xf numFmtId="1" fontId="18" fillId="8" borderId="3" xfId="9" applyNumberFormat="1" applyFont="1" applyFill="1" applyBorder="1" applyAlignment="1">
      <alignment horizontal="right"/>
    </xf>
    <xf numFmtId="1" fontId="18" fillId="8" borderId="3" xfId="9" applyNumberFormat="1" applyFont="1" applyFill="1" applyBorder="1"/>
    <xf numFmtId="0" fontId="18" fillId="8" borderId="3" xfId="9" applyFont="1" applyFill="1" applyBorder="1" applyAlignment="1">
      <alignment horizontal="right"/>
    </xf>
    <xf numFmtId="1" fontId="18" fillId="8" borderId="31" xfId="1" applyNumberFormat="1" applyFont="1" applyFill="1" applyBorder="1" applyAlignment="1">
      <alignment horizontal="center"/>
    </xf>
    <xf numFmtId="1" fontId="18" fillId="8" borderId="17" xfId="9" applyNumberFormat="1" applyFont="1" applyFill="1" applyBorder="1" applyAlignment="1">
      <alignment horizontal="center"/>
    </xf>
    <xf numFmtId="0" fontId="18" fillId="8" borderId="30" xfId="9" applyFont="1" applyFill="1" applyBorder="1" applyAlignment="1">
      <alignment horizontal="center"/>
    </xf>
    <xf numFmtId="0" fontId="18" fillId="8" borderId="29" xfId="9" applyFont="1" applyFill="1" applyBorder="1" applyAlignment="1">
      <alignment horizontal="center"/>
    </xf>
    <xf numFmtId="166" fontId="4" fillId="11" borderId="3" xfId="9" applyNumberFormat="1" applyFont="1" applyFill="1" applyBorder="1"/>
    <xf numFmtId="1" fontId="4" fillId="11" borderId="3" xfId="9" applyNumberFormat="1" applyFont="1" applyFill="1" applyBorder="1" applyAlignment="1">
      <alignment horizontal="center"/>
    </xf>
    <xf numFmtId="168" fontId="2" fillId="11" borderId="3" xfId="1" applyNumberFormat="1" applyFont="1" applyFill="1" applyBorder="1" applyAlignment="1">
      <alignment horizontal="center"/>
    </xf>
    <xf numFmtId="9" fontId="2" fillId="11" borderId="3" xfId="9" applyNumberFormat="1" applyFill="1" applyBorder="1" applyAlignment="1">
      <alignment horizontal="center"/>
    </xf>
    <xf numFmtId="0" fontId="2" fillId="11" borderId="3" xfId="9" applyFill="1" applyBorder="1" applyAlignment="1">
      <alignment horizontal="center"/>
    </xf>
    <xf numFmtId="165" fontId="8" fillId="11" borderId="3" xfId="1" applyNumberFormat="1" applyFont="1" applyFill="1" applyBorder="1" applyAlignment="1">
      <alignment horizontal="center"/>
    </xf>
    <xf numFmtId="0" fontId="18" fillId="8" borderId="3" xfId="9" applyFont="1" applyFill="1" applyBorder="1" applyAlignment="1">
      <alignment horizontal="center"/>
    </xf>
    <xf numFmtId="0" fontId="4" fillId="0" borderId="3" xfId="9" applyFont="1" applyBorder="1" applyAlignment="1">
      <alignment horizontal="center"/>
    </xf>
    <xf numFmtId="165" fontId="2" fillId="0" borderId="3" xfId="1" applyNumberFormat="1" applyFont="1" applyFill="1" applyBorder="1" applyAlignment="1"/>
    <xf numFmtId="0" fontId="4" fillId="9" borderId="3" xfId="9" applyFont="1" applyFill="1" applyBorder="1" applyAlignment="1">
      <alignment horizontal="center"/>
    </xf>
    <xf numFmtId="10" fontId="2" fillId="9" borderId="3" xfId="10" applyNumberFormat="1" applyFill="1" applyBorder="1" applyAlignment="1">
      <alignment horizontal="center"/>
    </xf>
    <xf numFmtId="167" fontId="0" fillId="0" borderId="0" xfId="8" applyFont="1"/>
    <xf numFmtId="14" fontId="7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2" fillId="12" borderId="0" xfId="0" applyFont="1" applyFill="1"/>
    <xf numFmtId="0" fontId="2" fillId="12" borderId="0" xfId="0" applyFont="1" applyFill="1" applyAlignment="1">
      <alignment horizontal="center" vertical="center" wrapText="1"/>
    </xf>
    <xf numFmtId="0" fontId="15" fillId="13" borderId="7" xfId="5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8" fillId="6" borderId="33" xfId="0" applyFont="1" applyFill="1" applyBorder="1" applyAlignment="1">
      <alignment horizontal="center" vertical="center" wrapText="1"/>
    </xf>
    <xf numFmtId="166" fontId="2" fillId="0" borderId="0" xfId="1" applyFont="1" applyAlignment="1">
      <alignment vertical="center" wrapText="1"/>
    </xf>
    <xf numFmtId="9" fontId="0" fillId="11" borderId="0" xfId="11" applyFont="1" applyFill="1" applyAlignment="1">
      <alignment horizontal="center" vertical="center"/>
    </xf>
    <xf numFmtId="166" fontId="0" fillId="0" borderId="0" xfId="1" applyFont="1" applyAlignment="1">
      <alignment vertical="center" wrapText="1"/>
    </xf>
    <xf numFmtId="0" fontId="6" fillId="3" borderId="0" xfId="0" applyFont="1" applyFill="1" applyAlignment="1">
      <alignment horizontal="right"/>
    </xf>
    <xf numFmtId="0" fontId="22" fillId="6" borderId="33" xfId="12" applyFont="1" applyFill="1" applyBorder="1"/>
    <xf numFmtId="0" fontId="1" fillId="0" borderId="0" xfId="12"/>
    <xf numFmtId="166" fontId="14" fillId="6" borderId="12" xfId="1" applyFont="1" applyFill="1" applyBorder="1" applyProtection="1"/>
    <xf numFmtId="168" fontId="0" fillId="0" borderId="3" xfId="1" applyNumberFormat="1" applyFont="1" applyBorder="1" applyAlignment="1" applyProtection="1">
      <alignment horizontal="left"/>
    </xf>
    <xf numFmtId="168" fontId="4" fillId="0" borderId="9" xfId="1" applyNumberFormat="1" applyFont="1" applyBorder="1" applyAlignment="1" applyProtection="1">
      <alignment horizontal="center"/>
    </xf>
    <xf numFmtId="168" fontId="0" fillId="0" borderId="20" xfId="1" applyNumberFormat="1" applyFont="1" applyBorder="1" applyAlignment="1" applyProtection="1">
      <alignment horizontal="left"/>
    </xf>
    <xf numFmtId="168" fontId="4" fillId="0" borderId="21" xfId="1" applyNumberFormat="1" applyFont="1" applyBorder="1" applyAlignment="1" applyProtection="1">
      <alignment horizontal="center"/>
    </xf>
    <xf numFmtId="14" fontId="2" fillId="0" borderId="0" xfId="9" applyNumberFormat="1"/>
    <xf numFmtId="0" fontId="15" fillId="7" borderId="33" xfId="9" applyFont="1" applyFill="1" applyBorder="1"/>
    <xf numFmtId="166" fontId="0" fillId="0" borderId="0" xfId="0" applyNumberFormat="1"/>
    <xf numFmtId="172" fontId="0" fillId="0" borderId="3" xfId="0" applyNumberFormat="1" applyBorder="1" applyAlignment="1">
      <alignment horizontal="center"/>
    </xf>
    <xf numFmtId="0" fontId="14" fillId="7" borderId="14" xfId="0" applyFont="1" applyFill="1" applyBorder="1" applyAlignment="1">
      <alignment horizontal="right" vertical="center" wrapText="1"/>
    </xf>
    <xf numFmtId="0" fontId="14" fillId="7" borderId="16" xfId="0" applyFont="1" applyFill="1" applyBorder="1" applyAlignment="1">
      <alignment horizontal="right" vertical="center" wrapText="1"/>
    </xf>
    <xf numFmtId="0" fontId="14" fillId="7" borderId="15" xfId="0" applyFont="1" applyFill="1" applyBorder="1" applyAlignment="1">
      <alignment horizontal="right" vertical="center" wrapText="1"/>
    </xf>
    <xf numFmtId="0" fontId="3" fillId="0" borderId="13" xfId="0" applyFont="1" applyBorder="1" applyAlignment="1">
      <alignment horizontal="center"/>
    </xf>
    <xf numFmtId="0" fontId="17" fillId="8" borderId="26" xfId="7" applyFont="1" applyFill="1" applyBorder="1" applyAlignment="1">
      <alignment horizontal="center" vertical="center"/>
    </xf>
    <xf numFmtId="0" fontId="17" fillId="8" borderId="17" xfId="7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3" xfId="9" applyFont="1" applyFill="1" applyBorder="1" applyAlignment="1">
      <alignment horizontal="center"/>
    </xf>
    <xf numFmtId="0" fontId="4" fillId="14" borderId="0" xfId="0" applyFont="1" applyFill="1"/>
  </cellXfs>
  <cellStyles count="13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 4" xfId="12" xr:uid="{E1E63BE0-865E-42D7-8D8E-8D1A23B806D3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" xfId="11" builtinId="5"/>
    <cellStyle name="Percent 2" xfId="10" xr:uid="{00000000-0005-0000-0000-00000A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3" formatCode="m/d/yyyy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48130-6E05-4C27-9766-CA09B1A6323E}" name="tblTransactions" displayName="tblTransactions" ref="A1:F851" totalsRowShown="0" headerRowBorderDxfId="2">
  <autoFilter ref="A1:F851" xr:uid="{5E59310B-8845-44A6-90FB-BA98D46EB7DC}"/>
  <tableColumns count="6">
    <tableColumn id="1" xr3:uid="{C830E469-485D-4E11-9330-B46F22F60464}" name="Order Date" dataDxfId="1"/>
    <tableColumn id="2" xr3:uid="{2E9D08A1-E6B8-46B3-8FBD-FF0A05AE12B4}" name="Sales Rep"/>
    <tableColumn id="3" xr3:uid="{A664D932-3D48-4597-978D-D62994D804C2}" name="Region"/>
    <tableColumn id="4" xr3:uid="{48D0F814-4F5A-4736-8057-B17DC4D9B704}" name="Product"/>
    <tableColumn id="5" xr3:uid="{8457F400-7B69-46CA-9088-4433301882CA}" name="Units Sold"/>
    <tableColumn id="6" xr3:uid="{B8E64D14-CE1B-4839-8CBD-D6158BC253C7}" name="Revenue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C573-EF7E-4243-871B-F1E841B5D06E}">
  <sheetPr codeName="Sheet19"/>
  <dimension ref="A2:D9"/>
  <sheetViews>
    <sheetView tabSelected="1" zoomScale="150" zoomScaleNormal="150" workbookViewId="0">
      <selection activeCell="D5" sqref="D5"/>
    </sheetView>
  </sheetViews>
  <sheetFormatPr defaultRowHeight="12.5"/>
  <cols>
    <col min="1" max="2" width="14.26953125" customWidth="1"/>
    <col min="3" max="3" width="19.453125" customWidth="1"/>
    <col min="4" max="4" width="13.453125" customWidth="1"/>
  </cols>
  <sheetData>
    <row r="2" spans="1:4" ht="16" thickBot="1">
      <c r="C2" s="119" t="s">
        <v>290</v>
      </c>
      <c r="D2" s="121">
        <v>0.04</v>
      </c>
    </row>
    <row r="4" spans="1:4" ht="16" thickBot="1">
      <c r="A4" s="119" t="s">
        <v>282</v>
      </c>
      <c r="B4" s="119" t="s">
        <v>263</v>
      </c>
      <c r="C4" s="119" t="s">
        <v>283</v>
      </c>
      <c r="D4" s="119" t="s">
        <v>291</v>
      </c>
    </row>
    <row r="5" spans="1:4">
      <c r="A5" s="118" t="s">
        <v>284</v>
      </c>
      <c r="B5" s="118" t="s">
        <v>253</v>
      </c>
      <c r="C5" s="120">
        <v>42000</v>
      </c>
      <c r="D5" s="122">
        <f>C5*Comm</f>
        <v>1680</v>
      </c>
    </row>
    <row r="6" spans="1:4">
      <c r="A6" s="118" t="s">
        <v>285</v>
      </c>
      <c r="B6" s="118" t="s">
        <v>254</v>
      </c>
      <c r="C6" s="120">
        <v>36000</v>
      </c>
      <c r="D6" s="122">
        <f>C6*Comm</f>
        <v>1440</v>
      </c>
    </row>
    <row r="7" spans="1:4">
      <c r="A7" s="118" t="s">
        <v>286</v>
      </c>
      <c r="B7" s="118" t="s">
        <v>287</v>
      </c>
      <c r="C7" s="120">
        <v>51000</v>
      </c>
      <c r="D7" s="122">
        <f>C7*Comm</f>
        <v>2040</v>
      </c>
    </row>
    <row r="8" spans="1:4">
      <c r="A8" s="118" t="s">
        <v>288</v>
      </c>
      <c r="B8" s="118" t="s">
        <v>253</v>
      </c>
      <c r="C8" s="120">
        <v>27000</v>
      </c>
      <c r="D8" s="122">
        <f>C8*Comm</f>
        <v>1080</v>
      </c>
    </row>
    <row r="9" spans="1:4">
      <c r="A9" s="118" t="s">
        <v>289</v>
      </c>
      <c r="B9" s="118" t="s">
        <v>254</v>
      </c>
      <c r="C9" s="120">
        <v>61000</v>
      </c>
      <c r="D9" s="122">
        <f>C9*Comm</f>
        <v>2440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20" zoomScaleNormal="120" workbookViewId="0">
      <selection activeCell="F13" sqref="F13"/>
    </sheetView>
  </sheetViews>
  <sheetFormatPr defaultRowHeight="12.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3" thickBot="1"/>
    <row r="2" spans="1:9" ht="16" thickBot="1">
      <c r="A2" s="138" t="s">
        <v>280</v>
      </c>
      <c r="B2" s="138"/>
      <c r="C2" s="138"/>
      <c r="D2" s="138"/>
      <c r="E2" s="138"/>
      <c r="F2" s="138"/>
      <c r="H2" s="27" t="s">
        <v>0</v>
      </c>
      <c r="I2" s="44">
        <v>34000</v>
      </c>
    </row>
    <row r="3" spans="1:9" ht="13.5" thickTop="1" thickBot="1"/>
    <row r="4" spans="1:9" ht="14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5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IF(F5&gt;=MonthlyGoal,"YES","NO")</f>
        <v>YES</v>
      </c>
      <c r="I5" s="2" t="str">
        <f>IF(AND(H5="YES",MIN(B5:E5)&gt;=8000),"Yes Bonus", "No Bonus")</f>
        <v>Yes Bonus</v>
      </c>
    </row>
    <row r="6" spans="1:9" ht="15.5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>IF(F6&gt;=MonthlyGoal,"YES","NO")</f>
        <v>NO</v>
      </c>
      <c r="I6" s="2" t="str">
        <f t="shared" ref="I6:I9" si="0">IF(AND(H6="YES",MIN(B6:E6)&gt;=8000),"Yes Bonus", "No Bonus")</f>
        <v>No Bonus</v>
      </c>
    </row>
    <row r="7" spans="1:9" ht="15.5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>IF(F7&gt;=MonthlyGoal,"YES","NO")</f>
        <v>NO</v>
      </c>
      <c r="I7" s="2" t="str">
        <f t="shared" si="0"/>
        <v>No Bonus</v>
      </c>
    </row>
    <row r="8" spans="1:9" ht="15.5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>IF(F8&gt;=MonthlyGoal,"YES","NO")</f>
        <v>YES</v>
      </c>
      <c r="I8" s="2" t="str">
        <f t="shared" si="0"/>
        <v>Yes Bonus</v>
      </c>
    </row>
    <row r="9" spans="1:9" ht="16" thickBot="1">
      <c r="A9" s="15" t="s">
        <v>13</v>
      </c>
      <c r="B9" s="13">
        <v>7892</v>
      </c>
      <c r="C9" s="13">
        <v>7695</v>
      </c>
      <c r="D9" s="13">
        <v>9520</v>
      </c>
      <c r="E9" s="13">
        <v>10252</v>
      </c>
      <c r="F9" s="14">
        <f>SUM(B9:E9)</f>
        <v>35359</v>
      </c>
      <c r="H9" s="1" t="str">
        <f>IF(F9&gt;=MonthlyGoal,"YES","NO")</f>
        <v>YES</v>
      </c>
      <c r="I9" s="2" t="str">
        <f t="shared" si="0"/>
        <v>No Bonus</v>
      </c>
    </row>
    <row r="10" spans="1:9" ht="14">
      <c r="A10" s="123" t="s">
        <v>221</v>
      </c>
      <c r="B10" s="13"/>
      <c r="C10" s="13"/>
      <c r="D10" s="13"/>
      <c r="E10" s="13"/>
    </row>
    <row r="11" spans="1:9" ht="16.5" customHeight="1">
      <c r="A11" s="46"/>
    </row>
    <row r="12" spans="1:9" ht="13">
      <c r="A12" s="135" t="s">
        <v>12</v>
      </c>
      <c r="B12" s="136"/>
      <c r="C12" s="136"/>
      <c r="D12" s="136"/>
      <c r="E12" s="137"/>
      <c r="F12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J272"/>
  <sheetViews>
    <sheetView zoomScale="110" zoomScaleNormal="110" workbookViewId="0">
      <selection activeCell="H6" sqref="H6"/>
    </sheetView>
  </sheetViews>
  <sheetFormatPr defaultColWidth="9.1796875" defaultRowHeight="12.5"/>
  <cols>
    <col min="1" max="1" width="13.26953125" style="17" bestFit="1" customWidth="1"/>
    <col min="2" max="2" width="14.54296875" style="17" bestFit="1" customWidth="1"/>
    <col min="3" max="3" width="12" style="17" customWidth="1"/>
    <col min="4" max="4" width="12.54296875" style="17" bestFit="1" customWidth="1"/>
    <col min="5" max="5" width="12.1796875" style="17" bestFit="1" customWidth="1"/>
    <col min="6" max="6" width="9.1796875" style="17"/>
    <col min="7" max="8" width="13.7265625" style="17" customWidth="1"/>
    <col min="9" max="10" width="12.7265625" style="17" bestFit="1" customWidth="1"/>
    <col min="11" max="16384" width="9.1796875" style="17"/>
  </cols>
  <sheetData>
    <row r="2" spans="1:10" ht="15.5">
      <c r="A2" s="28" t="s">
        <v>142</v>
      </c>
      <c r="B2" s="28" t="s">
        <v>140</v>
      </c>
      <c r="C2" s="28" t="s">
        <v>143</v>
      </c>
      <c r="D2" s="28" t="s">
        <v>146</v>
      </c>
      <c r="E2" s="28" t="s">
        <v>147</v>
      </c>
      <c r="G2" s="29" t="s">
        <v>140</v>
      </c>
      <c r="H2" s="29" t="s">
        <v>142</v>
      </c>
      <c r="I2" s="30" t="s">
        <v>220</v>
      </c>
      <c r="J2" s="30" t="s">
        <v>141</v>
      </c>
    </row>
    <row r="3" spans="1:10" ht="15.5">
      <c r="A3" s="18" t="s">
        <v>144</v>
      </c>
      <c r="B3" s="18">
        <v>1000</v>
      </c>
      <c r="C3" s="18" t="s">
        <v>148</v>
      </c>
      <c r="D3" s="19">
        <f t="shared" ref="D3:D66" si="0">E3*28</f>
        <v>9660</v>
      </c>
      <c r="E3" s="18">
        <v>345</v>
      </c>
      <c r="G3" s="20">
        <v>1000</v>
      </c>
      <c r="H3" s="20" t="s">
        <v>324</v>
      </c>
      <c r="I3" s="25">
        <f>SUMIF(B3:B272,G3,E3:E272)</f>
        <v>16871</v>
      </c>
      <c r="J3" s="26">
        <f>SUMIFS(D3:D272,B3:B272,G3,A3:A272,H3)</f>
        <v>155904</v>
      </c>
    </row>
    <row r="4" spans="1:10" ht="13">
      <c r="A4" s="18" t="s">
        <v>144</v>
      </c>
      <c r="B4" s="18">
        <v>1050</v>
      </c>
      <c r="C4" s="18" t="s">
        <v>148</v>
      </c>
      <c r="D4" s="19">
        <f t="shared" si="0"/>
        <v>5936</v>
      </c>
      <c r="E4" s="18">
        <v>212</v>
      </c>
      <c r="G4" s="29" t="s">
        <v>164</v>
      </c>
      <c r="H4" s="29"/>
      <c r="I4" s="30" t="s">
        <v>220</v>
      </c>
      <c r="J4" s="30" t="s">
        <v>141</v>
      </c>
    </row>
    <row r="5" spans="1:10" ht="15.5">
      <c r="A5" s="18" t="s">
        <v>144</v>
      </c>
      <c r="B5" s="18">
        <v>2000</v>
      </c>
      <c r="C5" s="18" t="s">
        <v>148</v>
      </c>
      <c r="D5" s="19">
        <f t="shared" si="0"/>
        <v>10136</v>
      </c>
      <c r="E5" s="18">
        <v>362</v>
      </c>
      <c r="G5" s="20" t="s">
        <v>149</v>
      </c>
      <c r="H5" s="20" t="s">
        <v>324</v>
      </c>
      <c r="I5" s="25">
        <f>SUMIF(C3:C272,G5,E3:E272)</f>
        <v>7357</v>
      </c>
      <c r="J5" s="26">
        <f>SUMIFS(D3:D272,C3:C272,G5,A3:A272,H5)</f>
        <v>59864</v>
      </c>
    </row>
    <row r="6" spans="1:10">
      <c r="A6" s="18" t="s">
        <v>144</v>
      </c>
      <c r="B6" s="18">
        <v>2050</v>
      </c>
      <c r="C6" s="18" t="s">
        <v>148</v>
      </c>
      <c r="D6" s="19">
        <f t="shared" si="0"/>
        <v>3388</v>
      </c>
      <c r="E6" s="18">
        <v>121</v>
      </c>
    </row>
    <row r="7" spans="1:10" ht="14.25" customHeight="1">
      <c r="A7" s="18" t="s">
        <v>144</v>
      </c>
      <c r="B7" s="18">
        <v>3000</v>
      </c>
      <c r="C7" s="18" t="s">
        <v>148</v>
      </c>
      <c r="D7" s="19">
        <f t="shared" si="0"/>
        <v>14056</v>
      </c>
      <c r="E7" s="18">
        <v>502</v>
      </c>
    </row>
    <row r="8" spans="1:10">
      <c r="A8" s="18" t="s">
        <v>144</v>
      </c>
      <c r="B8" s="18">
        <v>3050</v>
      </c>
      <c r="C8" s="18" t="s">
        <v>148</v>
      </c>
      <c r="D8" s="19">
        <f t="shared" si="0"/>
        <v>10136</v>
      </c>
      <c r="E8" s="18">
        <v>362</v>
      </c>
    </row>
    <row r="9" spans="1:10">
      <c r="A9" s="18" t="s">
        <v>144</v>
      </c>
      <c r="B9" s="18">
        <v>1000</v>
      </c>
      <c r="C9" s="18" t="s">
        <v>145</v>
      </c>
      <c r="D9" s="19">
        <f t="shared" si="0"/>
        <v>14588</v>
      </c>
      <c r="E9" s="18">
        <v>521</v>
      </c>
    </row>
    <row r="10" spans="1:10">
      <c r="A10" s="18" t="s">
        <v>144</v>
      </c>
      <c r="B10" s="18">
        <v>1050</v>
      </c>
      <c r="C10" s="18" t="s">
        <v>145</v>
      </c>
      <c r="D10" s="19">
        <f t="shared" si="0"/>
        <v>6552</v>
      </c>
      <c r="E10" s="18">
        <v>234</v>
      </c>
    </row>
    <row r="11" spans="1:10">
      <c r="A11" s="18" t="s">
        <v>144</v>
      </c>
      <c r="B11" s="18">
        <v>2000</v>
      </c>
      <c r="C11" s="18" t="s">
        <v>145</v>
      </c>
      <c r="D11" s="19">
        <f t="shared" si="0"/>
        <v>11788</v>
      </c>
      <c r="E11" s="18">
        <v>421</v>
      </c>
    </row>
    <row r="12" spans="1:10">
      <c r="A12" s="18" t="s">
        <v>144</v>
      </c>
      <c r="B12" s="18">
        <v>2050</v>
      </c>
      <c r="C12" s="18" t="s">
        <v>145</v>
      </c>
      <c r="D12" s="19">
        <f t="shared" si="0"/>
        <v>9072</v>
      </c>
      <c r="E12" s="18">
        <v>324</v>
      </c>
    </row>
    <row r="13" spans="1:10">
      <c r="A13" s="18" t="s">
        <v>144</v>
      </c>
      <c r="B13" s="18">
        <v>3000</v>
      </c>
      <c r="C13" s="18" t="s">
        <v>145</v>
      </c>
      <c r="D13" s="19">
        <f t="shared" si="0"/>
        <v>3388</v>
      </c>
      <c r="E13" s="18">
        <v>121</v>
      </c>
    </row>
    <row r="14" spans="1:10">
      <c r="A14" s="18" t="s">
        <v>144</v>
      </c>
      <c r="B14" s="18">
        <v>3050</v>
      </c>
      <c r="C14" s="18" t="s">
        <v>145</v>
      </c>
      <c r="D14" s="19">
        <f t="shared" si="0"/>
        <v>15176</v>
      </c>
      <c r="E14" s="18">
        <v>542</v>
      </c>
    </row>
    <row r="15" spans="1:10">
      <c r="A15" s="18" t="s">
        <v>144</v>
      </c>
      <c r="B15" s="18">
        <v>1000</v>
      </c>
      <c r="C15" s="18" t="s">
        <v>149</v>
      </c>
      <c r="D15" s="19">
        <f t="shared" si="0"/>
        <v>5964</v>
      </c>
      <c r="E15" s="18">
        <v>213</v>
      </c>
    </row>
    <row r="16" spans="1:10">
      <c r="A16" s="18" t="s">
        <v>144</v>
      </c>
      <c r="B16" s="18">
        <v>1050</v>
      </c>
      <c r="C16" s="18" t="s">
        <v>149</v>
      </c>
      <c r="D16" s="19">
        <f t="shared" si="0"/>
        <v>6748</v>
      </c>
      <c r="E16" s="18">
        <v>241</v>
      </c>
    </row>
    <row r="17" spans="1:5">
      <c r="A17" s="18" t="s">
        <v>144</v>
      </c>
      <c r="B17" s="18">
        <v>2000</v>
      </c>
      <c r="C17" s="18" t="s">
        <v>149</v>
      </c>
      <c r="D17" s="19">
        <f t="shared" si="0"/>
        <v>11508</v>
      </c>
      <c r="E17" s="18">
        <v>411</v>
      </c>
    </row>
    <row r="18" spans="1:5">
      <c r="A18" s="18" t="s">
        <v>144</v>
      </c>
      <c r="B18" s="18">
        <v>2050</v>
      </c>
      <c r="C18" s="18" t="s">
        <v>149</v>
      </c>
      <c r="D18" s="19">
        <f t="shared" si="0"/>
        <v>3416</v>
      </c>
      <c r="E18" s="18">
        <v>122</v>
      </c>
    </row>
    <row r="19" spans="1:5">
      <c r="A19" s="18" t="s">
        <v>144</v>
      </c>
      <c r="B19" s="18">
        <v>3000</v>
      </c>
      <c r="C19" s="18" t="s">
        <v>149</v>
      </c>
      <c r="D19" s="19">
        <f t="shared" si="0"/>
        <v>14588</v>
      </c>
      <c r="E19" s="18">
        <v>521</v>
      </c>
    </row>
    <row r="20" spans="1:5">
      <c r="A20" s="18" t="s">
        <v>144</v>
      </c>
      <c r="B20" s="18">
        <v>3050</v>
      </c>
      <c r="C20" s="18" t="s">
        <v>149</v>
      </c>
      <c r="D20" s="19">
        <f t="shared" si="0"/>
        <v>17640</v>
      </c>
      <c r="E20" s="18">
        <v>630</v>
      </c>
    </row>
    <row r="21" spans="1:5">
      <c r="A21" s="18" t="s">
        <v>144</v>
      </c>
      <c r="B21" s="18">
        <v>1000</v>
      </c>
      <c r="C21" s="18" t="s">
        <v>150</v>
      </c>
      <c r="D21" s="19">
        <f t="shared" si="0"/>
        <v>9856</v>
      </c>
      <c r="E21" s="18">
        <v>352</v>
      </c>
    </row>
    <row r="22" spans="1:5">
      <c r="A22" s="18" t="s">
        <v>144</v>
      </c>
      <c r="B22" s="18">
        <v>1050</v>
      </c>
      <c r="C22" s="18" t="s">
        <v>150</v>
      </c>
      <c r="D22" s="19">
        <f t="shared" si="0"/>
        <v>9016</v>
      </c>
      <c r="E22" s="18">
        <v>322</v>
      </c>
    </row>
    <row r="23" spans="1:5">
      <c r="A23" s="18" t="s">
        <v>144</v>
      </c>
      <c r="B23" s="18">
        <v>2000</v>
      </c>
      <c r="C23" s="18" t="s">
        <v>150</v>
      </c>
      <c r="D23" s="19">
        <f t="shared" si="0"/>
        <v>17976</v>
      </c>
      <c r="E23" s="18">
        <v>642</v>
      </c>
    </row>
    <row r="24" spans="1:5">
      <c r="A24" s="18" t="s">
        <v>144</v>
      </c>
      <c r="B24" s="18">
        <v>2050</v>
      </c>
      <c r="C24" s="18" t="s">
        <v>150</v>
      </c>
      <c r="D24" s="19">
        <f t="shared" si="0"/>
        <v>14616</v>
      </c>
      <c r="E24" s="18">
        <v>522</v>
      </c>
    </row>
    <row r="25" spans="1:5">
      <c r="A25" s="18" t="s">
        <v>144</v>
      </c>
      <c r="B25" s="18">
        <v>3000</v>
      </c>
      <c r="C25" s="18" t="s">
        <v>150</v>
      </c>
      <c r="D25" s="19">
        <f t="shared" si="0"/>
        <v>3724</v>
      </c>
      <c r="E25" s="18">
        <v>133</v>
      </c>
    </row>
    <row r="26" spans="1:5">
      <c r="A26" s="18" t="s">
        <v>144</v>
      </c>
      <c r="B26" s="18">
        <v>3050</v>
      </c>
      <c r="C26" s="18" t="s">
        <v>150</v>
      </c>
      <c r="D26" s="19">
        <f t="shared" si="0"/>
        <v>12712</v>
      </c>
      <c r="E26" s="18">
        <v>454</v>
      </c>
    </row>
    <row r="27" spans="1:5">
      <c r="A27" s="18" t="s">
        <v>144</v>
      </c>
      <c r="B27" s="18">
        <v>1000</v>
      </c>
      <c r="C27" s="18" t="s">
        <v>151</v>
      </c>
      <c r="D27" s="19">
        <f t="shared" si="0"/>
        <v>16828</v>
      </c>
      <c r="E27" s="18">
        <v>601</v>
      </c>
    </row>
    <row r="28" spans="1:5">
      <c r="A28" s="18" t="s">
        <v>144</v>
      </c>
      <c r="B28" s="18">
        <v>1050</v>
      </c>
      <c r="C28" s="18" t="s">
        <v>151</v>
      </c>
      <c r="D28" s="19">
        <f t="shared" si="0"/>
        <v>14056</v>
      </c>
      <c r="E28" s="18">
        <v>502</v>
      </c>
    </row>
    <row r="29" spans="1:5">
      <c r="A29" s="18" t="s">
        <v>144</v>
      </c>
      <c r="B29" s="18">
        <v>2000</v>
      </c>
      <c r="C29" s="18" t="s">
        <v>151</v>
      </c>
      <c r="D29" s="19">
        <f t="shared" si="0"/>
        <v>8456</v>
      </c>
      <c r="E29" s="18">
        <v>302</v>
      </c>
    </row>
    <row r="30" spans="1:5">
      <c r="A30" s="18" t="s">
        <v>144</v>
      </c>
      <c r="B30" s="18">
        <v>2050</v>
      </c>
      <c r="C30" s="18" t="s">
        <v>151</v>
      </c>
      <c r="D30" s="19">
        <f t="shared" si="0"/>
        <v>17808</v>
      </c>
      <c r="E30" s="18">
        <v>636</v>
      </c>
    </row>
    <row r="31" spans="1:5">
      <c r="A31" s="18" t="s">
        <v>144</v>
      </c>
      <c r="B31" s="18">
        <v>3000</v>
      </c>
      <c r="C31" s="18" t="s">
        <v>151</v>
      </c>
      <c r="D31" s="19">
        <f t="shared" si="0"/>
        <v>3416</v>
      </c>
      <c r="E31" s="18">
        <v>122</v>
      </c>
    </row>
    <row r="32" spans="1:5">
      <c r="A32" s="18" t="s">
        <v>144</v>
      </c>
      <c r="B32" s="18">
        <v>3050</v>
      </c>
      <c r="C32" s="18" t="s">
        <v>151</v>
      </c>
      <c r="D32" s="19">
        <f t="shared" si="0"/>
        <v>13020</v>
      </c>
      <c r="E32" s="18">
        <v>465</v>
      </c>
    </row>
    <row r="33" spans="1:5">
      <c r="A33" s="18" t="s">
        <v>152</v>
      </c>
      <c r="B33" s="18">
        <v>1000</v>
      </c>
      <c r="C33" s="18" t="s">
        <v>148</v>
      </c>
      <c r="D33" s="19">
        <f t="shared" si="0"/>
        <v>17780</v>
      </c>
      <c r="E33" s="18">
        <v>635</v>
      </c>
    </row>
    <row r="34" spans="1:5">
      <c r="A34" s="18" t="s">
        <v>152</v>
      </c>
      <c r="B34" s="18">
        <v>1050</v>
      </c>
      <c r="C34" s="18" t="s">
        <v>148</v>
      </c>
      <c r="D34" s="19">
        <f t="shared" si="0"/>
        <v>7140</v>
      </c>
      <c r="E34" s="18">
        <v>255</v>
      </c>
    </row>
    <row r="35" spans="1:5">
      <c r="A35" s="18" t="s">
        <v>152</v>
      </c>
      <c r="B35" s="18">
        <v>2000</v>
      </c>
      <c r="C35" s="18" t="s">
        <v>148</v>
      </c>
      <c r="D35" s="19">
        <f t="shared" si="0"/>
        <v>7448</v>
      </c>
      <c r="E35" s="18">
        <v>266</v>
      </c>
    </row>
    <row r="36" spans="1:5">
      <c r="A36" s="18" t="s">
        <v>152</v>
      </c>
      <c r="B36" s="18">
        <v>2050</v>
      </c>
      <c r="C36" s="18" t="s">
        <v>148</v>
      </c>
      <c r="D36" s="19">
        <f t="shared" si="0"/>
        <v>6608</v>
      </c>
      <c r="E36" s="18">
        <v>236</v>
      </c>
    </row>
    <row r="37" spans="1:5">
      <c r="A37" s="18" t="s">
        <v>152</v>
      </c>
      <c r="B37" s="18">
        <v>3000</v>
      </c>
      <c r="C37" s="18" t="s">
        <v>148</v>
      </c>
      <c r="D37" s="19">
        <f t="shared" si="0"/>
        <v>9856</v>
      </c>
      <c r="E37" s="18">
        <v>352</v>
      </c>
    </row>
    <row r="38" spans="1:5">
      <c r="A38" s="18" t="s">
        <v>152</v>
      </c>
      <c r="B38" s="18">
        <v>3050</v>
      </c>
      <c r="C38" s="18" t="s">
        <v>148</v>
      </c>
      <c r="D38" s="19">
        <f t="shared" si="0"/>
        <v>10248</v>
      </c>
      <c r="E38" s="18">
        <v>366</v>
      </c>
    </row>
    <row r="39" spans="1:5">
      <c r="A39" s="18" t="s">
        <v>152</v>
      </c>
      <c r="B39" s="18">
        <v>1000</v>
      </c>
      <c r="C39" s="18" t="s">
        <v>145</v>
      </c>
      <c r="D39" s="19">
        <f t="shared" si="0"/>
        <v>14616</v>
      </c>
      <c r="E39" s="18">
        <v>522</v>
      </c>
    </row>
    <row r="40" spans="1:5">
      <c r="A40" s="18" t="s">
        <v>152</v>
      </c>
      <c r="B40" s="18">
        <v>1050</v>
      </c>
      <c r="C40" s="18" t="s">
        <v>145</v>
      </c>
      <c r="D40" s="19">
        <f t="shared" si="0"/>
        <v>11816</v>
      </c>
      <c r="E40" s="18">
        <v>422</v>
      </c>
    </row>
    <row r="41" spans="1:5">
      <c r="A41" s="18" t="s">
        <v>152</v>
      </c>
      <c r="B41" s="18">
        <v>2000</v>
      </c>
      <c r="C41" s="18" t="s">
        <v>145</v>
      </c>
      <c r="D41" s="19">
        <f t="shared" si="0"/>
        <v>14896</v>
      </c>
      <c r="E41" s="18">
        <v>532</v>
      </c>
    </row>
    <row r="42" spans="1:5">
      <c r="A42" s="18" t="s">
        <v>152</v>
      </c>
      <c r="B42" s="18">
        <v>2050</v>
      </c>
      <c r="C42" s="18" t="s">
        <v>145</v>
      </c>
      <c r="D42" s="19">
        <f t="shared" si="0"/>
        <v>3724</v>
      </c>
      <c r="E42" s="18">
        <v>133</v>
      </c>
    </row>
    <row r="43" spans="1:5">
      <c r="A43" s="18" t="s">
        <v>152</v>
      </c>
      <c r="B43" s="18">
        <v>3000</v>
      </c>
      <c r="C43" s="18" t="s">
        <v>145</v>
      </c>
      <c r="D43" s="19">
        <f t="shared" si="0"/>
        <v>14616</v>
      </c>
      <c r="E43" s="18">
        <v>522</v>
      </c>
    </row>
    <row r="44" spans="1:5">
      <c r="A44" s="18" t="s">
        <v>152</v>
      </c>
      <c r="B44" s="18">
        <v>3050</v>
      </c>
      <c r="C44" s="18" t="s">
        <v>145</v>
      </c>
      <c r="D44" s="19">
        <f t="shared" si="0"/>
        <v>9016</v>
      </c>
      <c r="E44" s="18">
        <v>322</v>
      </c>
    </row>
    <row r="45" spans="1:5">
      <c r="A45" s="18" t="s">
        <v>152</v>
      </c>
      <c r="B45" s="18">
        <v>1000</v>
      </c>
      <c r="C45" s="18" t="s">
        <v>149</v>
      </c>
      <c r="D45" s="19">
        <f t="shared" si="0"/>
        <v>11928</v>
      </c>
      <c r="E45" s="18">
        <v>426</v>
      </c>
    </row>
    <row r="46" spans="1:5">
      <c r="A46" s="18" t="s">
        <v>152</v>
      </c>
      <c r="B46" s="18">
        <v>1050</v>
      </c>
      <c r="C46" s="18" t="s">
        <v>149</v>
      </c>
      <c r="D46" s="19">
        <f t="shared" si="0"/>
        <v>11480</v>
      </c>
      <c r="E46" s="18">
        <v>410</v>
      </c>
    </row>
    <row r="47" spans="1:5">
      <c r="A47" s="18" t="s">
        <v>152</v>
      </c>
      <c r="B47" s="18">
        <v>2000</v>
      </c>
      <c r="C47" s="18" t="s">
        <v>149</v>
      </c>
      <c r="D47" s="19">
        <f t="shared" si="0"/>
        <v>8960</v>
      </c>
      <c r="E47" s="18">
        <v>320</v>
      </c>
    </row>
    <row r="48" spans="1:5">
      <c r="A48" s="18" t="s">
        <v>152</v>
      </c>
      <c r="B48" s="18">
        <v>2050</v>
      </c>
      <c r="C48" s="18" t="s">
        <v>149</v>
      </c>
      <c r="D48" s="19">
        <f t="shared" si="0"/>
        <v>18284</v>
      </c>
      <c r="E48" s="18">
        <v>653</v>
      </c>
    </row>
    <row r="49" spans="1:5">
      <c r="A49" s="18" t="s">
        <v>152</v>
      </c>
      <c r="B49" s="18">
        <v>3000</v>
      </c>
      <c r="C49" s="18" t="s">
        <v>149</v>
      </c>
      <c r="D49" s="19">
        <f t="shared" si="0"/>
        <v>14028</v>
      </c>
      <c r="E49" s="18">
        <v>501</v>
      </c>
    </row>
    <row r="50" spans="1:5">
      <c r="A50" s="18" t="s">
        <v>152</v>
      </c>
      <c r="B50" s="18">
        <v>3050</v>
      </c>
      <c r="C50" s="18" t="s">
        <v>149</v>
      </c>
      <c r="D50" s="19">
        <f t="shared" si="0"/>
        <v>11256</v>
      </c>
      <c r="E50" s="18">
        <v>402</v>
      </c>
    </row>
    <row r="51" spans="1:5">
      <c r="A51" s="18" t="s">
        <v>152</v>
      </c>
      <c r="B51" s="18">
        <v>1000</v>
      </c>
      <c r="C51" s="18" t="s">
        <v>150</v>
      </c>
      <c r="D51" s="19">
        <f t="shared" si="0"/>
        <v>11760</v>
      </c>
      <c r="E51" s="18">
        <v>420</v>
      </c>
    </row>
    <row r="52" spans="1:5">
      <c r="A52" s="18" t="s">
        <v>152</v>
      </c>
      <c r="B52" s="18">
        <v>1050</v>
      </c>
      <c r="C52" s="18" t="s">
        <v>150</v>
      </c>
      <c r="D52" s="19">
        <f t="shared" si="0"/>
        <v>10080</v>
      </c>
      <c r="E52" s="18">
        <v>360</v>
      </c>
    </row>
    <row r="53" spans="1:5">
      <c r="A53" s="18" t="s">
        <v>152</v>
      </c>
      <c r="B53" s="18">
        <v>2000</v>
      </c>
      <c r="C53" s="18" t="s">
        <v>150</v>
      </c>
      <c r="D53" s="19">
        <f t="shared" si="0"/>
        <v>11760</v>
      </c>
      <c r="E53" s="18">
        <v>420</v>
      </c>
    </row>
    <row r="54" spans="1:5">
      <c r="A54" s="18" t="s">
        <v>152</v>
      </c>
      <c r="B54" s="18">
        <v>2050</v>
      </c>
      <c r="C54" s="18" t="s">
        <v>150</v>
      </c>
      <c r="D54" s="19">
        <f t="shared" si="0"/>
        <v>8484</v>
      </c>
      <c r="E54" s="18">
        <v>303</v>
      </c>
    </row>
    <row r="55" spans="1:5">
      <c r="A55" s="18" t="s">
        <v>152</v>
      </c>
      <c r="B55" s="18">
        <v>3000</v>
      </c>
      <c r="C55" s="18" t="s">
        <v>150</v>
      </c>
      <c r="D55" s="19">
        <f t="shared" si="0"/>
        <v>16856</v>
      </c>
      <c r="E55" s="18">
        <v>602</v>
      </c>
    </row>
    <row r="56" spans="1:5">
      <c r="A56" s="18" t="s">
        <v>152</v>
      </c>
      <c r="B56" s="18">
        <v>3050</v>
      </c>
      <c r="C56" s="18" t="s">
        <v>150</v>
      </c>
      <c r="D56" s="19">
        <f t="shared" si="0"/>
        <v>14560</v>
      </c>
      <c r="E56" s="18">
        <v>520</v>
      </c>
    </row>
    <row r="57" spans="1:5">
      <c r="A57" s="18" t="s">
        <v>152</v>
      </c>
      <c r="B57" s="18">
        <v>1000</v>
      </c>
      <c r="C57" s="18" t="s">
        <v>151</v>
      </c>
      <c r="D57" s="19">
        <f t="shared" si="0"/>
        <v>8456</v>
      </c>
      <c r="E57" s="18">
        <v>302</v>
      </c>
    </row>
    <row r="58" spans="1:5">
      <c r="A58" s="18" t="s">
        <v>152</v>
      </c>
      <c r="B58" s="18">
        <v>1050</v>
      </c>
      <c r="C58" s="18" t="s">
        <v>151</v>
      </c>
      <c r="D58" s="19">
        <f t="shared" si="0"/>
        <v>5684</v>
      </c>
      <c r="E58" s="18">
        <v>203</v>
      </c>
    </row>
    <row r="59" spans="1:5">
      <c r="A59" s="18" t="s">
        <v>152</v>
      </c>
      <c r="B59" s="18">
        <v>2000</v>
      </c>
      <c r="C59" s="18" t="s">
        <v>151</v>
      </c>
      <c r="D59" s="19">
        <f t="shared" si="0"/>
        <v>5740</v>
      </c>
      <c r="E59" s="18">
        <v>205</v>
      </c>
    </row>
    <row r="60" spans="1:5">
      <c r="A60" s="18" t="s">
        <v>152</v>
      </c>
      <c r="B60" s="18">
        <v>2050</v>
      </c>
      <c r="C60" s="18" t="s">
        <v>151</v>
      </c>
      <c r="D60" s="19">
        <f t="shared" si="0"/>
        <v>11228</v>
      </c>
      <c r="E60" s="18">
        <v>401</v>
      </c>
    </row>
    <row r="61" spans="1:5">
      <c r="A61" s="18" t="s">
        <v>152</v>
      </c>
      <c r="B61" s="18">
        <v>3000</v>
      </c>
      <c r="C61" s="18" t="s">
        <v>151</v>
      </c>
      <c r="D61" s="19">
        <f t="shared" si="0"/>
        <v>17360</v>
      </c>
      <c r="E61" s="18">
        <v>620</v>
      </c>
    </row>
    <row r="62" spans="1:5">
      <c r="A62" s="18" t="s">
        <v>152</v>
      </c>
      <c r="B62" s="18">
        <v>3050</v>
      </c>
      <c r="C62" s="18" t="s">
        <v>151</v>
      </c>
      <c r="D62" s="19">
        <f t="shared" si="0"/>
        <v>6524</v>
      </c>
      <c r="E62" s="18">
        <v>233</v>
      </c>
    </row>
    <row r="63" spans="1:5">
      <c r="A63" s="18" t="s">
        <v>153</v>
      </c>
      <c r="B63" s="18">
        <v>1000</v>
      </c>
      <c r="C63" s="18" t="s">
        <v>148</v>
      </c>
      <c r="D63" s="19">
        <f t="shared" si="0"/>
        <v>7084</v>
      </c>
      <c r="E63" s="18">
        <v>253</v>
      </c>
    </row>
    <row r="64" spans="1:5">
      <c r="A64" s="18" t="s">
        <v>153</v>
      </c>
      <c r="B64" s="18">
        <v>1050</v>
      </c>
      <c r="C64" s="18" t="s">
        <v>148</v>
      </c>
      <c r="D64" s="19">
        <f t="shared" si="0"/>
        <v>16828</v>
      </c>
      <c r="E64" s="18">
        <v>601</v>
      </c>
    </row>
    <row r="65" spans="1:5">
      <c r="A65" s="18" t="s">
        <v>153</v>
      </c>
      <c r="B65" s="18">
        <v>2000</v>
      </c>
      <c r="C65" s="18" t="s">
        <v>148</v>
      </c>
      <c r="D65" s="19">
        <f t="shared" si="0"/>
        <v>12096</v>
      </c>
      <c r="E65" s="18">
        <v>432</v>
      </c>
    </row>
    <row r="66" spans="1:5">
      <c r="A66" s="18" t="s">
        <v>153</v>
      </c>
      <c r="B66" s="18">
        <v>2050</v>
      </c>
      <c r="C66" s="18" t="s">
        <v>148</v>
      </c>
      <c r="D66" s="19">
        <f t="shared" si="0"/>
        <v>14616</v>
      </c>
      <c r="E66" s="18">
        <v>522</v>
      </c>
    </row>
    <row r="67" spans="1:5">
      <c r="A67" s="18" t="s">
        <v>153</v>
      </c>
      <c r="B67" s="18">
        <v>3000</v>
      </c>
      <c r="C67" s="18" t="s">
        <v>148</v>
      </c>
      <c r="D67" s="19">
        <f t="shared" ref="D67:D130" si="1">E67*28</f>
        <v>3724</v>
      </c>
      <c r="E67" s="18">
        <v>133</v>
      </c>
    </row>
    <row r="68" spans="1:5">
      <c r="A68" s="18" t="s">
        <v>153</v>
      </c>
      <c r="B68" s="18">
        <v>3050</v>
      </c>
      <c r="C68" s="18" t="s">
        <v>148</v>
      </c>
      <c r="D68" s="19">
        <f t="shared" si="1"/>
        <v>14616</v>
      </c>
      <c r="E68" s="18">
        <v>522</v>
      </c>
    </row>
    <row r="69" spans="1:5">
      <c r="A69" s="18" t="s">
        <v>153</v>
      </c>
      <c r="B69" s="18">
        <v>1000</v>
      </c>
      <c r="C69" s="18" t="s">
        <v>145</v>
      </c>
      <c r="D69" s="19">
        <f t="shared" si="1"/>
        <v>9016</v>
      </c>
      <c r="E69" s="18">
        <v>322</v>
      </c>
    </row>
    <row r="70" spans="1:5">
      <c r="A70" s="18" t="s">
        <v>153</v>
      </c>
      <c r="B70" s="18">
        <v>1050</v>
      </c>
      <c r="C70" s="18" t="s">
        <v>145</v>
      </c>
      <c r="D70" s="19">
        <f t="shared" si="1"/>
        <v>11928</v>
      </c>
      <c r="E70" s="18">
        <v>426</v>
      </c>
    </row>
    <row r="71" spans="1:5">
      <c r="A71" s="18" t="s">
        <v>153</v>
      </c>
      <c r="B71" s="18">
        <v>2000</v>
      </c>
      <c r="C71" s="18" t="s">
        <v>145</v>
      </c>
      <c r="D71" s="19">
        <f t="shared" si="1"/>
        <v>11480</v>
      </c>
      <c r="E71" s="18">
        <v>410</v>
      </c>
    </row>
    <row r="72" spans="1:5">
      <c r="A72" s="18" t="s">
        <v>153</v>
      </c>
      <c r="B72" s="18">
        <v>2050</v>
      </c>
      <c r="C72" s="18" t="s">
        <v>145</v>
      </c>
      <c r="D72" s="19">
        <f t="shared" si="1"/>
        <v>8960</v>
      </c>
      <c r="E72" s="18">
        <v>320</v>
      </c>
    </row>
    <row r="73" spans="1:5">
      <c r="A73" s="18" t="s">
        <v>153</v>
      </c>
      <c r="B73" s="18">
        <v>3000</v>
      </c>
      <c r="C73" s="18" t="s">
        <v>145</v>
      </c>
      <c r="D73" s="19">
        <f t="shared" si="1"/>
        <v>18284</v>
      </c>
      <c r="E73" s="18">
        <v>653</v>
      </c>
    </row>
    <row r="74" spans="1:5">
      <c r="A74" s="18" t="s">
        <v>153</v>
      </c>
      <c r="B74" s="18">
        <v>3050</v>
      </c>
      <c r="C74" s="18" t="s">
        <v>145</v>
      </c>
      <c r="D74" s="19">
        <f t="shared" si="1"/>
        <v>14028</v>
      </c>
      <c r="E74" s="18">
        <v>501</v>
      </c>
    </row>
    <row r="75" spans="1:5">
      <c r="A75" s="18" t="s">
        <v>153</v>
      </c>
      <c r="B75" s="18">
        <v>1000</v>
      </c>
      <c r="C75" s="18" t="s">
        <v>149</v>
      </c>
      <c r="D75" s="19">
        <f t="shared" si="1"/>
        <v>11256</v>
      </c>
      <c r="E75" s="18">
        <v>402</v>
      </c>
    </row>
    <row r="76" spans="1:5">
      <c r="A76" s="18" t="s">
        <v>153</v>
      </c>
      <c r="B76" s="18">
        <v>1050</v>
      </c>
      <c r="C76" s="18" t="s">
        <v>149</v>
      </c>
      <c r="D76" s="19">
        <f t="shared" si="1"/>
        <v>11760</v>
      </c>
      <c r="E76" s="18">
        <v>420</v>
      </c>
    </row>
    <row r="77" spans="1:5">
      <c r="A77" s="18" t="s">
        <v>153</v>
      </c>
      <c r="B77" s="18">
        <v>2000</v>
      </c>
      <c r="C77" s="18" t="s">
        <v>149</v>
      </c>
      <c r="D77" s="19">
        <f t="shared" si="1"/>
        <v>10080</v>
      </c>
      <c r="E77" s="18">
        <v>360</v>
      </c>
    </row>
    <row r="78" spans="1:5">
      <c r="A78" s="18" t="s">
        <v>153</v>
      </c>
      <c r="B78" s="18">
        <v>2050</v>
      </c>
      <c r="C78" s="18" t="s">
        <v>149</v>
      </c>
      <c r="D78" s="19">
        <f t="shared" si="1"/>
        <v>11760</v>
      </c>
      <c r="E78" s="18">
        <v>420</v>
      </c>
    </row>
    <row r="79" spans="1:5">
      <c r="A79" s="18" t="s">
        <v>153</v>
      </c>
      <c r="B79" s="18">
        <v>3000</v>
      </c>
      <c r="C79" s="18" t="s">
        <v>149</v>
      </c>
      <c r="D79" s="19">
        <f t="shared" si="1"/>
        <v>8484</v>
      </c>
      <c r="E79" s="18">
        <v>303</v>
      </c>
    </row>
    <row r="80" spans="1:5">
      <c r="A80" s="18" t="s">
        <v>153</v>
      </c>
      <c r="B80" s="18">
        <v>3050</v>
      </c>
      <c r="C80" s="18" t="s">
        <v>149</v>
      </c>
      <c r="D80" s="19">
        <f t="shared" si="1"/>
        <v>16856</v>
      </c>
      <c r="E80" s="18">
        <v>602</v>
      </c>
    </row>
    <row r="81" spans="1:5">
      <c r="A81" s="18" t="s">
        <v>153</v>
      </c>
      <c r="B81" s="18">
        <v>1000</v>
      </c>
      <c r="C81" s="18" t="s">
        <v>150</v>
      </c>
      <c r="D81" s="19">
        <f t="shared" si="1"/>
        <v>14560</v>
      </c>
      <c r="E81" s="18">
        <v>520</v>
      </c>
    </row>
    <row r="82" spans="1:5">
      <c r="A82" s="18" t="s">
        <v>153</v>
      </c>
      <c r="B82" s="18">
        <v>1050</v>
      </c>
      <c r="C82" s="18" t="s">
        <v>150</v>
      </c>
      <c r="D82" s="19">
        <f t="shared" si="1"/>
        <v>8456</v>
      </c>
      <c r="E82" s="18">
        <v>302</v>
      </c>
    </row>
    <row r="83" spans="1:5">
      <c r="A83" s="18" t="s">
        <v>153</v>
      </c>
      <c r="B83" s="18">
        <v>2000</v>
      </c>
      <c r="C83" s="18" t="s">
        <v>150</v>
      </c>
      <c r="D83" s="19">
        <f t="shared" si="1"/>
        <v>5684</v>
      </c>
      <c r="E83" s="18">
        <v>203</v>
      </c>
    </row>
    <row r="84" spans="1:5">
      <c r="A84" s="18" t="s">
        <v>153</v>
      </c>
      <c r="B84" s="18">
        <v>2050</v>
      </c>
      <c r="C84" s="18" t="s">
        <v>150</v>
      </c>
      <c r="D84" s="19">
        <f t="shared" si="1"/>
        <v>5740</v>
      </c>
      <c r="E84" s="18">
        <v>205</v>
      </c>
    </row>
    <row r="85" spans="1:5">
      <c r="A85" s="18" t="s">
        <v>153</v>
      </c>
      <c r="B85" s="18">
        <v>3000</v>
      </c>
      <c r="C85" s="18" t="s">
        <v>150</v>
      </c>
      <c r="D85" s="19">
        <f t="shared" si="1"/>
        <v>5936</v>
      </c>
      <c r="E85" s="18">
        <v>212</v>
      </c>
    </row>
    <row r="86" spans="1:5">
      <c r="A86" s="18" t="s">
        <v>153</v>
      </c>
      <c r="B86" s="18">
        <v>3050</v>
      </c>
      <c r="C86" s="18" t="s">
        <v>150</v>
      </c>
      <c r="D86" s="19">
        <f t="shared" si="1"/>
        <v>10136</v>
      </c>
      <c r="E86" s="18">
        <v>362</v>
      </c>
    </row>
    <row r="87" spans="1:5">
      <c r="A87" s="18" t="s">
        <v>153</v>
      </c>
      <c r="B87" s="18">
        <v>1000</v>
      </c>
      <c r="C87" s="18" t="s">
        <v>151</v>
      </c>
      <c r="D87" s="19">
        <f t="shared" si="1"/>
        <v>3388</v>
      </c>
      <c r="E87" s="18">
        <v>121</v>
      </c>
    </row>
    <row r="88" spans="1:5">
      <c r="A88" s="18" t="s">
        <v>153</v>
      </c>
      <c r="B88" s="18">
        <v>1050</v>
      </c>
      <c r="C88" s="18" t="s">
        <v>151</v>
      </c>
      <c r="D88" s="19">
        <f t="shared" si="1"/>
        <v>14056</v>
      </c>
      <c r="E88" s="18">
        <v>502</v>
      </c>
    </row>
    <row r="89" spans="1:5">
      <c r="A89" s="18" t="s">
        <v>153</v>
      </c>
      <c r="B89" s="18">
        <v>2000</v>
      </c>
      <c r="C89" s="18" t="s">
        <v>151</v>
      </c>
      <c r="D89" s="19">
        <f t="shared" si="1"/>
        <v>10136</v>
      </c>
      <c r="E89" s="18">
        <v>362</v>
      </c>
    </row>
    <row r="90" spans="1:5">
      <c r="A90" s="18" t="s">
        <v>153</v>
      </c>
      <c r="B90" s="18">
        <v>2050</v>
      </c>
      <c r="C90" s="18" t="s">
        <v>151</v>
      </c>
      <c r="D90" s="19">
        <f t="shared" si="1"/>
        <v>14588</v>
      </c>
      <c r="E90" s="18">
        <v>521</v>
      </c>
    </row>
    <row r="91" spans="1:5">
      <c r="A91" s="18" t="s">
        <v>153</v>
      </c>
      <c r="B91" s="18">
        <v>3000</v>
      </c>
      <c r="C91" s="18" t="s">
        <v>151</v>
      </c>
      <c r="D91" s="19">
        <f t="shared" si="1"/>
        <v>6552</v>
      </c>
      <c r="E91" s="18">
        <v>234</v>
      </c>
    </row>
    <row r="92" spans="1:5">
      <c r="A92" s="18" t="s">
        <v>153</v>
      </c>
      <c r="B92" s="18">
        <v>3050</v>
      </c>
      <c r="C92" s="18" t="s">
        <v>151</v>
      </c>
      <c r="D92" s="19">
        <f t="shared" si="1"/>
        <v>11788</v>
      </c>
      <c r="E92" s="18">
        <v>421</v>
      </c>
    </row>
    <row r="93" spans="1:5">
      <c r="A93" s="18" t="s">
        <v>144</v>
      </c>
      <c r="B93" s="18">
        <v>1000</v>
      </c>
      <c r="C93" s="18" t="s">
        <v>154</v>
      </c>
      <c r="D93" s="19">
        <f t="shared" si="1"/>
        <v>9072</v>
      </c>
      <c r="E93" s="18">
        <v>324</v>
      </c>
    </row>
    <row r="94" spans="1:5">
      <c r="A94" s="18" t="s">
        <v>144</v>
      </c>
      <c r="B94" s="18">
        <v>1050</v>
      </c>
      <c r="C94" s="18" t="s">
        <v>154</v>
      </c>
      <c r="D94" s="19">
        <f t="shared" si="1"/>
        <v>3388</v>
      </c>
      <c r="E94" s="18">
        <v>121</v>
      </c>
    </row>
    <row r="95" spans="1:5">
      <c r="A95" s="18" t="s">
        <v>144</v>
      </c>
      <c r="B95" s="18">
        <v>2000</v>
      </c>
      <c r="C95" s="18" t="s">
        <v>154</v>
      </c>
      <c r="D95" s="19">
        <f t="shared" si="1"/>
        <v>15176</v>
      </c>
      <c r="E95" s="18">
        <v>542</v>
      </c>
    </row>
    <row r="96" spans="1:5">
      <c r="A96" s="18" t="s">
        <v>144</v>
      </c>
      <c r="B96" s="18">
        <v>2050</v>
      </c>
      <c r="C96" s="18" t="s">
        <v>154</v>
      </c>
      <c r="D96" s="19">
        <f t="shared" si="1"/>
        <v>5964</v>
      </c>
      <c r="E96" s="18">
        <v>213</v>
      </c>
    </row>
    <row r="97" spans="1:5">
      <c r="A97" s="18" t="s">
        <v>144</v>
      </c>
      <c r="B97" s="18">
        <v>3000</v>
      </c>
      <c r="C97" s="18" t="s">
        <v>154</v>
      </c>
      <c r="D97" s="19">
        <f t="shared" si="1"/>
        <v>3724</v>
      </c>
      <c r="E97" s="18">
        <v>133</v>
      </c>
    </row>
    <row r="98" spans="1:5">
      <c r="A98" s="18" t="s">
        <v>144</v>
      </c>
      <c r="B98" s="18">
        <v>3050</v>
      </c>
      <c r="C98" s="18" t="s">
        <v>154</v>
      </c>
      <c r="D98" s="19">
        <f t="shared" si="1"/>
        <v>14616</v>
      </c>
      <c r="E98" s="18">
        <v>522</v>
      </c>
    </row>
    <row r="99" spans="1:5">
      <c r="A99" s="18" t="s">
        <v>144</v>
      </c>
      <c r="B99" s="18">
        <v>1000</v>
      </c>
      <c r="C99" s="18" t="s">
        <v>155</v>
      </c>
      <c r="D99" s="19">
        <f t="shared" si="1"/>
        <v>9016</v>
      </c>
      <c r="E99" s="18">
        <v>322</v>
      </c>
    </row>
    <row r="100" spans="1:5">
      <c r="A100" s="18" t="s">
        <v>144</v>
      </c>
      <c r="B100" s="18">
        <v>1050</v>
      </c>
      <c r="C100" s="18" t="s">
        <v>155</v>
      </c>
      <c r="D100" s="19">
        <f t="shared" si="1"/>
        <v>11928</v>
      </c>
      <c r="E100" s="18">
        <v>426</v>
      </c>
    </row>
    <row r="101" spans="1:5">
      <c r="A101" s="18" t="s">
        <v>144</v>
      </c>
      <c r="B101" s="18">
        <v>2000</v>
      </c>
      <c r="C101" s="18" t="s">
        <v>155</v>
      </c>
      <c r="D101" s="19">
        <f t="shared" si="1"/>
        <v>11480</v>
      </c>
      <c r="E101" s="18">
        <v>410</v>
      </c>
    </row>
    <row r="102" spans="1:5">
      <c r="A102" s="18" t="s">
        <v>144</v>
      </c>
      <c r="B102" s="18">
        <v>2050</v>
      </c>
      <c r="C102" s="18" t="s">
        <v>155</v>
      </c>
      <c r="D102" s="19">
        <f t="shared" si="1"/>
        <v>8960</v>
      </c>
      <c r="E102" s="18">
        <v>320</v>
      </c>
    </row>
    <row r="103" spans="1:5">
      <c r="A103" s="18" t="s">
        <v>144</v>
      </c>
      <c r="B103" s="18">
        <v>3000</v>
      </c>
      <c r="C103" s="18" t="s">
        <v>155</v>
      </c>
      <c r="D103" s="19">
        <f t="shared" si="1"/>
        <v>18284</v>
      </c>
      <c r="E103" s="18">
        <v>653</v>
      </c>
    </row>
    <row r="104" spans="1:5">
      <c r="A104" s="18" t="s">
        <v>144</v>
      </c>
      <c r="B104" s="18">
        <v>3050</v>
      </c>
      <c r="C104" s="18" t="s">
        <v>155</v>
      </c>
      <c r="D104" s="19">
        <f t="shared" si="1"/>
        <v>14028</v>
      </c>
      <c r="E104" s="18">
        <v>501</v>
      </c>
    </row>
    <row r="105" spans="1:5">
      <c r="A105" s="18" t="s">
        <v>144</v>
      </c>
      <c r="B105" s="18">
        <v>1000</v>
      </c>
      <c r="C105" s="18" t="s">
        <v>156</v>
      </c>
      <c r="D105" s="19">
        <f t="shared" si="1"/>
        <v>11256</v>
      </c>
      <c r="E105" s="18">
        <v>402</v>
      </c>
    </row>
    <row r="106" spans="1:5">
      <c r="A106" s="18" t="s">
        <v>144</v>
      </c>
      <c r="B106" s="18">
        <v>1050</v>
      </c>
      <c r="C106" s="18" t="s">
        <v>156</v>
      </c>
      <c r="D106" s="19">
        <f t="shared" si="1"/>
        <v>11760</v>
      </c>
      <c r="E106" s="18">
        <v>420</v>
      </c>
    </row>
    <row r="107" spans="1:5">
      <c r="A107" s="18" t="s">
        <v>144</v>
      </c>
      <c r="B107" s="18">
        <v>2000</v>
      </c>
      <c r="C107" s="18" t="s">
        <v>156</v>
      </c>
      <c r="D107" s="19">
        <f t="shared" si="1"/>
        <v>10080</v>
      </c>
      <c r="E107" s="18">
        <v>360</v>
      </c>
    </row>
    <row r="108" spans="1:5">
      <c r="A108" s="18" t="s">
        <v>144</v>
      </c>
      <c r="B108" s="18">
        <v>2050</v>
      </c>
      <c r="C108" s="18" t="s">
        <v>156</v>
      </c>
      <c r="D108" s="19">
        <f t="shared" si="1"/>
        <v>11760</v>
      </c>
      <c r="E108" s="18">
        <v>420</v>
      </c>
    </row>
    <row r="109" spans="1:5">
      <c r="A109" s="18" t="s">
        <v>144</v>
      </c>
      <c r="B109" s="18">
        <v>3000</v>
      </c>
      <c r="C109" s="18" t="s">
        <v>156</v>
      </c>
      <c r="D109" s="19">
        <f t="shared" si="1"/>
        <v>8484</v>
      </c>
      <c r="E109" s="18">
        <v>303</v>
      </c>
    </row>
    <row r="110" spans="1:5">
      <c r="A110" s="18" t="s">
        <v>144</v>
      </c>
      <c r="B110" s="18">
        <v>3050</v>
      </c>
      <c r="C110" s="18" t="s">
        <v>156</v>
      </c>
      <c r="D110" s="19">
        <f t="shared" si="1"/>
        <v>16856</v>
      </c>
      <c r="E110" s="18">
        <v>602</v>
      </c>
    </row>
    <row r="111" spans="1:5">
      <c r="A111" s="18" t="s">
        <v>144</v>
      </c>
      <c r="B111" s="18">
        <v>1000</v>
      </c>
      <c r="C111" s="18" t="s">
        <v>157</v>
      </c>
      <c r="D111" s="19">
        <f t="shared" si="1"/>
        <v>14560</v>
      </c>
      <c r="E111" s="18">
        <v>520</v>
      </c>
    </row>
    <row r="112" spans="1:5">
      <c r="A112" s="18" t="s">
        <v>144</v>
      </c>
      <c r="B112" s="18">
        <v>1050</v>
      </c>
      <c r="C112" s="18" t="s">
        <v>157</v>
      </c>
      <c r="D112" s="19">
        <f t="shared" si="1"/>
        <v>8456</v>
      </c>
      <c r="E112" s="18">
        <v>302</v>
      </c>
    </row>
    <row r="113" spans="1:5">
      <c r="A113" s="18" t="s">
        <v>144</v>
      </c>
      <c r="B113" s="18">
        <v>2000</v>
      </c>
      <c r="C113" s="18" t="s">
        <v>157</v>
      </c>
      <c r="D113" s="19">
        <f t="shared" si="1"/>
        <v>5684</v>
      </c>
      <c r="E113" s="18">
        <v>203</v>
      </c>
    </row>
    <row r="114" spans="1:5">
      <c r="A114" s="18" t="s">
        <v>144</v>
      </c>
      <c r="B114" s="18">
        <v>2050</v>
      </c>
      <c r="C114" s="18" t="s">
        <v>157</v>
      </c>
      <c r="D114" s="19">
        <f t="shared" si="1"/>
        <v>5740</v>
      </c>
      <c r="E114" s="18">
        <v>205</v>
      </c>
    </row>
    <row r="115" spans="1:5">
      <c r="A115" s="18" t="s">
        <v>144</v>
      </c>
      <c r="B115" s="18">
        <v>3000</v>
      </c>
      <c r="C115" s="18" t="s">
        <v>157</v>
      </c>
      <c r="D115" s="19">
        <f t="shared" si="1"/>
        <v>5936</v>
      </c>
      <c r="E115" s="18">
        <v>212</v>
      </c>
    </row>
    <row r="116" spans="1:5">
      <c r="A116" s="18" t="s">
        <v>144</v>
      </c>
      <c r="B116" s="18">
        <v>3050</v>
      </c>
      <c r="C116" s="18" t="s">
        <v>157</v>
      </c>
      <c r="D116" s="19">
        <f t="shared" si="1"/>
        <v>10136</v>
      </c>
      <c r="E116" s="18">
        <v>362</v>
      </c>
    </row>
    <row r="117" spans="1:5">
      <c r="A117" s="18" t="s">
        <v>144</v>
      </c>
      <c r="B117" s="18">
        <v>1000</v>
      </c>
      <c r="C117" s="18" t="s">
        <v>158</v>
      </c>
      <c r="D117" s="19">
        <f t="shared" si="1"/>
        <v>3388</v>
      </c>
      <c r="E117" s="18">
        <v>121</v>
      </c>
    </row>
    <row r="118" spans="1:5">
      <c r="A118" s="18" t="s">
        <v>144</v>
      </c>
      <c r="B118" s="18">
        <v>1050</v>
      </c>
      <c r="C118" s="18" t="s">
        <v>158</v>
      </c>
      <c r="D118" s="19">
        <f t="shared" si="1"/>
        <v>14056</v>
      </c>
      <c r="E118" s="18">
        <v>502</v>
      </c>
    </row>
    <row r="119" spans="1:5">
      <c r="A119" s="18" t="s">
        <v>144</v>
      </c>
      <c r="B119" s="18">
        <v>2000</v>
      </c>
      <c r="C119" s="18" t="s">
        <v>158</v>
      </c>
      <c r="D119" s="19">
        <f t="shared" si="1"/>
        <v>10136</v>
      </c>
      <c r="E119" s="18">
        <v>362</v>
      </c>
    </row>
    <row r="120" spans="1:5">
      <c r="A120" s="18" t="s">
        <v>144</v>
      </c>
      <c r="B120" s="18">
        <v>2050</v>
      </c>
      <c r="C120" s="18" t="s">
        <v>158</v>
      </c>
      <c r="D120" s="19">
        <f t="shared" si="1"/>
        <v>14588</v>
      </c>
      <c r="E120" s="18">
        <v>521</v>
      </c>
    </row>
    <row r="121" spans="1:5">
      <c r="A121" s="18" t="s">
        <v>144</v>
      </c>
      <c r="B121" s="18">
        <v>3000</v>
      </c>
      <c r="C121" s="18" t="s">
        <v>158</v>
      </c>
      <c r="D121" s="19">
        <f t="shared" si="1"/>
        <v>6552</v>
      </c>
      <c r="E121" s="18">
        <v>234</v>
      </c>
    </row>
    <row r="122" spans="1:5">
      <c r="A122" s="18" t="s">
        <v>144</v>
      </c>
      <c r="B122" s="18">
        <v>3050</v>
      </c>
      <c r="C122" s="18" t="s">
        <v>158</v>
      </c>
      <c r="D122" s="19">
        <f t="shared" si="1"/>
        <v>11788</v>
      </c>
      <c r="E122" s="18">
        <v>421</v>
      </c>
    </row>
    <row r="123" spans="1:5">
      <c r="A123" s="18" t="s">
        <v>152</v>
      </c>
      <c r="B123" s="18">
        <v>1000</v>
      </c>
      <c r="C123" s="18" t="s">
        <v>154</v>
      </c>
      <c r="D123" s="19">
        <f t="shared" si="1"/>
        <v>9072</v>
      </c>
      <c r="E123" s="18">
        <v>324</v>
      </c>
    </row>
    <row r="124" spans="1:5">
      <c r="A124" s="18" t="s">
        <v>152</v>
      </c>
      <c r="B124" s="18">
        <v>1050</v>
      </c>
      <c r="C124" s="18" t="s">
        <v>154</v>
      </c>
      <c r="D124" s="19">
        <f t="shared" si="1"/>
        <v>3388</v>
      </c>
      <c r="E124" s="18">
        <v>121</v>
      </c>
    </row>
    <row r="125" spans="1:5">
      <c r="A125" s="18" t="s">
        <v>152</v>
      </c>
      <c r="B125" s="18">
        <v>2000</v>
      </c>
      <c r="C125" s="18" t="s">
        <v>154</v>
      </c>
      <c r="D125" s="19">
        <f t="shared" si="1"/>
        <v>15176</v>
      </c>
      <c r="E125" s="18">
        <v>542</v>
      </c>
    </row>
    <row r="126" spans="1:5">
      <c r="A126" s="18" t="s">
        <v>152</v>
      </c>
      <c r="B126" s="18">
        <v>2050</v>
      </c>
      <c r="C126" s="18" t="s">
        <v>154</v>
      </c>
      <c r="D126" s="19">
        <f t="shared" si="1"/>
        <v>5964</v>
      </c>
      <c r="E126" s="18">
        <v>213</v>
      </c>
    </row>
    <row r="127" spans="1:5">
      <c r="A127" s="18" t="s">
        <v>152</v>
      </c>
      <c r="B127" s="18">
        <v>3000</v>
      </c>
      <c r="C127" s="18" t="s">
        <v>154</v>
      </c>
      <c r="D127" s="19">
        <f t="shared" si="1"/>
        <v>14588</v>
      </c>
      <c r="E127" s="18">
        <v>521</v>
      </c>
    </row>
    <row r="128" spans="1:5">
      <c r="A128" s="18" t="s">
        <v>152</v>
      </c>
      <c r="B128" s="18">
        <v>3050</v>
      </c>
      <c r="C128" s="18" t="s">
        <v>154</v>
      </c>
      <c r="D128" s="19">
        <f t="shared" si="1"/>
        <v>17640</v>
      </c>
      <c r="E128" s="18">
        <v>630</v>
      </c>
    </row>
    <row r="129" spans="1:5">
      <c r="A129" s="18" t="s">
        <v>152</v>
      </c>
      <c r="B129" s="18">
        <v>1000</v>
      </c>
      <c r="C129" s="18" t="s">
        <v>155</v>
      </c>
      <c r="D129" s="19">
        <f t="shared" si="1"/>
        <v>9856</v>
      </c>
      <c r="E129" s="18">
        <v>352</v>
      </c>
    </row>
    <row r="130" spans="1:5">
      <c r="A130" s="18" t="s">
        <v>152</v>
      </c>
      <c r="B130" s="18">
        <v>1050</v>
      </c>
      <c r="C130" s="18" t="s">
        <v>155</v>
      </c>
      <c r="D130" s="19">
        <f t="shared" si="1"/>
        <v>9016</v>
      </c>
      <c r="E130" s="18">
        <v>322</v>
      </c>
    </row>
    <row r="131" spans="1:5">
      <c r="A131" s="18" t="s">
        <v>152</v>
      </c>
      <c r="B131" s="18">
        <v>2000</v>
      </c>
      <c r="C131" s="18" t="s">
        <v>155</v>
      </c>
      <c r="D131" s="19">
        <f t="shared" ref="D131:D194" si="2">E131*28</f>
        <v>17976</v>
      </c>
      <c r="E131" s="18">
        <v>642</v>
      </c>
    </row>
    <row r="132" spans="1:5">
      <c r="A132" s="18" t="s">
        <v>152</v>
      </c>
      <c r="B132" s="18">
        <v>2050</v>
      </c>
      <c r="C132" s="18" t="s">
        <v>155</v>
      </c>
      <c r="D132" s="19">
        <f t="shared" si="2"/>
        <v>14616</v>
      </c>
      <c r="E132" s="18">
        <v>522</v>
      </c>
    </row>
    <row r="133" spans="1:5">
      <c r="A133" s="18" t="s">
        <v>152</v>
      </c>
      <c r="B133" s="18">
        <v>3000</v>
      </c>
      <c r="C133" s="18" t="s">
        <v>155</v>
      </c>
      <c r="D133" s="19">
        <f t="shared" si="2"/>
        <v>3724</v>
      </c>
      <c r="E133" s="18">
        <v>133</v>
      </c>
    </row>
    <row r="134" spans="1:5">
      <c r="A134" s="18" t="s">
        <v>152</v>
      </c>
      <c r="B134" s="18">
        <v>3050</v>
      </c>
      <c r="C134" s="18" t="s">
        <v>155</v>
      </c>
      <c r="D134" s="19">
        <f t="shared" si="2"/>
        <v>12712</v>
      </c>
      <c r="E134" s="18">
        <v>454</v>
      </c>
    </row>
    <row r="135" spans="1:5">
      <c r="A135" s="18" t="s">
        <v>152</v>
      </c>
      <c r="B135" s="18">
        <v>1000</v>
      </c>
      <c r="C135" s="18" t="s">
        <v>156</v>
      </c>
      <c r="D135" s="19">
        <f t="shared" si="2"/>
        <v>16828</v>
      </c>
      <c r="E135" s="18">
        <v>601</v>
      </c>
    </row>
    <row r="136" spans="1:5">
      <c r="A136" s="18" t="s">
        <v>152</v>
      </c>
      <c r="B136" s="18">
        <v>1050</v>
      </c>
      <c r="C136" s="18" t="s">
        <v>156</v>
      </c>
      <c r="D136" s="19">
        <f t="shared" si="2"/>
        <v>14056</v>
      </c>
      <c r="E136" s="18">
        <v>502</v>
      </c>
    </row>
    <row r="137" spans="1:5">
      <c r="A137" s="18" t="s">
        <v>152</v>
      </c>
      <c r="B137" s="18">
        <v>2000</v>
      </c>
      <c r="C137" s="18" t="s">
        <v>156</v>
      </c>
      <c r="D137" s="19">
        <f t="shared" si="2"/>
        <v>8456</v>
      </c>
      <c r="E137" s="18">
        <v>302</v>
      </c>
    </row>
    <row r="138" spans="1:5">
      <c r="A138" s="18" t="s">
        <v>152</v>
      </c>
      <c r="B138" s="18">
        <v>2050</v>
      </c>
      <c r="C138" s="18" t="s">
        <v>156</v>
      </c>
      <c r="D138" s="19">
        <f t="shared" si="2"/>
        <v>17808</v>
      </c>
      <c r="E138" s="18">
        <v>636</v>
      </c>
    </row>
    <row r="139" spans="1:5">
      <c r="A139" s="18" t="s">
        <v>152</v>
      </c>
      <c r="B139" s="18">
        <v>3000</v>
      </c>
      <c r="C139" s="18" t="s">
        <v>156</v>
      </c>
      <c r="D139" s="19">
        <f t="shared" si="2"/>
        <v>3416</v>
      </c>
      <c r="E139" s="18">
        <v>122</v>
      </c>
    </row>
    <row r="140" spans="1:5">
      <c r="A140" s="18" t="s">
        <v>152</v>
      </c>
      <c r="B140" s="18">
        <v>3050</v>
      </c>
      <c r="C140" s="18" t="s">
        <v>156</v>
      </c>
      <c r="D140" s="19">
        <f t="shared" si="2"/>
        <v>13020</v>
      </c>
      <c r="E140" s="18">
        <v>465</v>
      </c>
    </row>
    <row r="141" spans="1:5">
      <c r="A141" s="18" t="s">
        <v>152</v>
      </c>
      <c r="B141" s="18">
        <v>1000</v>
      </c>
      <c r="C141" s="18" t="s">
        <v>157</v>
      </c>
      <c r="D141" s="19">
        <f t="shared" si="2"/>
        <v>17780</v>
      </c>
      <c r="E141" s="18">
        <v>635</v>
      </c>
    </row>
    <row r="142" spans="1:5">
      <c r="A142" s="18" t="s">
        <v>152</v>
      </c>
      <c r="B142" s="18">
        <v>1050</v>
      </c>
      <c r="C142" s="18" t="s">
        <v>157</v>
      </c>
      <c r="D142" s="19">
        <f t="shared" si="2"/>
        <v>7140</v>
      </c>
      <c r="E142" s="18">
        <v>255</v>
      </c>
    </row>
    <row r="143" spans="1:5">
      <c r="A143" s="18" t="s">
        <v>152</v>
      </c>
      <c r="B143" s="18">
        <v>2000</v>
      </c>
      <c r="C143" s="18" t="s">
        <v>157</v>
      </c>
      <c r="D143" s="19">
        <f t="shared" si="2"/>
        <v>7448</v>
      </c>
      <c r="E143" s="18">
        <v>266</v>
      </c>
    </row>
    <row r="144" spans="1:5">
      <c r="A144" s="18" t="s">
        <v>152</v>
      </c>
      <c r="B144" s="18">
        <v>2050</v>
      </c>
      <c r="C144" s="18" t="s">
        <v>157</v>
      </c>
      <c r="D144" s="19">
        <f t="shared" si="2"/>
        <v>6608</v>
      </c>
      <c r="E144" s="18">
        <v>236</v>
      </c>
    </row>
    <row r="145" spans="1:5">
      <c r="A145" s="18" t="s">
        <v>152</v>
      </c>
      <c r="B145" s="18">
        <v>3000</v>
      </c>
      <c r="C145" s="18" t="s">
        <v>157</v>
      </c>
      <c r="D145" s="19">
        <f t="shared" si="2"/>
        <v>9856</v>
      </c>
      <c r="E145" s="18">
        <v>352</v>
      </c>
    </row>
    <row r="146" spans="1:5">
      <c r="A146" s="18" t="s">
        <v>152</v>
      </c>
      <c r="B146" s="18">
        <v>3050</v>
      </c>
      <c r="C146" s="18" t="s">
        <v>157</v>
      </c>
      <c r="D146" s="19">
        <f t="shared" si="2"/>
        <v>10248</v>
      </c>
      <c r="E146" s="18">
        <v>366</v>
      </c>
    </row>
    <row r="147" spans="1:5">
      <c r="A147" s="18" t="s">
        <v>152</v>
      </c>
      <c r="B147" s="18">
        <v>1000</v>
      </c>
      <c r="C147" s="18" t="s">
        <v>158</v>
      </c>
      <c r="D147" s="19">
        <f t="shared" si="2"/>
        <v>14616</v>
      </c>
      <c r="E147" s="18">
        <v>522</v>
      </c>
    </row>
    <row r="148" spans="1:5">
      <c r="A148" s="18" t="s">
        <v>152</v>
      </c>
      <c r="B148" s="18">
        <v>1050</v>
      </c>
      <c r="C148" s="18" t="s">
        <v>158</v>
      </c>
      <c r="D148" s="19">
        <f t="shared" si="2"/>
        <v>11816</v>
      </c>
      <c r="E148" s="18">
        <v>422</v>
      </c>
    </row>
    <row r="149" spans="1:5">
      <c r="A149" s="18" t="s">
        <v>152</v>
      </c>
      <c r="B149" s="18">
        <v>2000</v>
      </c>
      <c r="C149" s="18" t="s">
        <v>158</v>
      </c>
      <c r="D149" s="19">
        <f t="shared" si="2"/>
        <v>14896</v>
      </c>
      <c r="E149" s="18">
        <v>532</v>
      </c>
    </row>
    <row r="150" spans="1:5">
      <c r="A150" s="18" t="s">
        <v>152</v>
      </c>
      <c r="B150" s="18">
        <v>2050</v>
      </c>
      <c r="C150" s="18" t="s">
        <v>158</v>
      </c>
      <c r="D150" s="19">
        <f t="shared" si="2"/>
        <v>3724</v>
      </c>
      <c r="E150" s="18">
        <v>133</v>
      </c>
    </row>
    <row r="151" spans="1:5">
      <c r="A151" s="18" t="s">
        <v>152</v>
      </c>
      <c r="B151" s="18">
        <v>3000</v>
      </c>
      <c r="C151" s="18" t="s">
        <v>158</v>
      </c>
      <c r="D151" s="19">
        <f t="shared" si="2"/>
        <v>14616</v>
      </c>
      <c r="E151" s="18">
        <v>522</v>
      </c>
    </row>
    <row r="152" spans="1:5">
      <c r="A152" s="18" t="s">
        <v>152</v>
      </c>
      <c r="B152" s="18">
        <v>3050</v>
      </c>
      <c r="C152" s="18" t="s">
        <v>158</v>
      </c>
      <c r="D152" s="19">
        <f t="shared" si="2"/>
        <v>9016</v>
      </c>
      <c r="E152" s="18">
        <v>322</v>
      </c>
    </row>
    <row r="153" spans="1:5">
      <c r="A153" s="18" t="s">
        <v>153</v>
      </c>
      <c r="B153" s="18">
        <v>1000</v>
      </c>
      <c r="C153" s="18" t="s">
        <v>154</v>
      </c>
      <c r="D153" s="19">
        <f t="shared" si="2"/>
        <v>5936</v>
      </c>
      <c r="E153" s="18">
        <v>212</v>
      </c>
    </row>
    <row r="154" spans="1:5">
      <c r="A154" s="18" t="s">
        <v>153</v>
      </c>
      <c r="B154" s="18">
        <v>1050</v>
      </c>
      <c r="C154" s="18" t="s">
        <v>154</v>
      </c>
      <c r="D154" s="19">
        <f t="shared" si="2"/>
        <v>10136</v>
      </c>
      <c r="E154" s="18">
        <v>362</v>
      </c>
    </row>
    <row r="155" spans="1:5">
      <c r="A155" s="18" t="s">
        <v>153</v>
      </c>
      <c r="B155" s="18">
        <v>2000</v>
      </c>
      <c r="C155" s="18" t="s">
        <v>154</v>
      </c>
      <c r="D155" s="19">
        <f t="shared" si="2"/>
        <v>3388</v>
      </c>
      <c r="E155" s="18">
        <v>121</v>
      </c>
    </row>
    <row r="156" spans="1:5">
      <c r="A156" s="18" t="s">
        <v>153</v>
      </c>
      <c r="B156" s="18">
        <v>2050</v>
      </c>
      <c r="C156" s="18" t="s">
        <v>154</v>
      </c>
      <c r="D156" s="19">
        <f t="shared" si="2"/>
        <v>14056</v>
      </c>
      <c r="E156" s="18">
        <v>502</v>
      </c>
    </row>
    <row r="157" spans="1:5">
      <c r="A157" s="18" t="s">
        <v>153</v>
      </c>
      <c r="B157" s="18">
        <v>3000</v>
      </c>
      <c r="C157" s="18" t="s">
        <v>154</v>
      </c>
      <c r="D157" s="19">
        <f t="shared" si="2"/>
        <v>10136</v>
      </c>
      <c r="E157" s="18">
        <v>362</v>
      </c>
    </row>
    <row r="158" spans="1:5">
      <c r="A158" s="18" t="s">
        <v>153</v>
      </c>
      <c r="B158" s="18">
        <v>3050</v>
      </c>
      <c r="C158" s="18" t="s">
        <v>154</v>
      </c>
      <c r="D158" s="19">
        <f t="shared" si="2"/>
        <v>14588</v>
      </c>
      <c r="E158" s="18">
        <v>521</v>
      </c>
    </row>
    <row r="159" spans="1:5">
      <c r="A159" s="18" t="s">
        <v>153</v>
      </c>
      <c r="B159" s="18">
        <v>1000</v>
      </c>
      <c r="C159" s="18" t="s">
        <v>155</v>
      </c>
      <c r="D159" s="19">
        <f t="shared" si="2"/>
        <v>6552</v>
      </c>
      <c r="E159" s="18">
        <v>234</v>
      </c>
    </row>
    <row r="160" spans="1:5">
      <c r="A160" s="18" t="s">
        <v>153</v>
      </c>
      <c r="B160" s="18">
        <v>1050</v>
      </c>
      <c r="C160" s="18" t="s">
        <v>155</v>
      </c>
      <c r="D160" s="19">
        <f t="shared" si="2"/>
        <v>11788</v>
      </c>
      <c r="E160" s="18">
        <v>421</v>
      </c>
    </row>
    <row r="161" spans="1:5">
      <c r="A161" s="18" t="s">
        <v>153</v>
      </c>
      <c r="B161" s="18">
        <v>2000</v>
      </c>
      <c r="C161" s="18" t="s">
        <v>155</v>
      </c>
      <c r="D161" s="19">
        <f t="shared" si="2"/>
        <v>9072</v>
      </c>
      <c r="E161" s="18">
        <v>324</v>
      </c>
    </row>
    <row r="162" spans="1:5">
      <c r="A162" s="18" t="s">
        <v>153</v>
      </c>
      <c r="B162" s="18">
        <v>2050</v>
      </c>
      <c r="C162" s="18" t="s">
        <v>155</v>
      </c>
      <c r="D162" s="19">
        <f t="shared" si="2"/>
        <v>3388</v>
      </c>
      <c r="E162" s="18">
        <v>121</v>
      </c>
    </row>
    <row r="163" spans="1:5">
      <c r="A163" s="18" t="s">
        <v>153</v>
      </c>
      <c r="B163" s="18">
        <v>3000</v>
      </c>
      <c r="C163" s="18" t="s">
        <v>155</v>
      </c>
      <c r="D163" s="19">
        <f t="shared" si="2"/>
        <v>15176</v>
      </c>
      <c r="E163" s="18">
        <v>542</v>
      </c>
    </row>
    <row r="164" spans="1:5">
      <c r="A164" s="18" t="s">
        <v>153</v>
      </c>
      <c r="B164" s="18">
        <v>3050</v>
      </c>
      <c r="C164" s="18" t="s">
        <v>155</v>
      </c>
      <c r="D164" s="19">
        <f t="shared" si="2"/>
        <v>5964</v>
      </c>
      <c r="E164" s="18">
        <v>213</v>
      </c>
    </row>
    <row r="165" spans="1:5">
      <c r="A165" s="18" t="s">
        <v>153</v>
      </c>
      <c r="B165" s="18">
        <v>1000</v>
      </c>
      <c r="C165" s="18" t="s">
        <v>156</v>
      </c>
      <c r="D165" s="19">
        <f t="shared" si="2"/>
        <v>14588</v>
      </c>
      <c r="E165" s="18">
        <v>521</v>
      </c>
    </row>
    <row r="166" spans="1:5">
      <c r="A166" s="18" t="s">
        <v>153</v>
      </c>
      <c r="B166" s="18">
        <v>1050</v>
      </c>
      <c r="C166" s="18" t="s">
        <v>156</v>
      </c>
      <c r="D166" s="19">
        <f t="shared" si="2"/>
        <v>17640</v>
      </c>
      <c r="E166" s="18">
        <v>630</v>
      </c>
    </row>
    <row r="167" spans="1:5">
      <c r="A167" s="18" t="s">
        <v>153</v>
      </c>
      <c r="B167" s="18">
        <v>2000</v>
      </c>
      <c r="C167" s="18" t="s">
        <v>156</v>
      </c>
      <c r="D167" s="19">
        <f t="shared" si="2"/>
        <v>9856</v>
      </c>
      <c r="E167" s="18">
        <v>352</v>
      </c>
    </row>
    <row r="168" spans="1:5">
      <c r="A168" s="18" t="s">
        <v>153</v>
      </c>
      <c r="B168" s="18">
        <v>2050</v>
      </c>
      <c r="C168" s="18" t="s">
        <v>156</v>
      </c>
      <c r="D168" s="19">
        <f t="shared" si="2"/>
        <v>9016</v>
      </c>
      <c r="E168" s="18">
        <v>322</v>
      </c>
    </row>
    <row r="169" spans="1:5">
      <c r="A169" s="18" t="s">
        <v>153</v>
      </c>
      <c r="B169" s="18">
        <v>3000</v>
      </c>
      <c r="C169" s="18" t="s">
        <v>156</v>
      </c>
      <c r="D169" s="19">
        <f t="shared" si="2"/>
        <v>17976</v>
      </c>
      <c r="E169" s="18">
        <v>642</v>
      </c>
    </row>
    <row r="170" spans="1:5">
      <c r="A170" s="18" t="s">
        <v>153</v>
      </c>
      <c r="B170" s="18">
        <v>3050</v>
      </c>
      <c r="C170" s="18" t="s">
        <v>156</v>
      </c>
      <c r="D170" s="19">
        <f t="shared" si="2"/>
        <v>14616</v>
      </c>
      <c r="E170" s="18">
        <v>522</v>
      </c>
    </row>
    <row r="171" spans="1:5">
      <c r="A171" s="18" t="s">
        <v>153</v>
      </c>
      <c r="B171" s="18">
        <v>1000</v>
      </c>
      <c r="C171" s="18" t="s">
        <v>157</v>
      </c>
      <c r="D171" s="19">
        <f t="shared" si="2"/>
        <v>3724</v>
      </c>
      <c r="E171" s="18">
        <v>133</v>
      </c>
    </row>
    <row r="172" spans="1:5">
      <c r="A172" s="18" t="s">
        <v>153</v>
      </c>
      <c r="B172" s="18">
        <v>1050</v>
      </c>
      <c r="C172" s="18" t="s">
        <v>157</v>
      </c>
      <c r="D172" s="19">
        <f t="shared" si="2"/>
        <v>12712</v>
      </c>
      <c r="E172" s="18">
        <v>454</v>
      </c>
    </row>
    <row r="173" spans="1:5">
      <c r="A173" s="18" t="s">
        <v>153</v>
      </c>
      <c r="B173" s="18">
        <v>2000</v>
      </c>
      <c r="C173" s="18" t="s">
        <v>157</v>
      </c>
      <c r="D173" s="19">
        <f t="shared" si="2"/>
        <v>16828</v>
      </c>
      <c r="E173" s="18">
        <v>601</v>
      </c>
    </row>
    <row r="174" spans="1:5">
      <c r="A174" s="18" t="s">
        <v>153</v>
      </c>
      <c r="B174" s="18">
        <v>2050</v>
      </c>
      <c r="C174" s="18" t="s">
        <v>157</v>
      </c>
      <c r="D174" s="19">
        <f t="shared" si="2"/>
        <v>14056</v>
      </c>
      <c r="E174" s="18">
        <v>502</v>
      </c>
    </row>
    <row r="175" spans="1:5">
      <c r="A175" s="18" t="s">
        <v>153</v>
      </c>
      <c r="B175" s="18">
        <v>3000</v>
      </c>
      <c r="C175" s="18" t="s">
        <v>157</v>
      </c>
      <c r="D175" s="19">
        <f t="shared" si="2"/>
        <v>8456</v>
      </c>
      <c r="E175" s="18">
        <v>302</v>
      </c>
    </row>
    <row r="176" spans="1:5">
      <c r="A176" s="18" t="s">
        <v>153</v>
      </c>
      <c r="B176" s="18">
        <v>3050</v>
      </c>
      <c r="C176" s="18" t="s">
        <v>157</v>
      </c>
      <c r="D176" s="19">
        <f t="shared" si="2"/>
        <v>17808</v>
      </c>
      <c r="E176" s="18">
        <v>636</v>
      </c>
    </row>
    <row r="177" spans="1:5">
      <c r="A177" s="18" t="s">
        <v>153</v>
      </c>
      <c r="B177" s="18">
        <v>1000</v>
      </c>
      <c r="C177" s="18" t="s">
        <v>158</v>
      </c>
      <c r="D177" s="19">
        <f t="shared" si="2"/>
        <v>3416</v>
      </c>
      <c r="E177" s="18">
        <v>122</v>
      </c>
    </row>
    <row r="178" spans="1:5">
      <c r="A178" s="18" t="s">
        <v>153</v>
      </c>
      <c r="B178" s="18">
        <v>1050</v>
      </c>
      <c r="C178" s="18" t="s">
        <v>158</v>
      </c>
      <c r="D178" s="19">
        <f t="shared" si="2"/>
        <v>13020</v>
      </c>
      <c r="E178" s="18">
        <v>465</v>
      </c>
    </row>
    <row r="179" spans="1:5">
      <c r="A179" s="18" t="s">
        <v>153</v>
      </c>
      <c r="B179" s="18">
        <v>2000</v>
      </c>
      <c r="C179" s="18" t="s">
        <v>158</v>
      </c>
      <c r="D179" s="19">
        <f t="shared" si="2"/>
        <v>17780</v>
      </c>
      <c r="E179" s="18">
        <v>635</v>
      </c>
    </row>
    <row r="180" spans="1:5">
      <c r="A180" s="18" t="s">
        <v>153</v>
      </c>
      <c r="B180" s="18">
        <v>2050</v>
      </c>
      <c r="C180" s="18" t="s">
        <v>158</v>
      </c>
      <c r="D180" s="19">
        <f t="shared" si="2"/>
        <v>7140</v>
      </c>
      <c r="E180" s="18">
        <v>255</v>
      </c>
    </row>
    <row r="181" spans="1:5">
      <c r="A181" s="18" t="s">
        <v>153</v>
      </c>
      <c r="B181" s="18">
        <v>3000</v>
      </c>
      <c r="C181" s="18" t="s">
        <v>158</v>
      </c>
      <c r="D181" s="19">
        <f t="shared" si="2"/>
        <v>7448</v>
      </c>
      <c r="E181" s="18">
        <v>266</v>
      </c>
    </row>
    <row r="182" spans="1:5">
      <c r="A182" s="18" t="s">
        <v>153</v>
      </c>
      <c r="B182" s="18">
        <v>3050</v>
      </c>
      <c r="C182" s="18" t="s">
        <v>158</v>
      </c>
      <c r="D182" s="19">
        <f t="shared" si="2"/>
        <v>6608</v>
      </c>
      <c r="E182" s="18">
        <v>236</v>
      </c>
    </row>
    <row r="183" spans="1:5">
      <c r="A183" s="18" t="s">
        <v>144</v>
      </c>
      <c r="B183" s="18">
        <v>1000</v>
      </c>
      <c r="C183" s="18" t="s">
        <v>159</v>
      </c>
      <c r="D183" s="19">
        <f t="shared" si="2"/>
        <v>9856</v>
      </c>
      <c r="E183" s="18">
        <v>352</v>
      </c>
    </row>
    <row r="184" spans="1:5">
      <c r="A184" s="18" t="s">
        <v>144</v>
      </c>
      <c r="B184" s="18">
        <v>1050</v>
      </c>
      <c r="C184" s="18" t="s">
        <v>159</v>
      </c>
      <c r="D184" s="19">
        <f t="shared" si="2"/>
        <v>10248</v>
      </c>
      <c r="E184" s="18">
        <v>366</v>
      </c>
    </row>
    <row r="185" spans="1:5">
      <c r="A185" s="18" t="s">
        <v>144</v>
      </c>
      <c r="B185" s="18">
        <v>2000</v>
      </c>
      <c r="C185" s="18" t="s">
        <v>159</v>
      </c>
      <c r="D185" s="19">
        <f t="shared" si="2"/>
        <v>14616</v>
      </c>
      <c r="E185" s="18">
        <v>522</v>
      </c>
    </row>
    <row r="186" spans="1:5">
      <c r="A186" s="18" t="s">
        <v>144</v>
      </c>
      <c r="B186" s="18">
        <v>2050</v>
      </c>
      <c r="C186" s="18" t="s">
        <v>159</v>
      </c>
      <c r="D186" s="19">
        <f t="shared" si="2"/>
        <v>11816</v>
      </c>
      <c r="E186" s="18">
        <v>422</v>
      </c>
    </row>
    <row r="187" spans="1:5">
      <c r="A187" s="18" t="s">
        <v>144</v>
      </c>
      <c r="B187" s="18">
        <v>3000</v>
      </c>
      <c r="C187" s="18" t="s">
        <v>159</v>
      </c>
      <c r="D187" s="19">
        <f t="shared" si="2"/>
        <v>14896</v>
      </c>
      <c r="E187" s="18">
        <v>532</v>
      </c>
    </row>
    <row r="188" spans="1:5">
      <c r="A188" s="18" t="s">
        <v>144</v>
      </c>
      <c r="B188" s="18">
        <v>3050</v>
      </c>
      <c r="C188" s="18" t="s">
        <v>159</v>
      </c>
      <c r="D188" s="19">
        <f t="shared" si="2"/>
        <v>3724</v>
      </c>
      <c r="E188" s="18">
        <v>133</v>
      </c>
    </row>
    <row r="189" spans="1:5">
      <c r="A189" s="18" t="s">
        <v>144</v>
      </c>
      <c r="B189" s="18">
        <v>1000</v>
      </c>
      <c r="C189" s="18" t="s">
        <v>160</v>
      </c>
      <c r="D189" s="19">
        <f t="shared" si="2"/>
        <v>14616</v>
      </c>
      <c r="E189" s="18">
        <v>522</v>
      </c>
    </row>
    <row r="190" spans="1:5">
      <c r="A190" s="18" t="s">
        <v>144</v>
      </c>
      <c r="B190" s="18">
        <v>1050</v>
      </c>
      <c r="C190" s="18" t="s">
        <v>160</v>
      </c>
      <c r="D190" s="19">
        <f t="shared" si="2"/>
        <v>9016</v>
      </c>
      <c r="E190" s="18">
        <v>322</v>
      </c>
    </row>
    <row r="191" spans="1:5">
      <c r="A191" s="18" t="s">
        <v>144</v>
      </c>
      <c r="B191" s="18">
        <v>2000</v>
      </c>
      <c r="C191" s="18" t="s">
        <v>160</v>
      </c>
      <c r="D191" s="19">
        <f t="shared" si="2"/>
        <v>3724</v>
      </c>
      <c r="E191" s="18">
        <v>133</v>
      </c>
    </row>
    <row r="192" spans="1:5">
      <c r="A192" s="18" t="s">
        <v>144</v>
      </c>
      <c r="B192" s="18">
        <v>2050</v>
      </c>
      <c r="C192" s="18" t="s">
        <v>160</v>
      </c>
      <c r="D192" s="19">
        <f t="shared" si="2"/>
        <v>14616</v>
      </c>
      <c r="E192" s="18">
        <v>522</v>
      </c>
    </row>
    <row r="193" spans="1:5">
      <c r="A193" s="18" t="s">
        <v>144</v>
      </c>
      <c r="B193" s="18">
        <v>3000</v>
      </c>
      <c r="C193" s="18" t="s">
        <v>160</v>
      </c>
      <c r="D193" s="19">
        <f t="shared" si="2"/>
        <v>9016</v>
      </c>
      <c r="E193" s="18">
        <v>322</v>
      </c>
    </row>
    <row r="194" spans="1:5">
      <c r="A194" s="18" t="s">
        <v>144</v>
      </c>
      <c r="B194" s="18">
        <v>3050</v>
      </c>
      <c r="C194" s="18" t="s">
        <v>160</v>
      </c>
      <c r="D194" s="19">
        <f t="shared" si="2"/>
        <v>11928</v>
      </c>
      <c r="E194" s="18">
        <v>426</v>
      </c>
    </row>
    <row r="195" spans="1:5">
      <c r="A195" s="18" t="s">
        <v>144</v>
      </c>
      <c r="B195" s="18">
        <v>1000</v>
      </c>
      <c r="C195" s="18" t="s">
        <v>161</v>
      </c>
      <c r="D195" s="19">
        <f t="shared" ref="D195:D258" si="3">E195*28</f>
        <v>11480</v>
      </c>
      <c r="E195" s="18">
        <v>410</v>
      </c>
    </row>
    <row r="196" spans="1:5">
      <c r="A196" s="18" t="s">
        <v>144</v>
      </c>
      <c r="B196" s="18">
        <v>1050</v>
      </c>
      <c r="C196" s="18" t="s">
        <v>161</v>
      </c>
      <c r="D196" s="19">
        <f t="shared" si="3"/>
        <v>8960</v>
      </c>
      <c r="E196" s="18">
        <v>320</v>
      </c>
    </row>
    <row r="197" spans="1:5">
      <c r="A197" s="18" t="s">
        <v>144</v>
      </c>
      <c r="B197" s="18">
        <v>2000</v>
      </c>
      <c r="C197" s="18" t="s">
        <v>161</v>
      </c>
      <c r="D197" s="19">
        <f t="shared" si="3"/>
        <v>18284</v>
      </c>
      <c r="E197" s="18">
        <v>653</v>
      </c>
    </row>
    <row r="198" spans="1:5">
      <c r="A198" s="18" t="s">
        <v>144</v>
      </c>
      <c r="B198" s="18">
        <v>2050</v>
      </c>
      <c r="C198" s="18" t="s">
        <v>161</v>
      </c>
      <c r="D198" s="19">
        <f t="shared" si="3"/>
        <v>14028</v>
      </c>
      <c r="E198" s="18">
        <v>501</v>
      </c>
    </row>
    <row r="199" spans="1:5">
      <c r="A199" s="18" t="s">
        <v>144</v>
      </c>
      <c r="B199" s="18">
        <v>3000</v>
      </c>
      <c r="C199" s="18" t="s">
        <v>161</v>
      </c>
      <c r="D199" s="19">
        <f t="shared" si="3"/>
        <v>11256</v>
      </c>
      <c r="E199" s="18">
        <v>402</v>
      </c>
    </row>
    <row r="200" spans="1:5">
      <c r="A200" s="18" t="s">
        <v>144</v>
      </c>
      <c r="B200" s="18">
        <v>3050</v>
      </c>
      <c r="C200" s="18" t="s">
        <v>161</v>
      </c>
      <c r="D200" s="19">
        <f t="shared" si="3"/>
        <v>11760</v>
      </c>
      <c r="E200" s="18">
        <v>420</v>
      </c>
    </row>
    <row r="201" spans="1:5">
      <c r="A201" s="18" t="s">
        <v>144</v>
      </c>
      <c r="B201" s="18">
        <v>1000</v>
      </c>
      <c r="C201" s="18" t="s">
        <v>162</v>
      </c>
      <c r="D201" s="19">
        <f t="shared" si="3"/>
        <v>10080</v>
      </c>
      <c r="E201" s="18">
        <v>360</v>
      </c>
    </row>
    <row r="202" spans="1:5">
      <c r="A202" s="18" t="s">
        <v>144</v>
      </c>
      <c r="B202" s="18">
        <v>1050</v>
      </c>
      <c r="C202" s="18" t="s">
        <v>162</v>
      </c>
      <c r="D202" s="19">
        <f t="shared" si="3"/>
        <v>11760</v>
      </c>
      <c r="E202" s="18">
        <v>420</v>
      </c>
    </row>
    <row r="203" spans="1:5">
      <c r="A203" s="18" t="s">
        <v>144</v>
      </c>
      <c r="B203" s="18">
        <v>2000</v>
      </c>
      <c r="C203" s="18" t="s">
        <v>162</v>
      </c>
      <c r="D203" s="19">
        <f t="shared" si="3"/>
        <v>8484</v>
      </c>
      <c r="E203" s="18">
        <v>303</v>
      </c>
    </row>
    <row r="204" spans="1:5">
      <c r="A204" s="18" t="s">
        <v>144</v>
      </c>
      <c r="B204" s="18">
        <v>2050</v>
      </c>
      <c r="C204" s="18" t="s">
        <v>162</v>
      </c>
      <c r="D204" s="19">
        <f t="shared" si="3"/>
        <v>16856</v>
      </c>
      <c r="E204" s="18">
        <v>602</v>
      </c>
    </row>
    <row r="205" spans="1:5">
      <c r="A205" s="18" t="s">
        <v>144</v>
      </c>
      <c r="B205" s="18">
        <v>3000</v>
      </c>
      <c r="C205" s="18" t="s">
        <v>162</v>
      </c>
      <c r="D205" s="19">
        <f t="shared" si="3"/>
        <v>14560</v>
      </c>
      <c r="E205" s="18">
        <v>520</v>
      </c>
    </row>
    <row r="206" spans="1:5">
      <c r="A206" s="18" t="s">
        <v>144</v>
      </c>
      <c r="B206" s="18">
        <v>3050</v>
      </c>
      <c r="C206" s="18" t="s">
        <v>162</v>
      </c>
      <c r="D206" s="19">
        <f t="shared" si="3"/>
        <v>8456</v>
      </c>
      <c r="E206" s="18">
        <v>302</v>
      </c>
    </row>
    <row r="207" spans="1:5">
      <c r="A207" s="18" t="s">
        <v>144</v>
      </c>
      <c r="B207" s="18">
        <v>1000</v>
      </c>
      <c r="C207" s="18" t="s">
        <v>163</v>
      </c>
      <c r="D207" s="19">
        <f t="shared" si="3"/>
        <v>5684</v>
      </c>
      <c r="E207" s="18">
        <v>203</v>
      </c>
    </row>
    <row r="208" spans="1:5">
      <c r="A208" s="18" t="s">
        <v>144</v>
      </c>
      <c r="B208" s="18">
        <v>1050</v>
      </c>
      <c r="C208" s="18" t="s">
        <v>163</v>
      </c>
      <c r="D208" s="19">
        <f t="shared" si="3"/>
        <v>14588</v>
      </c>
      <c r="E208" s="18">
        <v>521</v>
      </c>
    </row>
    <row r="209" spans="1:5">
      <c r="A209" s="18" t="s">
        <v>144</v>
      </c>
      <c r="B209" s="18">
        <v>2000</v>
      </c>
      <c r="C209" s="18" t="s">
        <v>163</v>
      </c>
      <c r="D209" s="19">
        <f t="shared" si="3"/>
        <v>17640</v>
      </c>
      <c r="E209" s="18">
        <v>630</v>
      </c>
    </row>
    <row r="210" spans="1:5">
      <c r="A210" s="18" t="s">
        <v>144</v>
      </c>
      <c r="B210" s="18">
        <v>2050</v>
      </c>
      <c r="C210" s="18" t="s">
        <v>163</v>
      </c>
      <c r="D210" s="19">
        <f t="shared" si="3"/>
        <v>9856</v>
      </c>
      <c r="E210" s="18">
        <v>352</v>
      </c>
    </row>
    <row r="211" spans="1:5">
      <c r="A211" s="18" t="s">
        <v>144</v>
      </c>
      <c r="B211" s="18">
        <v>3000</v>
      </c>
      <c r="C211" s="18" t="s">
        <v>163</v>
      </c>
      <c r="D211" s="19">
        <f t="shared" si="3"/>
        <v>9016</v>
      </c>
      <c r="E211" s="18">
        <v>322</v>
      </c>
    </row>
    <row r="212" spans="1:5">
      <c r="A212" s="18" t="s">
        <v>144</v>
      </c>
      <c r="B212" s="18">
        <v>3050</v>
      </c>
      <c r="C212" s="18" t="s">
        <v>163</v>
      </c>
      <c r="D212" s="19">
        <f t="shared" si="3"/>
        <v>17976</v>
      </c>
      <c r="E212" s="18">
        <v>642</v>
      </c>
    </row>
    <row r="213" spans="1:5">
      <c r="A213" s="18" t="s">
        <v>152</v>
      </c>
      <c r="B213" s="18">
        <v>1000</v>
      </c>
      <c r="C213" s="18" t="s">
        <v>159</v>
      </c>
      <c r="D213" s="19">
        <f t="shared" si="3"/>
        <v>14616</v>
      </c>
      <c r="E213" s="18">
        <v>522</v>
      </c>
    </row>
    <row r="214" spans="1:5">
      <c r="A214" s="18" t="s">
        <v>152</v>
      </c>
      <c r="B214" s="18">
        <v>1050</v>
      </c>
      <c r="C214" s="18" t="s">
        <v>159</v>
      </c>
      <c r="D214" s="19">
        <f t="shared" si="3"/>
        <v>3724</v>
      </c>
      <c r="E214" s="18">
        <v>133</v>
      </c>
    </row>
    <row r="215" spans="1:5">
      <c r="A215" s="18" t="s">
        <v>152</v>
      </c>
      <c r="B215" s="18">
        <v>2000</v>
      </c>
      <c r="C215" s="18" t="s">
        <v>159</v>
      </c>
      <c r="D215" s="19">
        <f t="shared" si="3"/>
        <v>12712</v>
      </c>
      <c r="E215" s="18">
        <v>454</v>
      </c>
    </row>
    <row r="216" spans="1:5">
      <c r="A216" s="18" t="s">
        <v>152</v>
      </c>
      <c r="B216" s="18">
        <v>2050</v>
      </c>
      <c r="C216" s="18" t="s">
        <v>159</v>
      </c>
      <c r="D216" s="19">
        <f t="shared" si="3"/>
        <v>16828</v>
      </c>
      <c r="E216" s="18">
        <v>601</v>
      </c>
    </row>
    <row r="217" spans="1:5">
      <c r="A217" s="18" t="s">
        <v>152</v>
      </c>
      <c r="B217" s="18">
        <v>3000</v>
      </c>
      <c r="C217" s="18" t="s">
        <v>159</v>
      </c>
      <c r="D217" s="19">
        <f t="shared" si="3"/>
        <v>14056</v>
      </c>
      <c r="E217" s="18">
        <v>502</v>
      </c>
    </row>
    <row r="218" spans="1:5">
      <c r="A218" s="18" t="s">
        <v>152</v>
      </c>
      <c r="B218" s="18">
        <v>3050</v>
      </c>
      <c r="C218" s="18" t="s">
        <v>159</v>
      </c>
      <c r="D218" s="19">
        <f t="shared" si="3"/>
        <v>8456</v>
      </c>
      <c r="E218" s="18">
        <v>302</v>
      </c>
    </row>
    <row r="219" spans="1:5">
      <c r="A219" s="18" t="s">
        <v>152</v>
      </c>
      <c r="B219" s="18">
        <v>1000</v>
      </c>
      <c r="C219" s="18" t="s">
        <v>160</v>
      </c>
      <c r="D219" s="19">
        <f t="shared" si="3"/>
        <v>17808</v>
      </c>
      <c r="E219" s="18">
        <v>636</v>
      </c>
    </row>
    <row r="220" spans="1:5">
      <c r="A220" s="18" t="s">
        <v>152</v>
      </c>
      <c r="B220" s="18">
        <v>1050</v>
      </c>
      <c r="C220" s="18" t="s">
        <v>160</v>
      </c>
      <c r="D220" s="19">
        <f t="shared" si="3"/>
        <v>3416</v>
      </c>
      <c r="E220" s="18">
        <v>122</v>
      </c>
    </row>
    <row r="221" spans="1:5">
      <c r="A221" s="18" t="s">
        <v>152</v>
      </c>
      <c r="B221" s="18">
        <v>2000</v>
      </c>
      <c r="C221" s="18" t="s">
        <v>160</v>
      </c>
      <c r="D221" s="19">
        <f t="shared" si="3"/>
        <v>13020</v>
      </c>
      <c r="E221" s="18">
        <v>465</v>
      </c>
    </row>
    <row r="222" spans="1:5">
      <c r="A222" s="18" t="s">
        <v>152</v>
      </c>
      <c r="B222" s="18">
        <v>2050</v>
      </c>
      <c r="C222" s="18" t="s">
        <v>160</v>
      </c>
      <c r="D222" s="19">
        <f t="shared" si="3"/>
        <v>17780</v>
      </c>
      <c r="E222" s="18">
        <v>635</v>
      </c>
    </row>
    <row r="223" spans="1:5">
      <c r="A223" s="18" t="s">
        <v>152</v>
      </c>
      <c r="B223" s="18">
        <v>3000</v>
      </c>
      <c r="C223" s="18" t="s">
        <v>160</v>
      </c>
      <c r="D223" s="19">
        <f t="shared" si="3"/>
        <v>7140</v>
      </c>
      <c r="E223" s="18">
        <v>255</v>
      </c>
    </row>
    <row r="224" spans="1:5">
      <c r="A224" s="18" t="s">
        <v>152</v>
      </c>
      <c r="B224" s="18">
        <v>3050</v>
      </c>
      <c r="C224" s="18" t="s">
        <v>160</v>
      </c>
      <c r="D224" s="19">
        <f t="shared" si="3"/>
        <v>7448</v>
      </c>
      <c r="E224" s="18">
        <v>266</v>
      </c>
    </row>
    <row r="225" spans="1:5">
      <c r="A225" s="18" t="s">
        <v>152</v>
      </c>
      <c r="B225" s="18">
        <v>1000</v>
      </c>
      <c r="C225" s="18" t="s">
        <v>161</v>
      </c>
      <c r="D225" s="19">
        <f t="shared" si="3"/>
        <v>6608</v>
      </c>
      <c r="E225" s="18">
        <v>236</v>
      </c>
    </row>
    <row r="226" spans="1:5">
      <c r="A226" s="18" t="s">
        <v>152</v>
      </c>
      <c r="B226" s="18">
        <v>1050</v>
      </c>
      <c r="C226" s="18" t="s">
        <v>161</v>
      </c>
      <c r="D226" s="19">
        <f t="shared" si="3"/>
        <v>9856</v>
      </c>
      <c r="E226" s="18">
        <v>352</v>
      </c>
    </row>
    <row r="227" spans="1:5">
      <c r="A227" s="18" t="s">
        <v>152</v>
      </c>
      <c r="B227" s="18">
        <v>2000</v>
      </c>
      <c r="C227" s="18" t="s">
        <v>161</v>
      </c>
      <c r="D227" s="19">
        <f t="shared" si="3"/>
        <v>10248</v>
      </c>
      <c r="E227" s="18">
        <v>366</v>
      </c>
    </row>
    <row r="228" spans="1:5">
      <c r="A228" s="18" t="s">
        <v>152</v>
      </c>
      <c r="B228" s="18">
        <v>2050</v>
      </c>
      <c r="C228" s="18" t="s">
        <v>161</v>
      </c>
      <c r="D228" s="19">
        <f t="shared" si="3"/>
        <v>14616</v>
      </c>
      <c r="E228" s="18">
        <v>522</v>
      </c>
    </row>
    <row r="229" spans="1:5">
      <c r="A229" s="18" t="s">
        <v>152</v>
      </c>
      <c r="B229" s="18">
        <v>3000</v>
      </c>
      <c r="C229" s="18" t="s">
        <v>161</v>
      </c>
      <c r="D229" s="19">
        <f t="shared" si="3"/>
        <v>11816</v>
      </c>
      <c r="E229" s="18">
        <v>422</v>
      </c>
    </row>
    <row r="230" spans="1:5">
      <c r="A230" s="18" t="s">
        <v>152</v>
      </c>
      <c r="B230" s="18">
        <v>3050</v>
      </c>
      <c r="C230" s="18" t="s">
        <v>161</v>
      </c>
      <c r="D230" s="19">
        <f t="shared" si="3"/>
        <v>14896</v>
      </c>
      <c r="E230" s="18">
        <v>532</v>
      </c>
    </row>
    <row r="231" spans="1:5">
      <c r="A231" s="18" t="s">
        <v>152</v>
      </c>
      <c r="B231" s="18">
        <v>1000</v>
      </c>
      <c r="C231" s="18" t="s">
        <v>162</v>
      </c>
      <c r="D231" s="19">
        <f t="shared" si="3"/>
        <v>3724</v>
      </c>
      <c r="E231" s="18">
        <v>133</v>
      </c>
    </row>
    <row r="232" spans="1:5">
      <c r="A232" s="18" t="s">
        <v>152</v>
      </c>
      <c r="B232" s="18">
        <v>1050</v>
      </c>
      <c r="C232" s="18" t="s">
        <v>162</v>
      </c>
      <c r="D232" s="19">
        <f t="shared" si="3"/>
        <v>14616</v>
      </c>
      <c r="E232" s="18">
        <v>522</v>
      </c>
    </row>
    <row r="233" spans="1:5">
      <c r="A233" s="18" t="s">
        <v>152</v>
      </c>
      <c r="B233" s="18">
        <v>2000</v>
      </c>
      <c r="C233" s="18" t="s">
        <v>162</v>
      </c>
      <c r="D233" s="19">
        <f t="shared" si="3"/>
        <v>9016</v>
      </c>
      <c r="E233" s="18">
        <v>322</v>
      </c>
    </row>
    <row r="234" spans="1:5">
      <c r="A234" s="18" t="s">
        <v>152</v>
      </c>
      <c r="B234" s="18">
        <v>2050</v>
      </c>
      <c r="C234" s="18" t="s">
        <v>162</v>
      </c>
      <c r="D234" s="19">
        <f t="shared" si="3"/>
        <v>5936</v>
      </c>
      <c r="E234" s="18">
        <v>212</v>
      </c>
    </row>
    <row r="235" spans="1:5">
      <c r="A235" s="18" t="s">
        <v>152</v>
      </c>
      <c r="B235" s="18">
        <v>3000</v>
      </c>
      <c r="C235" s="18" t="s">
        <v>162</v>
      </c>
      <c r="D235" s="19">
        <f t="shared" si="3"/>
        <v>10136</v>
      </c>
      <c r="E235" s="18">
        <v>362</v>
      </c>
    </row>
    <row r="236" spans="1:5">
      <c r="A236" s="18" t="s">
        <v>152</v>
      </c>
      <c r="B236" s="18">
        <v>3050</v>
      </c>
      <c r="C236" s="18" t="s">
        <v>162</v>
      </c>
      <c r="D236" s="19">
        <f t="shared" si="3"/>
        <v>3388</v>
      </c>
      <c r="E236" s="18">
        <v>121</v>
      </c>
    </row>
    <row r="237" spans="1:5">
      <c r="A237" s="18" t="s">
        <v>152</v>
      </c>
      <c r="B237" s="18">
        <v>1000</v>
      </c>
      <c r="C237" s="18" t="s">
        <v>163</v>
      </c>
      <c r="D237" s="19">
        <f t="shared" si="3"/>
        <v>14056</v>
      </c>
      <c r="E237" s="18">
        <v>502</v>
      </c>
    </row>
    <row r="238" spans="1:5">
      <c r="A238" s="18" t="s">
        <v>152</v>
      </c>
      <c r="B238" s="18">
        <v>1050</v>
      </c>
      <c r="C238" s="18" t="s">
        <v>163</v>
      </c>
      <c r="D238" s="19">
        <f t="shared" si="3"/>
        <v>10136</v>
      </c>
      <c r="E238" s="18">
        <v>362</v>
      </c>
    </row>
    <row r="239" spans="1:5">
      <c r="A239" s="18" t="s">
        <v>152</v>
      </c>
      <c r="B239" s="18">
        <v>2000</v>
      </c>
      <c r="C239" s="18" t="s">
        <v>163</v>
      </c>
      <c r="D239" s="19">
        <f t="shared" si="3"/>
        <v>14588</v>
      </c>
      <c r="E239" s="18">
        <v>521</v>
      </c>
    </row>
    <row r="240" spans="1:5">
      <c r="A240" s="18" t="s">
        <v>152</v>
      </c>
      <c r="B240" s="18">
        <v>2050</v>
      </c>
      <c r="C240" s="18" t="s">
        <v>163</v>
      </c>
      <c r="D240" s="19">
        <f t="shared" si="3"/>
        <v>6552</v>
      </c>
      <c r="E240" s="18">
        <v>234</v>
      </c>
    </row>
    <row r="241" spans="1:5">
      <c r="A241" s="18" t="s">
        <v>152</v>
      </c>
      <c r="B241" s="18">
        <v>3000</v>
      </c>
      <c r="C241" s="18" t="s">
        <v>163</v>
      </c>
      <c r="D241" s="19">
        <f t="shared" si="3"/>
        <v>11788</v>
      </c>
      <c r="E241" s="18">
        <v>421</v>
      </c>
    </row>
    <row r="242" spans="1:5">
      <c r="A242" s="18" t="s">
        <v>152</v>
      </c>
      <c r="B242" s="18">
        <v>3050</v>
      </c>
      <c r="C242" s="18" t="s">
        <v>163</v>
      </c>
      <c r="D242" s="19">
        <f t="shared" si="3"/>
        <v>9072</v>
      </c>
      <c r="E242" s="18">
        <v>324</v>
      </c>
    </row>
    <row r="243" spans="1:5">
      <c r="A243" s="18" t="s">
        <v>153</v>
      </c>
      <c r="B243" s="18">
        <v>1000</v>
      </c>
      <c r="C243" s="18" t="s">
        <v>159</v>
      </c>
      <c r="D243" s="19">
        <f t="shared" si="3"/>
        <v>3388</v>
      </c>
      <c r="E243" s="18">
        <v>121</v>
      </c>
    </row>
    <row r="244" spans="1:5">
      <c r="A244" s="18" t="s">
        <v>153</v>
      </c>
      <c r="B244" s="18">
        <v>1050</v>
      </c>
      <c r="C244" s="18" t="s">
        <v>159</v>
      </c>
      <c r="D244" s="19">
        <f t="shared" si="3"/>
        <v>15176</v>
      </c>
      <c r="E244" s="18">
        <v>542</v>
      </c>
    </row>
    <row r="245" spans="1:5">
      <c r="A245" s="18" t="s">
        <v>153</v>
      </c>
      <c r="B245" s="18">
        <v>2000</v>
      </c>
      <c r="C245" s="18" t="s">
        <v>159</v>
      </c>
      <c r="D245" s="19">
        <f t="shared" si="3"/>
        <v>5964</v>
      </c>
      <c r="E245" s="18">
        <v>213</v>
      </c>
    </row>
    <row r="246" spans="1:5">
      <c r="A246" s="18" t="s">
        <v>153</v>
      </c>
      <c r="B246" s="18">
        <v>2050</v>
      </c>
      <c r="C246" s="18" t="s">
        <v>159</v>
      </c>
      <c r="D246" s="19">
        <f t="shared" si="3"/>
        <v>3724</v>
      </c>
      <c r="E246" s="18">
        <v>133</v>
      </c>
    </row>
    <row r="247" spans="1:5">
      <c r="A247" s="18" t="s">
        <v>153</v>
      </c>
      <c r="B247" s="18">
        <v>3000</v>
      </c>
      <c r="C247" s="18" t="s">
        <v>159</v>
      </c>
      <c r="D247" s="19">
        <f t="shared" si="3"/>
        <v>14616</v>
      </c>
      <c r="E247" s="18">
        <v>522</v>
      </c>
    </row>
    <row r="248" spans="1:5">
      <c r="A248" s="18" t="s">
        <v>153</v>
      </c>
      <c r="B248" s="18">
        <v>3050</v>
      </c>
      <c r="C248" s="18" t="s">
        <v>159</v>
      </c>
      <c r="D248" s="19">
        <f t="shared" si="3"/>
        <v>9016</v>
      </c>
      <c r="E248" s="18">
        <v>322</v>
      </c>
    </row>
    <row r="249" spans="1:5">
      <c r="A249" s="18" t="s">
        <v>153</v>
      </c>
      <c r="B249" s="18">
        <v>1000</v>
      </c>
      <c r="C249" s="18" t="s">
        <v>160</v>
      </c>
      <c r="D249" s="19">
        <f t="shared" si="3"/>
        <v>11928</v>
      </c>
      <c r="E249" s="18">
        <v>426</v>
      </c>
    </row>
    <row r="250" spans="1:5">
      <c r="A250" s="18" t="s">
        <v>153</v>
      </c>
      <c r="B250" s="18">
        <v>1050</v>
      </c>
      <c r="C250" s="18" t="s">
        <v>160</v>
      </c>
      <c r="D250" s="19">
        <f t="shared" si="3"/>
        <v>11480</v>
      </c>
      <c r="E250" s="18">
        <v>410</v>
      </c>
    </row>
    <row r="251" spans="1:5">
      <c r="A251" s="18" t="s">
        <v>153</v>
      </c>
      <c r="B251" s="18">
        <v>2000</v>
      </c>
      <c r="C251" s="18" t="s">
        <v>160</v>
      </c>
      <c r="D251" s="19">
        <f t="shared" si="3"/>
        <v>8960</v>
      </c>
      <c r="E251" s="18">
        <v>320</v>
      </c>
    </row>
    <row r="252" spans="1:5">
      <c r="A252" s="18" t="s">
        <v>153</v>
      </c>
      <c r="B252" s="18">
        <v>2050</v>
      </c>
      <c r="C252" s="18" t="s">
        <v>160</v>
      </c>
      <c r="D252" s="19">
        <f t="shared" si="3"/>
        <v>18284</v>
      </c>
      <c r="E252" s="18">
        <v>653</v>
      </c>
    </row>
    <row r="253" spans="1:5">
      <c r="A253" s="18" t="s">
        <v>153</v>
      </c>
      <c r="B253" s="18">
        <v>3000</v>
      </c>
      <c r="C253" s="18" t="s">
        <v>160</v>
      </c>
      <c r="D253" s="19">
        <f t="shared" si="3"/>
        <v>14028</v>
      </c>
      <c r="E253" s="18">
        <v>501</v>
      </c>
    </row>
    <row r="254" spans="1:5">
      <c r="A254" s="18" t="s">
        <v>153</v>
      </c>
      <c r="B254" s="18">
        <v>3050</v>
      </c>
      <c r="C254" s="18" t="s">
        <v>160</v>
      </c>
      <c r="D254" s="19">
        <f t="shared" si="3"/>
        <v>11256</v>
      </c>
      <c r="E254" s="18">
        <v>402</v>
      </c>
    </row>
    <row r="255" spans="1:5">
      <c r="A255" s="18" t="s">
        <v>153</v>
      </c>
      <c r="B255" s="18">
        <v>1000</v>
      </c>
      <c r="C255" s="18" t="s">
        <v>161</v>
      </c>
      <c r="D255" s="19">
        <f t="shared" si="3"/>
        <v>11760</v>
      </c>
      <c r="E255" s="18">
        <v>420</v>
      </c>
    </row>
    <row r="256" spans="1:5">
      <c r="A256" s="18" t="s">
        <v>153</v>
      </c>
      <c r="B256" s="18">
        <v>1050</v>
      </c>
      <c r="C256" s="18" t="s">
        <v>161</v>
      </c>
      <c r="D256" s="19">
        <f t="shared" si="3"/>
        <v>10080</v>
      </c>
      <c r="E256" s="18">
        <v>360</v>
      </c>
    </row>
    <row r="257" spans="1:5">
      <c r="A257" s="18" t="s">
        <v>153</v>
      </c>
      <c r="B257" s="18">
        <v>2000</v>
      </c>
      <c r="C257" s="18" t="s">
        <v>161</v>
      </c>
      <c r="D257" s="19">
        <f t="shared" si="3"/>
        <v>11760</v>
      </c>
      <c r="E257" s="18">
        <v>420</v>
      </c>
    </row>
    <row r="258" spans="1:5">
      <c r="A258" s="18" t="s">
        <v>153</v>
      </c>
      <c r="B258" s="18">
        <v>2050</v>
      </c>
      <c r="C258" s="18" t="s">
        <v>161</v>
      </c>
      <c r="D258" s="19">
        <f t="shared" si="3"/>
        <v>8484</v>
      </c>
      <c r="E258" s="18">
        <v>303</v>
      </c>
    </row>
    <row r="259" spans="1:5">
      <c r="A259" s="18" t="s">
        <v>153</v>
      </c>
      <c r="B259" s="18">
        <v>3000</v>
      </c>
      <c r="C259" s="18" t="s">
        <v>161</v>
      </c>
      <c r="D259" s="19">
        <f t="shared" ref="D259:D272" si="4">E259*28</f>
        <v>16856</v>
      </c>
      <c r="E259" s="18">
        <v>602</v>
      </c>
    </row>
    <row r="260" spans="1:5">
      <c r="A260" s="18" t="s">
        <v>153</v>
      </c>
      <c r="B260" s="18">
        <v>3050</v>
      </c>
      <c r="C260" s="18" t="s">
        <v>161</v>
      </c>
      <c r="D260" s="19">
        <f t="shared" si="4"/>
        <v>14560</v>
      </c>
      <c r="E260" s="18">
        <v>520</v>
      </c>
    </row>
    <row r="261" spans="1:5">
      <c r="A261" s="18" t="s">
        <v>153</v>
      </c>
      <c r="B261" s="18">
        <v>1000</v>
      </c>
      <c r="C261" s="18" t="s">
        <v>162</v>
      </c>
      <c r="D261" s="19">
        <f t="shared" si="4"/>
        <v>8456</v>
      </c>
      <c r="E261" s="18">
        <v>302</v>
      </c>
    </row>
    <row r="262" spans="1:5">
      <c r="A262" s="18" t="s">
        <v>153</v>
      </c>
      <c r="B262" s="18">
        <v>1050</v>
      </c>
      <c r="C262" s="18" t="s">
        <v>162</v>
      </c>
      <c r="D262" s="19">
        <f t="shared" si="4"/>
        <v>5684</v>
      </c>
      <c r="E262" s="18">
        <v>203</v>
      </c>
    </row>
    <row r="263" spans="1:5">
      <c r="A263" s="18" t="s">
        <v>153</v>
      </c>
      <c r="B263" s="18">
        <v>2000</v>
      </c>
      <c r="C263" s="18" t="s">
        <v>162</v>
      </c>
      <c r="D263" s="19">
        <f t="shared" si="4"/>
        <v>5740</v>
      </c>
      <c r="E263" s="18">
        <v>205</v>
      </c>
    </row>
    <row r="264" spans="1:5">
      <c r="A264" s="18" t="s">
        <v>153</v>
      </c>
      <c r="B264" s="18">
        <v>2050</v>
      </c>
      <c r="C264" s="18" t="s">
        <v>162</v>
      </c>
      <c r="D264" s="19">
        <f t="shared" si="4"/>
        <v>3724</v>
      </c>
      <c r="E264" s="18">
        <v>133</v>
      </c>
    </row>
    <row r="265" spans="1:5">
      <c r="A265" s="18" t="s">
        <v>153</v>
      </c>
      <c r="B265" s="18">
        <v>3000</v>
      </c>
      <c r="C265" s="18" t="s">
        <v>162</v>
      </c>
      <c r="D265" s="19">
        <f t="shared" si="4"/>
        <v>14616</v>
      </c>
      <c r="E265" s="18">
        <v>522</v>
      </c>
    </row>
    <row r="266" spans="1:5">
      <c r="A266" s="18" t="s">
        <v>153</v>
      </c>
      <c r="B266" s="18">
        <v>3050</v>
      </c>
      <c r="C266" s="18" t="s">
        <v>162</v>
      </c>
      <c r="D266" s="19">
        <f t="shared" si="4"/>
        <v>9016</v>
      </c>
      <c r="E266" s="18">
        <v>322</v>
      </c>
    </row>
    <row r="267" spans="1:5">
      <c r="A267" s="18" t="s">
        <v>153</v>
      </c>
      <c r="B267" s="18">
        <v>1000</v>
      </c>
      <c r="C267" s="18" t="s">
        <v>163</v>
      </c>
      <c r="D267" s="19">
        <f t="shared" si="4"/>
        <v>11928</v>
      </c>
      <c r="E267" s="18">
        <v>426</v>
      </c>
    </row>
    <row r="268" spans="1:5">
      <c r="A268" s="18" t="s">
        <v>153</v>
      </c>
      <c r="B268" s="18">
        <v>1050</v>
      </c>
      <c r="C268" s="18" t="s">
        <v>163</v>
      </c>
      <c r="D268" s="19">
        <f t="shared" si="4"/>
        <v>11480</v>
      </c>
      <c r="E268" s="18">
        <v>410</v>
      </c>
    </row>
    <row r="269" spans="1:5">
      <c r="A269" s="18" t="s">
        <v>153</v>
      </c>
      <c r="B269" s="18">
        <v>2000</v>
      </c>
      <c r="C269" s="18" t="s">
        <v>163</v>
      </c>
      <c r="D269" s="19">
        <f t="shared" si="4"/>
        <v>8960</v>
      </c>
      <c r="E269" s="18">
        <v>320</v>
      </c>
    </row>
    <row r="270" spans="1:5">
      <c r="A270" s="18" t="s">
        <v>153</v>
      </c>
      <c r="B270" s="18">
        <v>2050</v>
      </c>
      <c r="C270" s="18" t="s">
        <v>163</v>
      </c>
      <c r="D270" s="19">
        <f t="shared" si="4"/>
        <v>18284</v>
      </c>
      <c r="E270" s="18">
        <v>653</v>
      </c>
    </row>
    <row r="271" spans="1:5">
      <c r="A271" s="18" t="s">
        <v>153</v>
      </c>
      <c r="B271" s="18">
        <v>3000</v>
      </c>
      <c r="C271" s="18" t="s">
        <v>163</v>
      </c>
      <c r="D271" s="19">
        <f t="shared" si="4"/>
        <v>14028</v>
      </c>
      <c r="E271" s="18">
        <v>501</v>
      </c>
    </row>
    <row r="272" spans="1:5">
      <c r="A272" s="18" t="s">
        <v>153</v>
      </c>
      <c r="B272" s="18">
        <v>3050</v>
      </c>
      <c r="C272" s="18" t="s">
        <v>163</v>
      </c>
      <c r="D272" s="19">
        <f t="shared" si="4"/>
        <v>11256</v>
      </c>
      <c r="E272" s="18">
        <v>402</v>
      </c>
    </row>
  </sheetData>
  <phoneticPr fontId="2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8"/>
  <sheetViews>
    <sheetView showGridLines="0" zoomScale="110" zoomScaleNormal="110" workbookViewId="0">
      <selection activeCell="B2" sqref="B2:F18"/>
    </sheetView>
  </sheetViews>
  <sheetFormatPr defaultRowHeight="12.5"/>
  <cols>
    <col min="1" max="1" width="3.453125" customWidth="1"/>
    <col min="2" max="2" width="7.81640625" bestFit="1" customWidth="1"/>
    <col min="3" max="5" width="15.54296875" bestFit="1" customWidth="1"/>
    <col min="6" max="6" width="16.26953125" bestFit="1" customWidth="1"/>
    <col min="7" max="7" width="3.1796875" customWidth="1"/>
  </cols>
  <sheetData>
    <row r="1" spans="2:7" ht="13" thickBot="1"/>
    <row r="2" spans="2:7" ht="21.75" customHeight="1">
      <c r="B2" s="32" t="s">
        <v>15</v>
      </c>
      <c r="C2" s="33" t="s">
        <v>17</v>
      </c>
      <c r="D2" s="33" t="s">
        <v>16</v>
      </c>
      <c r="E2" s="33" t="s">
        <v>18</v>
      </c>
      <c r="F2" s="33" t="s">
        <v>139</v>
      </c>
      <c r="G2" s="116"/>
    </row>
    <row r="3" spans="2:7">
      <c r="B3" s="9">
        <v>1054</v>
      </c>
      <c r="C3" s="10" t="str">
        <f>IFERROR(VLOOKUP(B3,'Master Emp List'!$A$2:$I$38,3,FALSE),"No EMP ID Found")</f>
        <v>Howard</v>
      </c>
      <c r="D3" s="10"/>
      <c r="E3" s="10"/>
      <c r="F3" s="134"/>
      <c r="G3" s="63"/>
    </row>
    <row r="4" spans="2:7">
      <c r="B4" s="9">
        <v>1056</v>
      </c>
      <c r="C4" s="10" t="str">
        <f>IFERROR(VLOOKUP(B4,'Master Emp List'!$A$2:$I$38,3,FALSE),"No EMP ID Found")</f>
        <v>Joe</v>
      </c>
      <c r="D4" s="10"/>
      <c r="E4" s="10"/>
      <c r="F4" s="134"/>
      <c r="G4" s="63"/>
    </row>
    <row r="5" spans="2:7">
      <c r="B5" s="9">
        <v>1067</v>
      </c>
      <c r="C5" s="10" t="str">
        <f>IFERROR(VLOOKUP(B5,'Master Emp List'!$A$2:$I$38,3,FALSE),"No EMP ID Found")</f>
        <v>Gail</v>
      </c>
      <c r="D5" s="10"/>
      <c r="E5" s="10"/>
      <c r="F5" s="134"/>
      <c r="G5" s="63"/>
    </row>
    <row r="6" spans="2:7">
      <c r="B6" s="9">
        <v>1075</v>
      </c>
      <c r="C6" s="10" t="str">
        <f>IFERROR(VLOOKUP(B6,'Master Emp List'!$A$2:$I$38,3,FALSE),"No EMP ID Found")</f>
        <v>Sheryl</v>
      </c>
      <c r="D6" s="10"/>
      <c r="E6" s="10"/>
      <c r="F6" s="134"/>
      <c r="G6" s="63"/>
    </row>
    <row r="7" spans="2:7">
      <c r="B7" s="9">
        <v>1078</v>
      </c>
      <c r="C7" s="10" t="str">
        <f>IFERROR(VLOOKUP(B7,'Master Emp List'!$A$2:$I$38,3,FALSE),"No EMP ID Found")</f>
        <v>Kendrick</v>
      </c>
      <c r="D7" s="10"/>
      <c r="E7" s="10"/>
      <c r="F7" s="134"/>
      <c r="G7" s="63"/>
    </row>
    <row r="8" spans="2:7">
      <c r="B8" s="9">
        <v>1152</v>
      </c>
      <c r="C8" s="10" t="str">
        <f>IFERROR(VLOOKUP(B8,'Master Emp List'!$A$2:$I$38,3,FALSE),"No EMP ID Found")</f>
        <v>Mark</v>
      </c>
      <c r="D8" s="10"/>
      <c r="E8" s="10"/>
      <c r="F8" s="134"/>
      <c r="G8" s="63"/>
    </row>
    <row r="9" spans="2:7">
      <c r="B9" s="9">
        <v>1196</v>
      </c>
      <c r="C9" s="10" t="str">
        <f>IFERROR(VLOOKUP(B9,'Master Emp List'!$A$2:$I$38,3,FALSE),"No EMP ID Found")</f>
        <v>Katie</v>
      </c>
      <c r="D9" s="10"/>
      <c r="E9" s="10"/>
      <c r="F9" s="134"/>
      <c r="G9" s="63"/>
    </row>
    <row r="10" spans="2:7">
      <c r="B10" s="9">
        <v>1284</v>
      </c>
      <c r="C10" s="10" t="str">
        <f>IFERROR(VLOOKUP(B10,'Master Emp List'!$A$2:$I$38,3,FALSE),"No EMP ID Found")</f>
        <v>Frank</v>
      </c>
      <c r="D10" s="10"/>
      <c r="E10" s="10"/>
      <c r="F10" s="134"/>
      <c r="G10" s="63"/>
    </row>
    <row r="11" spans="2:7">
      <c r="B11" s="9">
        <v>1001</v>
      </c>
      <c r="C11" s="10" t="str">
        <f>IFERROR(VLOOKUP(B11,'Master Emp List'!$A$2:$I$38,3,FALSE),"No EMP ID Found")</f>
        <v>No EMP ID Found</v>
      </c>
      <c r="D11" s="10"/>
      <c r="E11" s="10"/>
      <c r="F11" s="134"/>
      <c r="G11" s="63"/>
    </row>
    <row r="12" spans="2:7">
      <c r="B12" s="9">
        <v>1002</v>
      </c>
      <c r="C12" s="10" t="str">
        <f>IFERROR(VLOOKUP(B12,'Master Emp List'!$A$2:$I$38,3,FALSE),"No EMP ID Found")</f>
        <v>No EMP ID Found</v>
      </c>
      <c r="D12" s="10"/>
      <c r="E12" s="10"/>
      <c r="F12" s="134"/>
      <c r="G12" s="63"/>
    </row>
    <row r="13" spans="2:7">
      <c r="B13" s="9">
        <v>1003</v>
      </c>
      <c r="C13" s="10" t="str">
        <f>IFERROR(VLOOKUP(B13,'Master Emp List'!$A$2:$I$38,3,FALSE),"No EMP ID Found")</f>
        <v>No EMP ID Found</v>
      </c>
      <c r="D13" s="10"/>
      <c r="E13" s="10"/>
      <c r="F13" s="134"/>
      <c r="G13" s="63"/>
    </row>
    <row r="14" spans="2:7">
      <c r="B14" s="9">
        <v>1302</v>
      </c>
      <c r="C14" s="10" t="str">
        <f>IFERROR(VLOOKUP(B14,'Master Emp List'!$A$2:$I$38,3,FALSE),"No EMP ID Found")</f>
        <v>Randy</v>
      </c>
      <c r="D14" s="10"/>
      <c r="E14" s="10"/>
      <c r="F14" s="134"/>
      <c r="G14" s="63"/>
    </row>
    <row r="15" spans="2:7">
      <c r="B15" s="9">
        <v>1310</v>
      </c>
      <c r="C15" s="10" t="str">
        <f>IFERROR(VLOOKUP(B15,'Master Emp List'!$A$2:$I$38,3,FALSE),"No EMP ID Found")</f>
        <v>Ellen</v>
      </c>
      <c r="D15" s="10"/>
      <c r="E15" s="10"/>
      <c r="F15" s="134"/>
      <c r="G15" s="63"/>
    </row>
    <row r="16" spans="2:7">
      <c r="B16" s="9">
        <v>1329</v>
      </c>
      <c r="C16" s="10" t="str">
        <f>IFERROR(VLOOKUP(B16,'Master Emp List'!$A$2:$I$38,3,FALSE),"No EMP ID Found")</f>
        <v>Tuome</v>
      </c>
      <c r="D16" s="10"/>
      <c r="E16" s="10"/>
      <c r="F16" s="134"/>
      <c r="G16" s="63"/>
    </row>
    <row r="17" spans="2:7">
      <c r="B17" s="9">
        <v>1333</v>
      </c>
      <c r="C17" s="10" t="str">
        <f>IFERROR(VLOOKUP(B17,'Master Emp List'!$A$2:$I$38,3,FALSE),"No EMP ID Found")</f>
        <v>Tadeuz</v>
      </c>
      <c r="D17" s="10"/>
      <c r="E17" s="10"/>
      <c r="F17" s="134"/>
      <c r="G17" s="63"/>
    </row>
    <row r="18" spans="2:7" ht="13" thickBot="1">
      <c r="B18" s="12">
        <v>1368</v>
      </c>
      <c r="C18" s="10" t="str">
        <f>IFERROR(VLOOKUP(B18,'Master Emp List'!$A$2:$I$38,3,FALSE),"No EMP ID Found")</f>
        <v>Tammy</v>
      </c>
      <c r="D18" s="10"/>
      <c r="E18" s="10"/>
      <c r="F18" s="134"/>
      <c r="G18" s="6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20"/>
  <dimension ref="A1:I38"/>
  <sheetViews>
    <sheetView topLeftCell="A18" zoomScaleNormal="100" workbookViewId="0">
      <selection sqref="A1:I38"/>
    </sheetView>
  </sheetViews>
  <sheetFormatPr defaultRowHeight="14.25" customHeight="1"/>
  <cols>
    <col min="1" max="8" width="14.1796875" style="5" customWidth="1"/>
    <col min="9" max="9" width="14.179687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40" zoomScaleNormal="240" workbookViewId="0">
      <selection activeCell="A2" sqref="A2:B7"/>
    </sheetView>
  </sheetViews>
  <sheetFormatPr defaultColWidth="9.1796875" defaultRowHeight="12.5"/>
  <cols>
    <col min="1" max="1" width="30.1796875" style="51" bestFit="1" customWidth="1"/>
    <col min="2" max="2" width="18.7265625" style="51" customWidth="1"/>
    <col min="3" max="3" width="16.81640625" style="51" customWidth="1"/>
    <col min="4" max="4" width="8.1796875" style="51" customWidth="1"/>
    <col min="5" max="5" width="7.26953125" style="51" customWidth="1"/>
    <col min="6" max="6" width="10.54296875" style="51" bestFit="1" customWidth="1"/>
    <col min="7" max="7" width="12.7265625" style="51" bestFit="1" customWidth="1"/>
    <col min="8" max="16384" width="9.1796875" style="51"/>
  </cols>
  <sheetData>
    <row r="1" spans="1:2" ht="13" thickBot="1"/>
    <row r="2" spans="1:2" ht="22.5" customHeight="1" thickBot="1">
      <c r="A2" s="139" t="s">
        <v>229</v>
      </c>
      <c r="B2" s="140"/>
    </row>
    <row r="3" spans="1:2" ht="16.5" thickTop="1" thickBot="1">
      <c r="A3" s="57" t="s">
        <v>228</v>
      </c>
      <c r="B3" s="56" t="s">
        <v>224</v>
      </c>
    </row>
    <row r="4" spans="1:2" ht="7.5" customHeight="1" thickTop="1">
      <c r="A4" s="55"/>
      <c r="B4" s="54"/>
    </row>
    <row r="5" spans="1:2" ht="13">
      <c r="A5" s="58" t="s">
        <v>227</v>
      </c>
      <c r="B5" s="53">
        <f>HLOOKUP(B3,'Master Inventory List'!B2:G5,2,FALSE)</f>
        <v>150</v>
      </c>
    </row>
    <row r="6" spans="1:2" ht="13">
      <c r="A6" s="58" t="s">
        <v>226</v>
      </c>
      <c r="B6" s="53"/>
    </row>
    <row r="7" spans="1:2" ht="13.5" thickBot="1">
      <c r="A7" s="59" t="s">
        <v>225</v>
      </c>
      <c r="B7" s="53"/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0" zoomScaleNormal="200" workbookViewId="0">
      <selection activeCell="A2" sqref="A2:G5"/>
    </sheetView>
  </sheetViews>
  <sheetFormatPr defaultColWidth="9.1796875" defaultRowHeight="12.5"/>
  <cols>
    <col min="1" max="1" width="14.81640625" style="51" customWidth="1"/>
    <col min="2" max="16384" width="9.1796875" style="51"/>
  </cols>
  <sheetData>
    <row r="2" spans="1:7" ht="13">
      <c r="A2" s="60" t="s">
        <v>236</v>
      </c>
      <c r="B2" s="61" t="s">
        <v>222</v>
      </c>
      <c r="C2" s="61" t="s">
        <v>224</v>
      </c>
      <c r="D2" s="61" t="s">
        <v>235</v>
      </c>
      <c r="E2" s="61" t="s">
        <v>234</v>
      </c>
      <c r="F2" s="61" t="s">
        <v>233</v>
      </c>
      <c r="G2" s="61" t="s">
        <v>223</v>
      </c>
    </row>
    <row r="3" spans="1:7" ht="13">
      <c r="A3" s="62" t="s">
        <v>232</v>
      </c>
      <c r="B3" s="52">
        <v>120</v>
      </c>
      <c r="C3" s="52">
        <v>150</v>
      </c>
      <c r="D3" s="52">
        <v>135</v>
      </c>
      <c r="E3" s="52">
        <v>90</v>
      </c>
      <c r="F3" s="52">
        <v>95</v>
      </c>
      <c r="G3" s="52">
        <v>140</v>
      </c>
    </row>
    <row r="4" spans="1:7" ht="13">
      <c r="A4" s="62" t="s">
        <v>231</v>
      </c>
      <c r="B4" s="52">
        <v>55</v>
      </c>
      <c r="C4" s="52">
        <v>110</v>
      </c>
      <c r="D4" s="52">
        <v>75</v>
      </c>
      <c r="E4" s="52">
        <v>95</v>
      </c>
      <c r="F4" s="52">
        <v>75</v>
      </c>
      <c r="G4" s="52">
        <v>55</v>
      </c>
    </row>
    <row r="5" spans="1:7" ht="13">
      <c r="A5" s="62" t="s">
        <v>230</v>
      </c>
      <c r="B5" s="52">
        <v>70</v>
      </c>
      <c r="C5" s="52">
        <v>115</v>
      </c>
      <c r="D5" s="52">
        <v>65</v>
      </c>
      <c r="E5" s="52">
        <v>55</v>
      </c>
      <c r="F5" s="52">
        <v>85</v>
      </c>
      <c r="G5" s="52">
        <v>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1"/>
  <dimension ref="B2:F9"/>
  <sheetViews>
    <sheetView zoomScale="120" zoomScaleNormal="120" workbookViewId="0">
      <selection activeCell="XEZ4" sqref="XEZ4"/>
    </sheetView>
  </sheetViews>
  <sheetFormatPr defaultRowHeight="12.5"/>
  <cols>
    <col min="1" max="1" width="3.1796875" customWidth="1"/>
    <col min="2" max="2" width="10" customWidth="1"/>
    <col min="3" max="3" width="16" customWidth="1"/>
    <col min="4" max="4" width="19" bestFit="1" customWidth="1"/>
    <col min="5" max="5" width="2.81640625" customWidth="1"/>
    <col min="6" max="6" width="18.26953125" bestFit="1" customWidth="1"/>
  </cols>
  <sheetData>
    <row r="2" spans="2:6" ht="38" thickBot="1">
      <c r="C2" s="113" t="s">
        <v>277</v>
      </c>
      <c r="D2" s="115" t="s">
        <v>278</v>
      </c>
      <c r="F2" s="113" t="s">
        <v>237</v>
      </c>
    </row>
    <row r="3" spans="2:6" ht="14">
      <c r="B3" s="112" t="s">
        <v>279</v>
      </c>
      <c r="C3" s="114" t="s">
        <v>238</v>
      </c>
      <c r="D3" s="33" t="s">
        <v>239</v>
      </c>
      <c r="F3" s="117" t="s">
        <v>281</v>
      </c>
    </row>
    <row r="4" spans="2:6">
      <c r="B4" s="64">
        <v>1054</v>
      </c>
      <c r="C4" s="64"/>
      <c r="D4" s="64"/>
      <c r="F4" s="65"/>
    </row>
    <row r="5" spans="2:6">
      <c r="B5" s="64">
        <v>1078</v>
      </c>
      <c r="C5" s="64"/>
      <c r="D5" s="64"/>
      <c r="F5" s="65"/>
    </row>
    <row r="6" spans="2:6">
      <c r="B6" s="64">
        <v>1284</v>
      </c>
      <c r="C6" s="64"/>
      <c r="D6" s="64"/>
      <c r="F6" s="65"/>
    </row>
    <row r="7" spans="2:6">
      <c r="B7" s="64">
        <v>1299</v>
      </c>
      <c r="C7" s="64"/>
      <c r="D7" s="64"/>
      <c r="F7" s="65"/>
    </row>
    <row r="8" spans="2:6">
      <c r="B8" s="64">
        <v>1329</v>
      </c>
      <c r="C8" s="64"/>
      <c r="D8" s="64"/>
      <c r="F8" s="65"/>
    </row>
    <row r="9" spans="2:6">
      <c r="B9" s="64">
        <v>1509</v>
      </c>
      <c r="C9" s="64"/>
      <c r="D9" s="64"/>
      <c r="F9" s="6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topLeftCell="A21" zoomScale="110" zoomScaleNormal="110" workbookViewId="0">
      <selection sqref="A1:I38"/>
    </sheetView>
  </sheetViews>
  <sheetFormatPr defaultRowHeight="14.25" customHeight="1"/>
  <cols>
    <col min="1" max="8" width="14.1796875" style="5" customWidth="1"/>
    <col min="9" max="9" width="14.179687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zoomScale="120" zoomScaleNormal="120" workbookViewId="0">
      <selection activeCell="G3" sqref="G3"/>
    </sheetView>
  </sheetViews>
  <sheetFormatPr defaultRowHeight="12.5"/>
  <cols>
    <col min="1" max="1" width="14.453125" customWidth="1"/>
    <col min="2" max="2" width="27.81640625" bestFit="1" customWidth="1"/>
    <col min="3" max="3" width="12.54296875" customWidth="1"/>
    <col min="4" max="4" width="3.1796875" customWidth="1"/>
    <col min="5" max="5" width="11.81640625" customWidth="1"/>
    <col min="6" max="6" width="10.54296875" customWidth="1"/>
    <col min="7" max="7" width="18.54296875" bestFit="1" customWidth="1"/>
    <col min="8" max="8" width="10.81640625" bestFit="1" customWidth="1"/>
  </cols>
  <sheetData>
    <row r="2" spans="1:8" ht="13">
      <c r="A2" s="34" t="s">
        <v>167</v>
      </c>
      <c r="B2" s="34" t="s">
        <v>178</v>
      </c>
      <c r="C2" s="34" t="s">
        <v>202</v>
      </c>
      <c r="D2" s="38"/>
      <c r="E2" s="37" t="s">
        <v>166</v>
      </c>
      <c r="F2" s="37" t="s">
        <v>219</v>
      </c>
      <c r="G2" s="37" t="s">
        <v>218</v>
      </c>
      <c r="H2" s="35" t="s">
        <v>246</v>
      </c>
    </row>
    <row r="3" spans="1:8" ht="13">
      <c r="A3" s="21" t="s">
        <v>168</v>
      </c>
      <c r="B3" s="22" t="s">
        <v>179</v>
      </c>
      <c r="C3" s="23">
        <v>13.65</v>
      </c>
      <c r="D3" s="36"/>
      <c r="E3" s="16" t="str">
        <f>LEFT(A3,3)</f>
        <v>ACM</v>
      </c>
      <c r="F3" s="16" t="str">
        <f>MID(A3,4,3)</f>
        <v>110</v>
      </c>
      <c r="G3" s="16" t="str">
        <f>IF(LEN(A3)=10,RIGHT(A3,4),IF(LEN(A3)=9,RIGHT(A3,3),IF(LEN(A3)=8,RIGHT(A3,2),"Invalid SKU Number")))</f>
        <v>WW</v>
      </c>
      <c r="H3" s="16"/>
    </row>
    <row r="4" spans="1:8" ht="13">
      <c r="A4" s="21" t="s">
        <v>169</v>
      </c>
      <c r="B4" s="22" t="s">
        <v>180</v>
      </c>
      <c r="C4" s="23">
        <v>12.19</v>
      </c>
      <c r="D4" s="36"/>
      <c r="E4" s="16" t="str">
        <f t="shared" ref="E4:E26" si="0">LEFT(A4,3)</f>
        <v>ACM</v>
      </c>
      <c r="F4" s="16" t="str">
        <f t="shared" ref="F4:F26" si="1">MID(A4,4,3)</f>
        <v>111</v>
      </c>
      <c r="G4" s="16" t="str">
        <f t="shared" ref="G4:G26" si="2">IF(LEN(A4)=10,RIGHT(A4,4),IF(LEN(A4)=9,RIGHT(A4,3),IF(LEN(A4)=8,RIGHT(A4,2),"Invalid SKU Number")))</f>
        <v>WW</v>
      </c>
      <c r="H4" s="16"/>
    </row>
    <row r="5" spans="1:8" ht="13">
      <c r="A5" s="21" t="s">
        <v>170</v>
      </c>
      <c r="B5" s="22" t="s">
        <v>181</v>
      </c>
      <c r="C5" s="23">
        <v>10.89</v>
      </c>
      <c r="D5" s="36"/>
      <c r="E5" s="16" t="str">
        <f t="shared" si="0"/>
        <v>ACM</v>
      </c>
      <c r="F5" s="16" t="str">
        <f t="shared" si="1"/>
        <v>150</v>
      </c>
      <c r="G5" s="16" t="str">
        <f t="shared" si="2"/>
        <v>WW</v>
      </c>
      <c r="H5" s="16"/>
    </row>
    <row r="6" spans="1:8" ht="13">
      <c r="A6" s="21" t="s">
        <v>171</v>
      </c>
      <c r="B6" s="22" t="s">
        <v>182</v>
      </c>
      <c r="C6" s="23">
        <v>9.75</v>
      </c>
      <c r="D6" s="36"/>
      <c r="E6" s="16" t="str">
        <f t="shared" si="0"/>
        <v>ACM</v>
      </c>
      <c r="F6" s="16" t="str">
        <f t="shared" si="1"/>
        <v>321</v>
      </c>
      <c r="G6" s="16" t="str">
        <f t="shared" si="2"/>
        <v>DP</v>
      </c>
      <c r="H6" s="16"/>
    </row>
    <row r="7" spans="1:8" ht="13">
      <c r="A7" s="21" t="s">
        <v>172</v>
      </c>
      <c r="B7" s="22" t="s">
        <v>183</v>
      </c>
      <c r="C7" s="23">
        <v>9.59</v>
      </c>
      <c r="D7" s="36"/>
      <c r="E7" s="16" t="str">
        <f t="shared" si="0"/>
        <v>ACM</v>
      </c>
      <c r="F7" s="16" t="str">
        <f t="shared" si="1"/>
        <v>322</v>
      </c>
      <c r="G7" s="16" t="str">
        <f t="shared" si="2"/>
        <v>DP</v>
      </c>
      <c r="H7" s="16"/>
    </row>
    <row r="8" spans="1:8" ht="13">
      <c r="A8" s="21" t="s">
        <v>173</v>
      </c>
      <c r="B8" s="22" t="s">
        <v>184</v>
      </c>
      <c r="C8" s="23">
        <v>10.4</v>
      </c>
      <c r="D8" s="36"/>
      <c r="E8" s="16" t="str">
        <f t="shared" si="0"/>
        <v>ACM</v>
      </c>
      <c r="F8" s="16" t="str">
        <f t="shared" si="1"/>
        <v>325</v>
      </c>
      <c r="G8" s="16" t="str">
        <f t="shared" si="2"/>
        <v>DP</v>
      </c>
      <c r="H8" s="16"/>
    </row>
    <row r="9" spans="1:8" ht="13">
      <c r="A9" s="21" t="s">
        <v>174</v>
      </c>
      <c r="B9" s="22" t="s">
        <v>185</v>
      </c>
      <c r="C9" s="23">
        <v>10.56</v>
      </c>
      <c r="D9" s="36"/>
      <c r="E9" s="16" t="str">
        <f t="shared" si="0"/>
        <v>ACM</v>
      </c>
      <c r="F9" s="16" t="str">
        <f t="shared" si="1"/>
        <v>330</v>
      </c>
      <c r="G9" s="16" t="str">
        <f t="shared" si="2"/>
        <v>DP</v>
      </c>
      <c r="H9" s="16"/>
    </row>
    <row r="10" spans="1:8" ht="13">
      <c r="A10" s="21" t="s">
        <v>175</v>
      </c>
      <c r="B10" s="22" t="s">
        <v>186</v>
      </c>
      <c r="C10" s="23">
        <v>9.75</v>
      </c>
      <c r="D10" s="36"/>
      <c r="E10" s="16" t="str">
        <f t="shared" si="0"/>
        <v>ACM</v>
      </c>
      <c r="F10" s="16" t="str">
        <f t="shared" si="1"/>
        <v>450</v>
      </c>
      <c r="G10" s="16" t="str">
        <f t="shared" si="2"/>
        <v>DP</v>
      </c>
      <c r="H10" s="16"/>
    </row>
    <row r="11" spans="1:8" ht="13">
      <c r="A11" s="21" t="s">
        <v>176</v>
      </c>
      <c r="B11" s="22" t="s">
        <v>187</v>
      </c>
      <c r="C11" s="23">
        <v>9.75</v>
      </c>
      <c r="D11" s="36"/>
      <c r="E11" s="16" t="str">
        <f t="shared" si="0"/>
        <v>ACM</v>
      </c>
      <c r="F11" s="16" t="str">
        <f t="shared" si="1"/>
        <v>460</v>
      </c>
      <c r="G11" s="16" t="str">
        <f t="shared" si="2"/>
        <v>DP</v>
      </c>
      <c r="H11" s="16"/>
    </row>
    <row r="12" spans="1:8" ht="13">
      <c r="A12" s="21" t="s">
        <v>203</v>
      </c>
      <c r="B12" s="22" t="s">
        <v>188</v>
      </c>
      <c r="C12" s="23">
        <v>4.0599999999999996</v>
      </c>
      <c r="D12" s="36"/>
      <c r="E12" s="16" t="str">
        <f t="shared" si="0"/>
        <v>AST</v>
      </c>
      <c r="F12" s="16" t="str">
        <f t="shared" si="1"/>
        <v>530</v>
      </c>
      <c r="G12" s="16" t="str">
        <f t="shared" si="2"/>
        <v>OL</v>
      </c>
      <c r="H12" s="16"/>
    </row>
    <row r="13" spans="1:8" ht="13">
      <c r="A13" s="21" t="s">
        <v>204</v>
      </c>
      <c r="B13" s="22" t="s">
        <v>189</v>
      </c>
      <c r="C13" s="23">
        <v>5.04</v>
      </c>
      <c r="D13" s="36"/>
      <c r="E13" s="16" t="str">
        <f t="shared" si="0"/>
        <v>AST</v>
      </c>
      <c r="F13" s="16" t="str">
        <f t="shared" si="1"/>
        <v>100</v>
      </c>
      <c r="G13" s="16" t="str">
        <f t="shared" si="2"/>
        <v>TF</v>
      </c>
      <c r="H13" s="16"/>
    </row>
    <row r="14" spans="1:8" ht="13">
      <c r="A14" s="21" t="s">
        <v>205</v>
      </c>
      <c r="B14" s="22" t="s">
        <v>190</v>
      </c>
      <c r="C14" s="23">
        <v>3.9</v>
      </c>
      <c r="D14" s="36"/>
      <c r="E14" s="16" t="str">
        <f t="shared" si="0"/>
        <v>AST</v>
      </c>
      <c r="F14" s="16" t="str">
        <f t="shared" si="1"/>
        <v>130</v>
      </c>
      <c r="G14" s="16" t="str">
        <f t="shared" si="2"/>
        <v>OL</v>
      </c>
      <c r="H14" s="16"/>
    </row>
    <row r="15" spans="1:8" ht="13">
      <c r="A15" s="21" t="s">
        <v>206</v>
      </c>
      <c r="B15" s="22" t="s">
        <v>191</v>
      </c>
      <c r="C15" s="23">
        <v>4.55</v>
      </c>
      <c r="D15" s="36"/>
      <c r="E15" s="16" t="str">
        <f t="shared" si="0"/>
        <v>AST</v>
      </c>
      <c r="F15" s="16" t="str">
        <f t="shared" si="1"/>
        <v>140</v>
      </c>
      <c r="G15" s="16" t="str">
        <f t="shared" si="2"/>
        <v>OL</v>
      </c>
      <c r="H15" s="16"/>
    </row>
    <row r="16" spans="1:8" ht="13">
      <c r="A16" s="21" t="s">
        <v>207</v>
      </c>
      <c r="B16" s="22" t="s">
        <v>192</v>
      </c>
      <c r="C16" s="23">
        <v>5.2</v>
      </c>
      <c r="D16" s="36"/>
      <c r="E16" s="16" t="str">
        <f>LEFT(A16,3)</f>
        <v>AST</v>
      </c>
      <c r="F16" s="16" t="str">
        <f t="shared" si="1"/>
        <v>300</v>
      </c>
      <c r="G16" s="16" t="str">
        <f t="shared" si="2"/>
        <v>GO</v>
      </c>
      <c r="H16" s="16"/>
    </row>
    <row r="17" spans="1:8" ht="13">
      <c r="A17" s="21" t="s">
        <v>208</v>
      </c>
      <c r="B17" s="22" t="s">
        <v>193</v>
      </c>
      <c r="C17" s="23">
        <v>7.31</v>
      </c>
      <c r="D17" s="36"/>
      <c r="E17" s="16" t="str">
        <f t="shared" si="0"/>
        <v>AST</v>
      </c>
      <c r="F17" s="16" t="str">
        <f t="shared" si="1"/>
        <v>121</v>
      </c>
      <c r="G17" s="16" t="str">
        <f t="shared" si="2"/>
        <v>BF</v>
      </c>
      <c r="H17" s="16"/>
    </row>
    <row r="18" spans="1:8" ht="13">
      <c r="A18" s="21" t="s">
        <v>209</v>
      </c>
      <c r="B18" s="22" t="s">
        <v>194</v>
      </c>
      <c r="C18" s="23">
        <v>6.5</v>
      </c>
      <c r="D18" s="36"/>
      <c r="E18" s="16" t="str">
        <f t="shared" si="0"/>
        <v>AST</v>
      </c>
      <c r="F18" s="16" t="str">
        <f t="shared" si="1"/>
        <v>132</v>
      </c>
      <c r="G18" s="16" t="str">
        <f t="shared" si="2"/>
        <v>PS</v>
      </c>
      <c r="H18" s="16"/>
    </row>
    <row r="19" spans="1:8" ht="13">
      <c r="A19" s="21" t="s">
        <v>177</v>
      </c>
      <c r="B19" s="22" t="s">
        <v>195</v>
      </c>
      <c r="C19" s="23">
        <v>4.55</v>
      </c>
      <c r="D19" s="36"/>
      <c r="E19" s="16" t="str">
        <f t="shared" si="0"/>
        <v>AST</v>
      </c>
      <c r="F19" s="16" t="str">
        <f t="shared" si="1"/>
        <v>205</v>
      </c>
      <c r="G19" s="16" t="str">
        <f t="shared" si="2"/>
        <v>0995</v>
      </c>
      <c r="H19" s="16"/>
    </row>
    <row r="20" spans="1:8" ht="13">
      <c r="A20" s="21" t="s">
        <v>210</v>
      </c>
      <c r="B20" s="22" t="s">
        <v>196</v>
      </c>
      <c r="C20" s="23">
        <v>14.3</v>
      </c>
      <c r="D20" s="36"/>
      <c r="E20" s="16" t="str">
        <f t="shared" si="0"/>
        <v>BVR</v>
      </c>
      <c r="F20" s="16" t="str">
        <f t="shared" si="1"/>
        <v>590</v>
      </c>
      <c r="G20" s="16" t="str">
        <f t="shared" si="2"/>
        <v>WF</v>
      </c>
      <c r="H20" s="16"/>
    </row>
    <row r="21" spans="1:8" ht="13">
      <c r="A21" s="21" t="s">
        <v>211</v>
      </c>
      <c r="B21" s="22" t="s">
        <v>212</v>
      </c>
      <c r="C21" s="23">
        <v>13.81</v>
      </c>
      <c r="D21" s="36"/>
      <c r="E21" s="16" t="str">
        <f t="shared" si="0"/>
        <v>BVR</v>
      </c>
      <c r="F21" s="16" t="str">
        <f t="shared" si="1"/>
        <v>690</v>
      </c>
      <c r="G21" s="16" t="str">
        <f t="shared" si="2"/>
        <v>AF</v>
      </c>
      <c r="H21" s="16"/>
    </row>
    <row r="22" spans="1:8" ht="13">
      <c r="A22" s="21" t="s">
        <v>216</v>
      </c>
      <c r="B22" s="22" t="s">
        <v>197</v>
      </c>
      <c r="C22" s="23">
        <v>7.31</v>
      </c>
      <c r="D22" s="36"/>
      <c r="E22" s="16" t="str">
        <f t="shared" si="0"/>
        <v>TRA</v>
      </c>
      <c r="F22" s="16" t="str">
        <f t="shared" si="1"/>
        <v>203</v>
      </c>
      <c r="G22" s="16" t="str">
        <f t="shared" si="2"/>
        <v>OF</v>
      </c>
      <c r="H22" s="16"/>
    </row>
    <row r="23" spans="1:8" ht="13">
      <c r="A23" s="21" t="s">
        <v>217</v>
      </c>
      <c r="B23" s="22" t="s">
        <v>198</v>
      </c>
      <c r="C23" s="23">
        <v>7.31</v>
      </c>
      <c r="D23" s="36"/>
      <c r="E23" s="16" t="str">
        <f t="shared" si="0"/>
        <v>TRA</v>
      </c>
      <c r="F23" s="16" t="str">
        <f t="shared" si="1"/>
        <v>205</v>
      </c>
      <c r="G23" s="16" t="str">
        <f t="shared" si="2"/>
        <v>OF</v>
      </c>
      <c r="H23" s="16"/>
    </row>
    <row r="24" spans="1:8" ht="13">
      <c r="A24" s="21" t="s">
        <v>213</v>
      </c>
      <c r="B24" s="22" t="s">
        <v>199</v>
      </c>
      <c r="C24" s="23">
        <v>7.31</v>
      </c>
      <c r="D24" s="36"/>
      <c r="E24" s="16" t="str">
        <f t="shared" si="0"/>
        <v>TRA</v>
      </c>
      <c r="F24" s="16" t="str">
        <f t="shared" si="1"/>
        <v>207</v>
      </c>
      <c r="G24" s="16" t="str">
        <f t="shared" si="2"/>
        <v>OF</v>
      </c>
      <c r="H24" s="16"/>
    </row>
    <row r="25" spans="1:8" ht="13">
      <c r="A25" s="21" t="s">
        <v>214</v>
      </c>
      <c r="B25" s="22" t="s">
        <v>200</v>
      </c>
      <c r="C25" s="23">
        <v>7.64</v>
      </c>
      <c r="D25" s="36"/>
      <c r="E25" s="16" t="str">
        <f t="shared" si="0"/>
        <v>TRA</v>
      </c>
      <c r="F25" s="16" t="str">
        <f t="shared" si="1"/>
        <v>310</v>
      </c>
      <c r="G25" s="16" t="str">
        <f t="shared" si="2"/>
        <v>OF</v>
      </c>
      <c r="H25" s="16"/>
    </row>
    <row r="26" spans="1:8" ht="13">
      <c r="A26" s="21" t="s">
        <v>215</v>
      </c>
      <c r="B26" s="22" t="s">
        <v>201</v>
      </c>
      <c r="C26" s="23">
        <v>6.14</v>
      </c>
      <c r="D26" s="36"/>
      <c r="E26" s="16" t="str">
        <f t="shared" si="0"/>
        <v>TRA</v>
      </c>
      <c r="F26" s="16" t="str">
        <f t="shared" si="1"/>
        <v>610</v>
      </c>
      <c r="G26" s="16" t="str">
        <f t="shared" si="2"/>
        <v>OF</v>
      </c>
      <c r="H26" s="16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6"/>
  <sheetViews>
    <sheetView zoomScale="170" zoomScaleNormal="170" workbookViewId="0">
      <selection activeCell="C8" sqref="C8"/>
    </sheetView>
  </sheetViews>
  <sheetFormatPr defaultRowHeight="12.5"/>
  <cols>
    <col min="1" max="1" width="14.1796875" bestFit="1" customWidth="1"/>
    <col min="2" max="2" width="13" bestFit="1" customWidth="1"/>
    <col min="3" max="3" width="12.81640625" bestFit="1" customWidth="1"/>
    <col min="4" max="4" width="2.26953125" customWidth="1"/>
    <col min="5" max="5" width="11.1796875" bestFit="1" customWidth="1"/>
  </cols>
  <sheetData>
    <row r="1" spans="1:5" ht="15.5">
      <c r="A1" s="66" t="s">
        <v>240</v>
      </c>
      <c r="B1" s="66" t="s">
        <v>17</v>
      </c>
      <c r="C1" s="66" t="s">
        <v>16</v>
      </c>
      <c r="E1" s="66" t="s">
        <v>296</v>
      </c>
    </row>
    <row r="2" spans="1:5">
      <c r="A2" t="s">
        <v>241</v>
      </c>
      <c r="B2" t="str">
        <f>LEFT(A2,SEARCH(" ",A2)-1)</f>
        <v>Patrick</v>
      </c>
      <c r="C2" t="str">
        <f>RIGHT(A2,LEN(A2)-SEARCH(" ",A2))</f>
        <v>Marleau</v>
      </c>
      <c r="E2">
        <f>SEARCH(" ", A2)</f>
        <v>8</v>
      </c>
    </row>
    <row r="3" spans="1:5">
      <c r="A3" t="s">
        <v>242</v>
      </c>
      <c r="B3" t="str">
        <f t="shared" ref="B3:B6" si="0">LEFT(A3,SEARCH(" ",A3)-1)</f>
        <v>Joe</v>
      </c>
      <c r="C3" t="str">
        <f t="shared" ref="C3:C6" si="1">RIGHT(A3,LEN(A3)-SEARCH(" ",A3))</f>
        <v>Thornton</v>
      </c>
      <c r="E3">
        <f t="shared" ref="E3:E6" si="2">SEARCH(" ", A3)</f>
        <v>4</v>
      </c>
    </row>
    <row r="4" spans="1:5">
      <c r="A4" t="s">
        <v>243</v>
      </c>
      <c r="B4" t="str">
        <f t="shared" si="0"/>
        <v>Brent</v>
      </c>
      <c r="C4" t="str">
        <f t="shared" si="1"/>
        <v>Burns</v>
      </c>
      <c r="E4">
        <f t="shared" si="2"/>
        <v>6</v>
      </c>
    </row>
    <row r="5" spans="1:5">
      <c r="A5" t="s">
        <v>244</v>
      </c>
      <c r="B5" t="str">
        <f t="shared" si="0"/>
        <v>Joe</v>
      </c>
      <c r="C5" t="str">
        <f t="shared" si="1"/>
        <v>Pavelski</v>
      </c>
      <c r="E5">
        <f t="shared" si="2"/>
        <v>4</v>
      </c>
    </row>
    <row r="6" spans="1:5">
      <c r="A6" t="s">
        <v>245</v>
      </c>
      <c r="B6" t="str">
        <f t="shared" si="0"/>
        <v>Martin</v>
      </c>
      <c r="C6" t="str">
        <f t="shared" si="1"/>
        <v>Jones</v>
      </c>
      <c r="E6">
        <f t="shared" si="2"/>
        <v>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H18"/>
  <sheetViews>
    <sheetView showGridLines="0" zoomScale="110" zoomScaleNormal="110" workbookViewId="0">
      <selection activeCell="J7" sqref="J7"/>
    </sheetView>
  </sheetViews>
  <sheetFormatPr defaultRowHeight="12.5"/>
  <cols>
    <col min="1" max="1" width="3.453125" customWidth="1"/>
    <col min="2" max="2" width="12.81640625" customWidth="1"/>
    <col min="3" max="3" width="12.1796875" customWidth="1"/>
    <col min="4" max="4" width="3.1796875" customWidth="1"/>
    <col min="6" max="6" width="15.453125" customWidth="1"/>
    <col min="8" max="8" width="16.1796875" bestFit="1" customWidth="1"/>
  </cols>
  <sheetData>
    <row r="2" spans="2:8" ht="13">
      <c r="B2" s="39" t="s">
        <v>16</v>
      </c>
      <c r="C2" s="39" t="s">
        <v>17</v>
      </c>
      <c r="E2" s="143" t="s">
        <v>165</v>
      </c>
      <c r="F2" s="143"/>
      <c r="H2" s="145" t="s">
        <v>325</v>
      </c>
    </row>
    <row r="3" spans="2:8" ht="13">
      <c r="B3" s="24" t="s">
        <v>24</v>
      </c>
      <c r="C3" s="24" t="s">
        <v>25</v>
      </c>
      <c r="E3" s="141" t="str">
        <f>_xlfn.CONCAT(C3," ",B3)</f>
        <v>Howard Smith</v>
      </c>
      <c r="F3" s="142"/>
      <c r="H3" t="str">
        <f>C3 &amp; " " &amp;B3</f>
        <v>Howard Smith</v>
      </c>
    </row>
    <row r="4" spans="2:8" ht="13">
      <c r="B4" s="24" t="s">
        <v>29</v>
      </c>
      <c r="C4" s="24" t="s">
        <v>30</v>
      </c>
      <c r="E4" s="141" t="str">
        <f t="shared" ref="E4:E18" si="0">_xlfn.CONCAT(C4," ",B4)</f>
        <v>Joe Gonzales</v>
      </c>
      <c r="F4" s="142"/>
      <c r="H4" t="str">
        <f t="shared" ref="H4:H18" si="1">C4 &amp; " " &amp;B4</f>
        <v>Joe Gonzales</v>
      </c>
    </row>
    <row r="5" spans="2:8" ht="13">
      <c r="B5" s="24" t="s">
        <v>32</v>
      </c>
      <c r="C5" s="24" t="s">
        <v>33</v>
      </c>
      <c r="E5" s="141" t="str">
        <f t="shared" si="0"/>
        <v>Gail Scote</v>
      </c>
      <c r="F5" s="142"/>
      <c r="H5" t="str">
        <f t="shared" si="1"/>
        <v>Gail Scote</v>
      </c>
    </row>
    <row r="6" spans="2:8" ht="13">
      <c r="B6" s="24" t="s">
        <v>35</v>
      </c>
      <c r="C6" s="24" t="s">
        <v>36</v>
      </c>
      <c r="E6" s="141" t="str">
        <f t="shared" si="0"/>
        <v>Sheryl Kane</v>
      </c>
      <c r="F6" s="142"/>
      <c r="H6" t="str">
        <f t="shared" si="1"/>
        <v>Sheryl Kane</v>
      </c>
    </row>
    <row r="7" spans="2:8" ht="13">
      <c r="B7" s="24" t="s">
        <v>40</v>
      </c>
      <c r="C7" s="24" t="s">
        <v>41</v>
      </c>
      <c r="E7" s="141" t="str">
        <f t="shared" si="0"/>
        <v>Kendrick Hapsbuch</v>
      </c>
      <c r="F7" s="142"/>
      <c r="H7" t="str">
        <f t="shared" si="1"/>
        <v>Kendrick Hapsbuch</v>
      </c>
    </row>
    <row r="8" spans="2:8" ht="13">
      <c r="B8" s="24" t="s">
        <v>44</v>
      </c>
      <c r="C8" s="24" t="s">
        <v>45</v>
      </c>
      <c r="E8" s="141" t="str">
        <f t="shared" si="0"/>
        <v>Mark Henders</v>
      </c>
      <c r="F8" s="142"/>
      <c r="H8" t="str">
        <f t="shared" si="1"/>
        <v>Mark Henders</v>
      </c>
    </row>
    <row r="9" spans="2:8" ht="13">
      <c r="B9" s="24" t="s">
        <v>47</v>
      </c>
      <c r="C9" s="24" t="s">
        <v>48</v>
      </c>
      <c r="E9" s="141" t="str">
        <f t="shared" si="0"/>
        <v>Katie Atherton</v>
      </c>
      <c r="F9" s="142"/>
      <c r="H9" t="str">
        <f t="shared" si="1"/>
        <v>Katie Atherton</v>
      </c>
    </row>
    <row r="10" spans="2:8" ht="13">
      <c r="B10" s="24" t="s">
        <v>51</v>
      </c>
      <c r="C10" s="24" t="s">
        <v>52</v>
      </c>
      <c r="E10" s="141" t="str">
        <f t="shared" si="0"/>
        <v>Frank Bellwood</v>
      </c>
      <c r="F10" s="142"/>
      <c r="H10" t="str">
        <f t="shared" si="1"/>
        <v>Frank Bellwood</v>
      </c>
    </row>
    <row r="11" spans="2:8" ht="13">
      <c r="B11" s="24" t="s">
        <v>55</v>
      </c>
      <c r="C11" s="24" t="s">
        <v>56</v>
      </c>
      <c r="E11" s="141" t="str">
        <f t="shared" si="0"/>
        <v>Linda Cooper</v>
      </c>
      <c r="F11" s="142"/>
      <c r="H11" t="str">
        <f t="shared" si="1"/>
        <v>Linda Cooper</v>
      </c>
    </row>
    <row r="12" spans="2:8" ht="13">
      <c r="B12" s="24" t="s">
        <v>58</v>
      </c>
      <c r="C12" s="24" t="s">
        <v>59</v>
      </c>
      <c r="E12" s="141" t="str">
        <f t="shared" si="0"/>
        <v>Brent Cronwith</v>
      </c>
      <c r="F12" s="142"/>
      <c r="H12" t="str">
        <f t="shared" si="1"/>
        <v>Brent Cronwith</v>
      </c>
    </row>
    <row r="13" spans="2:8" ht="13">
      <c r="B13" s="24" t="s">
        <v>61</v>
      </c>
      <c r="C13" s="24" t="s">
        <v>62</v>
      </c>
      <c r="E13" s="141" t="str">
        <f t="shared" si="0"/>
        <v>Sandrae Simpson</v>
      </c>
      <c r="F13" s="142"/>
      <c r="H13" t="str">
        <f t="shared" si="1"/>
        <v>Sandrae Simpson</v>
      </c>
    </row>
    <row r="14" spans="2:8" ht="13">
      <c r="B14" s="24" t="s">
        <v>65</v>
      </c>
      <c r="C14" s="24" t="s">
        <v>66</v>
      </c>
      <c r="E14" s="141" t="str">
        <f t="shared" si="0"/>
        <v>Randy Sindole</v>
      </c>
      <c r="F14" s="142"/>
      <c r="H14" t="str">
        <f t="shared" si="1"/>
        <v>Randy Sindole</v>
      </c>
    </row>
    <row r="15" spans="2:8" ht="13">
      <c r="B15" s="24" t="s">
        <v>24</v>
      </c>
      <c r="C15" s="24" t="s">
        <v>68</v>
      </c>
      <c r="E15" s="141" t="str">
        <f t="shared" si="0"/>
        <v>Ellen Smith</v>
      </c>
      <c r="F15" s="142"/>
      <c r="H15" t="str">
        <f t="shared" si="1"/>
        <v>Ellen Smith</v>
      </c>
    </row>
    <row r="16" spans="2:8" ht="13">
      <c r="B16" s="24" t="s">
        <v>70</v>
      </c>
      <c r="C16" s="24" t="s">
        <v>71</v>
      </c>
      <c r="E16" s="141" t="str">
        <f t="shared" si="0"/>
        <v>Tuome Vuanuo</v>
      </c>
      <c r="F16" s="142"/>
      <c r="H16" t="str">
        <f t="shared" si="1"/>
        <v>Tuome Vuanuo</v>
      </c>
    </row>
    <row r="17" spans="2:8" ht="13">
      <c r="B17" s="24" t="s">
        <v>73</v>
      </c>
      <c r="C17" s="24" t="s">
        <v>74</v>
      </c>
      <c r="E17" s="141" t="str">
        <f t="shared" si="0"/>
        <v>Tadeuz Szcznyck</v>
      </c>
      <c r="F17" s="142"/>
      <c r="H17" t="str">
        <f t="shared" si="1"/>
        <v>Tadeuz Szcznyck</v>
      </c>
    </row>
    <row r="18" spans="2:8" ht="13">
      <c r="B18" s="24" t="s">
        <v>76</v>
      </c>
      <c r="C18" s="24" t="s">
        <v>77</v>
      </c>
      <c r="E18" s="141" t="str">
        <f t="shared" si="0"/>
        <v>Tammy Wu</v>
      </c>
      <c r="F18" s="142"/>
      <c r="H18" t="str">
        <f t="shared" si="1"/>
        <v>Tammy Wu</v>
      </c>
    </row>
  </sheetData>
  <mergeCells count="17"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  <mergeCell ref="E12:F12"/>
    <mergeCell ref="E13:F13"/>
    <mergeCell ref="E18:F18"/>
    <mergeCell ref="E14:F14"/>
    <mergeCell ref="E15:F15"/>
    <mergeCell ref="E16:F16"/>
    <mergeCell ref="E17:F17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1358-CCFB-40D2-98A1-1C460D985DF0}">
  <sheetPr codeName="Sheet22"/>
  <dimension ref="A1:D11"/>
  <sheetViews>
    <sheetView zoomScale="110" zoomScaleNormal="110" workbookViewId="0">
      <selection activeCell="G13" sqref="G13"/>
    </sheetView>
  </sheetViews>
  <sheetFormatPr defaultColWidth="9.1796875" defaultRowHeight="12.5"/>
  <cols>
    <col min="1" max="1" width="19.453125" style="67" bestFit="1" customWidth="1"/>
    <col min="2" max="2" width="20.7265625" style="67" bestFit="1" customWidth="1"/>
    <col min="3" max="3" width="13.7265625" style="67" bestFit="1" customWidth="1"/>
    <col min="4" max="4" width="6.1796875" style="67" bestFit="1" customWidth="1"/>
    <col min="5" max="16384" width="9.1796875" style="67"/>
  </cols>
  <sheetData>
    <row r="1" spans="1:4" ht="16" thickBot="1">
      <c r="A1" s="124" t="s">
        <v>292</v>
      </c>
      <c r="B1" s="124" t="s">
        <v>293</v>
      </c>
      <c r="C1" s="124" t="s">
        <v>294</v>
      </c>
      <c r="D1" s="124" t="s">
        <v>295</v>
      </c>
    </row>
    <row r="2" spans="1:4" ht="14.5">
      <c r="A2" s="125" t="s">
        <v>326</v>
      </c>
      <c r="B2" s="125" t="s">
        <v>336</v>
      </c>
      <c r="C2" s="125" t="s">
        <v>346</v>
      </c>
      <c r="D2" s="67" t="s">
        <v>356</v>
      </c>
    </row>
    <row r="3" spans="1:4" ht="14.5">
      <c r="A3" s="125" t="s">
        <v>327</v>
      </c>
      <c r="B3" s="125" t="s">
        <v>337</v>
      </c>
      <c r="C3" s="125" t="s">
        <v>347</v>
      </c>
      <c r="D3" s="67" t="s">
        <v>357</v>
      </c>
    </row>
    <row r="4" spans="1:4" ht="14.5">
      <c r="A4" s="125" t="s">
        <v>328</v>
      </c>
      <c r="B4" s="125" t="s">
        <v>338</v>
      </c>
      <c r="C4" s="125" t="s">
        <v>348</v>
      </c>
      <c r="D4" s="67" t="s">
        <v>358</v>
      </c>
    </row>
    <row r="5" spans="1:4" ht="14.5">
      <c r="A5" s="125" t="s">
        <v>329</v>
      </c>
      <c r="B5" s="125" t="s">
        <v>339</v>
      </c>
      <c r="C5" s="125" t="s">
        <v>349</v>
      </c>
      <c r="D5" s="67" t="s">
        <v>359</v>
      </c>
    </row>
    <row r="6" spans="1:4" ht="14.5">
      <c r="A6" s="125" t="s">
        <v>330</v>
      </c>
      <c r="B6" s="125" t="s">
        <v>340</v>
      </c>
      <c r="C6" s="125" t="s">
        <v>350</v>
      </c>
      <c r="D6" s="67" t="s">
        <v>360</v>
      </c>
    </row>
    <row r="7" spans="1:4" ht="14.5">
      <c r="A7" s="125" t="s">
        <v>331</v>
      </c>
      <c r="B7" s="125" t="s">
        <v>341</v>
      </c>
      <c r="C7" s="125" t="s">
        <v>351</v>
      </c>
      <c r="D7" s="67" t="s">
        <v>361</v>
      </c>
    </row>
    <row r="8" spans="1:4" ht="14.5">
      <c r="A8" s="125" t="s">
        <v>332</v>
      </c>
      <c r="B8" s="125" t="s">
        <v>342</v>
      </c>
      <c r="C8" s="125" t="s">
        <v>352</v>
      </c>
      <c r="D8" s="67" t="s">
        <v>357</v>
      </c>
    </row>
    <row r="9" spans="1:4" ht="14.5">
      <c r="A9" s="125" t="s">
        <v>333</v>
      </c>
      <c r="B9" s="125" t="s">
        <v>343</v>
      </c>
      <c r="C9" s="125" t="s">
        <v>353</v>
      </c>
      <c r="D9" s="67" t="s">
        <v>362</v>
      </c>
    </row>
    <row r="10" spans="1:4" ht="14.5">
      <c r="A10" s="125" t="s">
        <v>334</v>
      </c>
      <c r="B10" s="125" t="s">
        <v>344</v>
      </c>
      <c r="C10" s="125" t="s">
        <v>354</v>
      </c>
      <c r="D10" s="67" t="s">
        <v>363</v>
      </c>
    </row>
    <row r="11" spans="1:4" ht="14.5">
      <c r="A11" s="125" t="s">
        <v>335</v>
      </c>
      <c r="B11" s="125" t="s">
        <v>345</v>
      </c>
      <c r="C11" s="125" t="s">
        <v>355</v>
      </c>
      <c r="D11" s="67" t="s">
        <v>364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2"/>
  <sheetViews>
    <sheetView showGridLines="0" zoomScale="190" zoomScaleNormal="190" workbookViewId="0">
      <selection activeCell="F10" sqref="F10"/>
    </sheetView>
  </sheetViews>
  <sheetFormatPr defaultRowHeight="12.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3" thickBot="1"/>
    <row r="2" spans="1:9" ht="16" thickBot="1">
      <c r="A2" s="138" t="s">
        <v>280</v>
      </c>
      <c r="B2" s="138"/>
      <c r="C2" s="138"/>
      <c r="D2" s="138"/>
      <c r="E2" s="138"/>
      <c r="F2" s="138"/>
      <c r="H2" s="27" t="s">
        <v>0</v>
      </c>
      <c r="I2" s="44">
        <v>34000</v>
      </c>
    </row>
    <row r="3" spans="1:9" ht="13.5" thickTop="1" thickBot="1"/>
    <row r="4" spans="1:9" ht="14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5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IF(F5&gt;=I2,"YES", "NO")</f>
        <v>YES</v>
      </c>
      <c r="I5" s="2" t="str">
        <f>IF(AND(H5="YES ", MIN(B5:E5)&gt;=8000), "BONUS", "NO BONUS")</f>
        <v>NO BONUS</v>
      </c>
    </row>
    <row r="6" spans="1:9" ht="15.5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 t="shared" ref="H6:H9" si="0">IF(F6&gt;=I3,"YES", "NO")</f>
        <v>YES</v>
      </c>
      <c r="I6" s="2" t="str">
        <f t="shared" ref="I6:I9" si="1">IF(AND(H6="YES", MIN(B6:E6)&gt;=8000), "BONUS", "NO BONUS")</f>
        <v>NO BONUS</v>
      </c>
    </row>
    <row r="7" spans="1:9" ht="15.5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5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>IF(F8&gt;=I5,"YES ", "NO")</f>
        <v>NO</v>
      </c>
      <c r="I8" s="2" t="str">
        <f t="shared" si="1"/>
        <v>NO BONUS</v>
      </c>
    </row>
    <row r="9" spans="1:9" ht="16" thickBot="1">
      <c r="A9" s="15" t="s">
        <v>13</v>
      </c>
      <c r="B9" s="47">
        <v>7892</v>
      </c>
      <c r="C9" s="47">
        <v>7695</v>
      </c>
      <c r="D9" s="47">
        <v>9520</v>
      </c>
      <c r="E9" s="47">
        <v>10252</v>
      </c>
      <c r="F9" s="48">
        <f>SUM(B9:E9)</f>
        <v>35359</v>
      </c>
      <c r="H9" s="1" t="str">
        <f t="shared" si="0"/>
        <v>NO</v>
      </c>
      <c r="I9" s="2" t="str">
        <f t="shared" si="1"/>
        <v>NO BONUS</v>
      </c>
    </row>
    <row r="10" spans="1:9" ht="14">
      <c r="A10" s="45" t="s">
        <v>221</v>
      </c>
      <c r="B10" s="50">
        <f>SUM(B5:B9)</f>
        <v>40402</v>
      </c>
      <c r="C10" s="50">
        <f t="shared" ref="C10:E10" si="2">SUM(C5:C9)</f>
        <v>42555</v>
      </c>
      <c r="D10" s="50">
        <f t="shared" si="2"/>
        <v>46630</v>
      </c>
      <c r="E10" s="50">
        <f t="shared" si="2"/>
        <v>46624</v>
      </c>
      <c r="F10" s="50">
        <f>SUM(F5:F8)</f>
        <v>140852</v>
      </c>
    </row>
    <row r="11" spans="1:9" ht="14">
      <c r="A11" s="46"/>
    </row>
    <row r="12" spans="1:9" ht="16.5" customHeight="1">
      <c r="A12" s="135" t="s">
        <v>12</v>
      </c>
      <c r="B12" s="136"/>
      <c r="C12" s="136"/>
      <c r="D12" s="136"/>
      <c r="E12" s="137"/>
      <c r="F12" s="3">
        <f>COUNTIF(H5:H9, "YES")</f>
        <v>2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838D-7002-478F-B792-9B044C96209F}">
  <dimension ref="A1:F851"/>
  <sheetViews>
    <sheetView zoomScale="175" zoomScaleNormal="175" workbookViewId="0">
      <pane ySplit="1" topLeftCell="A2" activePane="bottomLeft" state="frozen"/>
      <selection pane="bottomLeft" activeCell="E6" sqref="E6"/>
    </sheetView>
  </sheetViews>
  <sheetFormatPr defaultColWidth="9.1796875" defaultRowHeight="12.5"/>
  <cols>
    <col min="1" max="1" width="12.7265625" style="67" customWidth="1"/>
    <col min="2" max="2" width="15.1796875" style="67" bestFit="1" customWidth="1"/>
    <col min="3" max="3" width="9" style="67" customWidth="1"/>
    <col min="4" max="4" width="23.7265625" style="67" bestFit="1" customWidth="1"/>
    <col min="5" max="5" width="12.453125" style="67" customWidth="1"/>
    <col min="6" max="6" width="11.7265625" style="67" bestFit="1" customWidth="1"/>
    <col min="7" max="16384" width="9.1796875" style="67"/>
  </cols>
  <sheetData>
    <row r="1" spans="1:6">
      <c r="A1" s="67" t="s">
        <v>297</v>
      </c>
      <c r="B1" s="67" t="s">
        <v>282</v>
      </c>
      <c r="C1" s="67" t="s">
        <v>263</v>
      </c>
      <c r="D1" s="67" t="s">
        <v>298</v>
      </c>
      <c r="E1" s="67" t="s">
        <v>299</v>
      </c>
      <c r="F1" s="67" t="s">
        <v>300</v>
      </c>
    </row>
    <row r="2" spans="1:6">
      <c r="A2" s="131">
        <v>45658</v>
      </c>
      <c r="B2" s="67" t="s">
        <v>301</v>
      </c>
      <c r="C2" s="67" t="s">
        <v>252</v>
      </c>
      <c r="D2" s="67" t="s">
        <v>302</v>
      </c>
      <c r="E2" s="67">
        <v>9</v>
      </c>
      <c r="F2" s="8">
        <v>7715</v>
      </c>
    </row>
    <row r="3" spans="1:6">
      <c r="A3" s="131">
        <v>45658</v>
      </c>
      <c r="B3" s="67" t="s">
        <v>303</v>
      </c>
      <c r="C3" s="67" t="s">
        <v>253</v>
      </c>
      <c r="D3" s="67" t="s">
        <v>304</v>
      </c>
      <c r="E3" s="67">
        <v>11</v>
      </c>
      <c r="F3" s="8">
        <v>8584</v>
      </c>
    </row>
    <row r="4" spans="1:6">
      <c r="A4" s="131">
        <v>45659</v>
      </c>
      <c r="B4" s="67" t="s">
        <v>305</v>
      </c>
      <c r="C4" s="67" t="s">
        <v>252</v>
      </c>
      <c r="D4" s="67" t="s">
        <v>306</v>
      </c>
      <c r="E4" s="67">
        <v>9</v>
      </c>
      <c r="F4" s="8">
        <v>11386</v>
      </c>
    </row>
    <row r="5" spans="1:6">
      <c r="A5" s="131">
        <v>45659</v>
      </c>
      <c r="B5" s="67" t="s">
        <v>307</v>
      </c>
      <c r="C5" s="67" t="s">
        <v>252</v>
      </c>
      <c r="D5" s="67" t="s">
        <v>308</v>
      </c>
      <c r="E5" s="67">
        <v>12</v>
      </c>
      <c r="F5" s="8">
        <v>3848</v>
      </c>
    </row>
    <row r="6" spans="1:6">
      <c r="A6" s="131">
        <v>45661</v>
      </c>
      <c r="B6" s="67" t="s">
        <v>307</v>
      </c>
      <c r="C6" s="67" t="s">
        <v>253</v>
      </c>
      <c r="D6" s="67" t="s">
        <v>308</v>
      </c>
      <c r="E6" s="67">
        <v>9</v>
      </c>
      <c r="F6" s="8">
        <v>6793</v>
      </c>
    </row>
    <row r="7" spans="1:6">
      <c r="A7" s="131">
        <v>45661</v>
      </c>
      <c r="B7" s="67" t="s">
        <v>309</v>
      </c>
      <c r="C7" s="67" t="s">
        <v>252</v>
      </c>
      <c r="D7" s="67" t="s">
        <v>310</v>
      </c>
      <c r="E7" s="67">
        <v>1</v>
      </c>
      <c r="F7" s="8">
        <v>3873</v>
      </c>
    </row>
    <row r="8" spans="1:6">
      <c r="A8" s="131">
        <v>45661</v>
      </c>
      <c r="B8" s="67" t="s">
        <v>311</v>
      </c>
      <c r="C8" s="67" t="s">
        <v>287</v>
      </c>
      <c r="D8" s="67" t="s">
        <v>308</v>
      </c>
      <c r="E8" s="67">
        <v>2</v>
      </c>
      <c r="F8" s="8">
        <v>5999</v>
      </c>
    </row>
    <row r="9" spans="1:6">
      <c r="A9" s="131">
        <v>45662</v>
      </c>
      <c r="B9" s="67" t="s">
        <v>312</v>
      </c>
      <c r="C9" s="67" t="s">
        <v>253</v>
      </c>
      <c r="D9" s="67" t="s">
        <v>308</v>
      </c>
      <c r="E9" s="67">
        <v>5</v>
      </c>
      <c r="F9" s="8">
        <v>2713</v>
      </c>
    </row>
    <row r="10" spans="1:6">
      <c r="A10" s="131">
        <v>45662</v>
      </c>
      <c r="B10" s="67" t="s">
        <v>313</v>
      </c>
      <c r="C10" s="67" t="s">
        <v>253</v>
      </c>
      <c r="D10" s="67" t="s">
        <v>308</v>
      </c>
      <c r="E10" s="67">
        <v>12</v>
      </c>
      <c r="F10" s="8">
        <v>11870</v>
      </c>
    </row>
    <row r="11" spans="1:6">
      <c r="A11" s="131">
        <v>45663</v>
      </c>
      <c r="B11" s="67" t="s">
        <v>311</v>
      </c>
      <c r="C11" s="67" t="s">
        <v>287</v>
      </c>
      <c r="D11" s="67" t="s">
        <v>308</v>
      </c>
      <c r="E11" s="67">
        <v>7</v>
      </c>
      <c r="F11" s="8">
        <v>3464</v>
      </c>
    </row>
    <row r="12" spans="1:6">
      <c r="A12" s="131">
        <v>45663</v>
      </c>
      <c r="B12" s="67" t="s">
        <v>309</v>
      </c>
      <c r="C12" s="67" t="s">
        <v>253</v>
      </c>
      <c r="D12" s="67" t="s">
        <v>304</v>
      </c>
      <c r="E12" s="67">
        <v>3</v>
      </c>
      <c r="F12" s="8">
        <v>4509</v>
      </c>
    </row>
    <row r="13" spans="1:6">
      <c r="A13" s="131">
        <v>45663</v>
      </c>
      <c r="B13" s="67" t="s">
        <v>314</v>
      </c>
      <c r="C13" s="67" t="s">
        <v>253</v>
      </c>
      <c r="D13" s="67" t="s">
        <v>306</v>
      </c>
      <c r="E13" s="67">
        <v>11</v>
      </c>
      <c r="F13" s="8">
        <v>3761</v>
      </c>
    </row>
    <row r="14" spans="1:6">
      <c r="A14" s="131">
        <v>45664</v>
      </c>
      <c r="B14" s="67" t="s">
        <v>303</v>
      </c>
      <c r="C14" s="67" t="s">
        <v>287</v>
      </c>
      <c r="D14" s="67" t="s">
        <v>315</v>
      </c>
      <c r="E14" s="67">
        <v>2</v>
      </c>
      <c r="F14" s="8">
        <v>5136</v>
      </c>
    </row>
    <row r="15" spans="1:6">
      <c r="A15" s="131">
        <v>45664</v>
      </c>
      <c r="B15" s="67" t="s">
        <v>311</v>
      </c>
      <c r="C15" s="67" t="s">
        <v>252</v>
      </c>
      <c r="D15" s="67" t="s">
        <v>308</v>
      </c>
      <c r="E15" s="67">
        <v>6</v>
      </c>
      <c r="F15" s="8">
        <v>2988</v>
      </c>
    </row>
    <row r="16" spans="1:6">
      <c r="A16" s="131">
        <v>45665</v>
      </c>
      <c r="B16" s="67" t="s">
        <v>316</v>
      </c>
      <c r="C16" s="67" t="s">
        <v>252</v>
      </c>
      <c r="D16" s="67" t="s">
        <v>315</v>
      </c>
      <c r="E16" s="67">
        <v>12</v>
      </c>
      <c r="F16" s="8">
        <v>8218</v>
      </c>
    </row>
    <row r="17" spans="1:6">
      <c r="A17" s="131">
        <v>45665</v>
      </c>
      <c r="B17" s="67" t="s">
        <v>303</v>
      </c>
      <c r="C17" s="67" t="s">
        <v>254</v>
      </c>
      <c r="D17" s="67" t="s">
        <v>308</v>
      </c>
      <c r="E17" s="67">
        <v>2</v>
      </c>
      <c r="F17" s="8">
        <v>5249</v>
      </c>
    </row>
    <row r="18" spans="1:6">
      <c r="A18" s="131">
        <v>45665</v>
      </c>
      <c r="B18" s="67" t="s">
        <v>313</v>
      </c>
      <c r="C18" s="67" t="s">
        <v>287</v>
      </c>
      <c r="D18" s="67" t="s">
        <v>310</v>
      </c>
      <c r="E18" s="67">
        <v>12</v>
      </c>
      <c r="F18" s="8">
        <v>1000</v>
      </c>
    </row>
    <row r="19" spans="1:6">
      <c r="A19" s="131">
        <v>45665</v>
      </c>
      <c r="B19" s="67" t="s">
        <v>303</v>
      </c>
      <c r="C19" s="67" t="s">
        <v>254</v>
      </c>
      <c r="D19" s="67" t="s">
        <v>302</v>
      </c>
      <c r="E19" s="67">
        <v>6</v>
      </c>
      <c r="F19" s="8">
        <v>5618</v>
      </c>
    </row>
    <row r="20" spans="1:6">
      <c r="A20" s="131">
        <v>45666</v>
      </c>
      <c r="B20" s="67" t="s">
        <v>311</v>
      </c>
      <c r="C20" s="67" t="s">
        <v>287</v>
      </c>
      <c r="D20" s="67" t="s">
        <v>304</v>
      </c>
      <c r="E20" s="67">
        <v>4</v>
      </c>
      <c r="F20" s="8">
        <v>7330</v>
      </c>
    </row>
    <row r="21" spans="1:6">
      <c r="A21" s="131">
        <v>45666</v>
      </c>
      <c r="B21" s="67" t="s">
        <v>305</v>
      </c>
      <c r="C21" s="67" t="s">
        <v>254</v>
      </c>
      <c r="D21" s="67" t="s">
        <v>310</v>
      </c>
      <c r="E21" s="67">
        <v>8</v>
      </c>
      <c r="F21" s="8">
        <v>4726</v>
      </c>
    </row>
    <row r="22" spans="1:6">
      <c r="A22" s="131">
        <v>45666</v>
      </c>
      <c r="B22" s="67" t="s">
        <v>301</v>
      </c>
      <c r="C22" s="67" t="s">
        <v>252</v>
      </c>
      <c r="D22" s="67" t="s">
        <v>310</v>
      </c>
      <c r="E22" s="67">
        <v>8</v>
      </c>
      <c r="F22" s="8">
        <v>10652</v>
      </c>
    </row>
    <row r="23" spans="1:6">
      <c r="A23" s="131">
        <v>45666</v>
      </c>
      <c r="B23" s="67" t="s">
        <v>301</v>
      </c>
      <c r="C23" s="67" t="s">
        <v>254</v>
      </c>
      <c r="D23" s="67" t="s">
        <v>306</v>
      </c>
      <c r="E23" s="67">
        <v>9</v>
      </c>
      <c r="F23" s="8">
        <v>10884</v>
      </c>
    </row>
    <row r="24" spans="1:6">
      <c r="A24" s="131">
        <v>45666</v>
      </c>
      <c r="B24" s="67" t="s">
        <v>313</v>
      </c>
      <c r="C24" s="67" t="s">
        <v>254</v>
      </c>
      <c r="D24" s="67" t="s">
        <v>306</v>
      </c>
      <c r="E24" s="67">
        <v>5</v>
      </c>
      <c r="F24" s="8">
        <v>2933</v>
      </c>
    </row>
    <row r="25" spans="1:6">
      <c r="A25" s="131">
        <v>45666</v>
      </c>
      <c r="B25" s="67" t="s">
        <v>313</v>
      </c>
      <c r="C25" s="67" t="s">
        <v>253</v>
      </c>
      <c r="D25" s="67" t="s">
        <v>306</v>
      </c>
      <c r="E25" s="67">
        <v>13</v>
      </c>
      <c r="F25" s="8">
        <v>11455</v>
      </c>
    </row>
    <row r="26" spans="1:6">
      <c r="A26" s="131">
        <v>45667</v>
      </c>
      <c r="B26" s="67" t="s">
        <v>311</v>
      </c>
      <c r="C26" s="67" t="s">
        <v>253</v>
      </c>
      <c r="D26" s="67" t="s">
        <v>302</v>
      </c>
      <c r="E26" s="67">
        <v>5</v>
      </c>
      <c r="F26" s="8">
        <v>8552</v>
      </c>
    </row>
    <row r="27" spans="1:6">
      <c r="A27" s="131">
        <v>45667</v>
      </c>
      <c r="B27" s="67" t="s">
        <v>309</v>
      </c>
      <c r="C27" s="67" t="s">
        <v>254</v>
      </c>
      <c r="D27" s="67" t="s">
        <v>308</v>
      </c>
      <c r="E27" s="67">
        <v>3</v>
      </c>
      <c r="F27" s="8">
        <v>8093</v>
      </c>
    </row>
    <row r="28" spans="1:6">
      <c r="A28" s="131">
        <v>45668</v>
      </c>
      <c r="B28" s="67" t="s">
        <v>311</v>
      </c>
      <c r="C28" s="67" t="s">
        <v>253</v>
      </c>
      <c r="D28" s="67" t="s">
        <v>315</v>
      </c>
      <c r="E28" s="67">
        <v>1</v>
      </c>
      <c r="F28" s="8">
        <v>10267</v>
      </c>
    </row>
    <row r="29" spans="1:6">
      <c r="A29" s="131">
        <v>45668</v>
      </c>
      <c r="B29" s="67" t="s">
        <v>311</v>
      </c>
      <c r="C29" s="67" t="s">
        <v>252</v>
      </c>
      <c r="D29" s="67" t="s">
        <v>315</v>
      </c>
      <c r="E29" s="67">
        <v>2</v>
      </c>
      <c r="F29" s="8">
        <v>7797</v>
      </c>
    </row>
    <row r="30" spans="1:6">
      <c r="A30" s="131">
        <v>45668</v>
      </c>
      <c r="B30" s="67" t="s">
        <v>311</v>
      </c>
      <c r="C30" s="67" t="s">
        <v>253</v>
      </c>
      <c r="D30" s="67" t="s">
        <v>315</v>
      </c>
      <c r="E30" s="67">
        <v>3</v>
      </c>
      <c r="F30" s="8">
        <v>7749</v>
      </c>
    </row>
    <row r="31" spans="1:6">
      <c r="A31" s="131">
        <v>45668</v>
      </c>
      <c r="B31" s="67" t="s">
        <v>314</v>
      </c>
      <c r="C31" s="67" t="s">
        <v>287</v>
      </c>
      <c r="D31" s="67" t="s">
        <v>302</v>
      </c>
      <c r="E31" s="67">
        <v>12</v>
      </c>
      <c r="F31" s="8">
        <v>10610</v>
      </c>
    </row>
    <row r="32" spans="1:6">
      <c r="A32" s="131">
        <v>45668</v>
      </c>
      <c r="B32" s="67" t="s">
        <v>307</v>
      </c>
      <c r="C32" s="67" t="s">
        <v>254</v>
      </c>
      <c r="D32" s="67" t="s">
        <v>315</v>
      </c>
      <c r="E32" s="67">
        <v>10</v>
      </c>
      <c r="F32" s="8">
        <v>11818</v>
      </c>
    </row>
    <row r="33" spans="1:6">
      <c r="A33" s="131">
        <v>45669</v>
      </c>
      <c r="B33" s="67" t="s">
        <v>311</v>
      </c>
      <c r="C33" s="67" t="s">
        <v>253</v>
      </c>
      <c r="D33" s="67" t="s">
        <v>310</v>
      </c>
      <c r="E33" s="67">
        <v>10</v>
      </c>
      <c r="F33" s="8">
        <v>2235</v>
      </c>
    </row>
    <row r="34" spans="1:6">
      <c r="A34" s="131">
        <v>45670</v>
      </c>
      <c r="B34" s="67" t="s">
        <v>309</v>
      </c>
      <c r="C34" s="67" t="s">
        <v>254</v>
      </c>
      <c r="D34" s="67" t="s">
        <v>310</v>
      </c>
      <c r="E34" s="67">
        <v>10</v>
      </c>
      <c r="F34" s="8">
        <v>4347</v>
      </c>
    </row>
    <row r="35" spans="1:6">
      <c r="A35" s="131">
        <v>45670</v>
      </c>
      <c r="B35" s="67" t="s">
        <v>312</v>
      </c>
      <c r="C35" s="67" t="s">
        <v>254</v>
      </c>
      <c r="D35" s="67" t="s">
        <v>302</v>
      </c>
      <c r="E35" s="67">
        <v>1</v>
      </c>
      <c r="F35" s="8">
        <v>10117</v>
      </c>
    </row>
    <row r="36" spans="1:6">
      <c r="A36" s="131">
        <v>45670</v>
      </c>
      <c r="B36" s="67" t="s">
        <v>311</v>
      </c>
      <c r="C36" s="67" t="s">
        <v>253</v>
      </c>
      <c r="D36" s="67" t="s">
        <v>302</v>
      </c>
      <c r="E36" s="67">
        <v>7</v>
      </c>
      <c r="F36" s="8">
        <v>8306</v>
      </c>
    </row>
    <row r="37" spans="1:6">
      <c r="A37" s="131">
        <v>45670</v>
      </c>
      <c r="B37" s="67" t="s">
        <v>309</v>
      </c>
      <c r="C37" s="67" t="s">
        <v>254</v>
      </c>
      <c r="D37" s="67" t="s">
        <v>308</v>
      </c>
      <c r="E37" s="67">
        <v>3</v>
      </c>
      <c r="F37" s="8">
        <v>5972</v>
      </c>
    </row>
    <row r="38" spans="1:6">
      <c r="A38" s="131">
        <v>45670</v>
      </c>
      <c r="B38" s="67" t="s">
        <v>314</v>
      </c>
      <c r="C38" s="67" t="s">
        <v>254</v>
      </c>
      <c r="D38" s="67" t="s">
        <v>306</v>
      </c>
      <c r="E38" s="67">
        <v>10</v>
      </c>
      <c r="F38" s="8">
        <v>10657</v>
      </c>
    </row>
    <row r="39" spans="1:6">
      <c r="A39" s="131">
        <v>45671</v>
      </c>
      <c r="B39" s="67" t="s">
        <v>314</v>
      </c>
      <c r="C39" s="67" t="s">
        <v>253</v>
      </c>
      <c r="D39" s="67" t="s">
        <v>315</v>
      </c>
      <c r="E39" s="67">
        <v>7</v>
      </c>
      <c r="F39" s="8">
        <v>905</v>
      </c>
    </row>
    <row r="40" spans="1:6">
      <c r="A40" s="131">
        <v>45671</v>
      </c>
      <c r="B40" s="67" t="s">
        <v>314</v>
      </c>
      <c r="C40" s="67" t="s">
        <v>253</v>
      </c>
      <c r="D40" s="67" t="s">
        <v>308</v>
      </c>
      <c r="E40" s="67">
        <v>8</v>
      </c>
      <c r="F40" s="8">
        <v>10162</v>
      </c>
    </row>
    <row r="41" spans="1:6">
      <c r="A41" s="131">
        <v>45671</v>
      </c>
      <c r="B41" s="67" t="s">
        <v>303</v>
      </c>
      <c r="C41" s="67" t="s">
        <v>254</v>
      </c>
      <c r="D41" s="67" t="s">
        <v>304</v>
      </c>
      <c r="E41" s="67">
        <v>14</v>
      </c>
      <c r="F41" s="8">
        <v>7964</v>
      </c>
    </row>
    <row r="42" spans="1:6">
      <c r="A42" s="131">
        <v>45671</v>
      </c>
      <c r="B42" s="67" t="s">
        <v>312</v>
      </c>
      <c r="C42" s="67" t="s">
        <v>252</v>
      </c>
      <c r="D42" s="67" t="s">
        <v>310</v>
      </c>
      <c r="E42" s="67">
        <v>2</v>
      </c>
      <c r="F42" s="8">
        <v>3142</v>
      </c>
    </row>
    <row r="43" spans="1:6">
      <c r="A43" s="131">
        <v>45671</v>
      </c>
      <c r="B43" s="67" t="s">
        <v>301</v>
      </c>
      <c r="C43" s="67" t="s">
        <v>287</v>
      </c>
      <c r="D43" s="67" t="s">
        <v>306</v>
      </c>
      <c r="E43" s="67">
        <v>1</v>
      </c>
      <c r="F43" s="8">
        <v>10410</v>
      </c>
    </row>
    <row r="44" spans="1:6">
      <c r="A44" s="131">
        <v>45672</v>
      </c>
      <c r="B44" s="67" t="s">
        <v>314</v>
      </c>
      <c r="C44" s="67" t="s">
        <v>254</v>
      </c>
      <c r="D44" s="67" t="s">
        <v>310</v>
      </c>
      <c r="E44" s="67">
        <v>8</v>
      </c>
      <c r="F44" s="8">
        <v>10044</v>
      </c>
    </row>
    <row r="45" spans="1:6">
      <c r="A45" s="131">
        <v>45672</v>
      </c>
      <c r="B45" s="67" t="s">
        <v>316</v>
      </c>
      <c r="C45" s="67" t="s">
        <v>287</v>
      </c>
      <c r="D45" s="67" t="s">
        <v>302</v>
      </c>
      <c r="E45" s="67">
        <v>3</v>
      </c>
      <c r="F45" s="8">
        <v>3641</v>
      </c>
    </row>
    <row r="46" spans="1:6">
      <c r="A46" s="131">
        <v>45672</v>
      </c>
      <c r="B46" s="67" t="s">
        <v>314</v>
      </c>
      <c r="C46" s="67" t="s">
        <v>254</v>
      </c>
      <c r="D46" s="67" t="s">
        <v>306</v>
      </c>
      <c r="E46" s="67">
        <v>11</v>
      </c>
      <c r="F46" s="8">
        <v>6135</v>
      </c>
    </row>
    <row r="47" spans="1:6">
      <c r="A47" s="131">
        <v>45673</v>
      </c>
      <c r="B47" s="67" t="s">
        <v>313</v>
      </c>
      <c r="C47" s="67" t="s">
        <v>287</v>
      </c>
      <c r="D47" s="67" t="s">
        <v>302</v>
      </c>
      <c r="E47" s="67">
        <v>2</v>
      </c>
      <c r="F47" s="8">
        <v>8335</v>
      </c>
    </row>
    <row r="48" spans="1:6">
      <c r="A48" s="131">
        <v>45673</v>
      </c>
      <c r="B48" s="67" t="s">
        <v>303</v>
      </c>
      <c r="C48" s="67" t="s">
        <v>287</v>
      </c>
      <c r="D48" s="67" t="s">
        <v>304</v>
      </c>
      <c r="E48" s="67">
        <v>8</v>
      </c>
      <c r="F48" s="8">
        <v>6532</v>
      </c>
    </row>
    <row r="49" spans="1:6">
      <c r="A49" s="131">
        <v>45673</v>
      </c>
      <c r="B49" s="67" t="s">
        <v>313</v>
      </c>
      <c r="C49" s="67" t="s">
        <v>253</v>
      </c>
      <c r="D49" s="67" t="s">
        <v>315</v>
      </c>
      <c r="E49" s="67">
        <v>12</v>
      </c>
      <c r="F49" s="8">
        <v>5700</v>
      </c>
    </row>
    <row r="50" spans="1:6">
      <c r="A50" s="131">
        <v>45674</v>
      </c>
      <c r="B50" s="67" t="s">
        <v>314</v>
      </c>
      <c r="C50" s="67" t="s">
        <v>252</v>
      </c>
      <c r="D50" s="67" t="s">
        <v>302</v>
      </c>
      <c r="E50" s="67">
        <v>11</v>
      </c>
      <c r="F50" s="8">
        <v>2955</v>
      </c>
    </row>
    <row r="51" spans="1:6">
      <c r="A51" s="131">
        <v>45674</v>
      </c>
      <c r="B51" s="67" t="s">
        <v>311</v>
      </c>
      <c r="C51" s="67" t="s">
        <v>287</v>
      </c>
      <c r="D51" s="67" t="s">
        <v>315</v>
      </c>
      <c r="E51" s="67">
        <v>3</v>
      </c>
      <c r="F51" s="8">
        <v>5858</v>
      </c>
    </row>
    <row r="52" spans="1:6">
      <c r="A52" s="131">
        <v>45675</v>
      </c>
      <c r="B52" s="67" t="s">
        <v>309</v>
      </c>
      <c r="C52" s="67" t="s">
        <v>254</v>
      </c>
      <c r="D52" s="67" t="s">
        <v>310</v>
      </c>
      <c r="E52" s="67">
        <v>14</v>
      </c>
      <c r="F52" s="8">
        <v>11395</v>
      </c>
    </row>
    <row r="53" spans="1:6">
      <c r="A53" s="131">
        <v>45675</v>
      </c>
      <c r="B53" s="67" t="s">
        <v>311</v>
      </c>
      <c r="C53" s="67" t="s">
        <v>253</v>
      </c>
      <c r="D53" s="67" t="s">
        <v>306</v>
      </c>
      <c r="E53" s="67">
        <v>14</v>
      </c>
      <c r="F53" s="8">
        <v>1059</v>
      </c>
    </row>
    <row r="54" spans="1:6">
      <c r="A54" s="131">
        <v>45675</v>
      </c>
      <c r="B54" s="67" t="s">
        <v>307</v>
      </c>
      <c r="C54" s="67" t="s">
        <v>252</v>
      </c>
      <c r="D54" s="67" t="s">
        <v>304</v>
      </c>
      <c r="E54" s="67">
        <v>11</v>
      </c>
      <c r="F54" s="8">
        <v>10352</v>
      </c>
    </row>
    <row r="55" spans="1:6">
      <c r="A55" s="131">
        <v>45676</v>
      </c>
      <c r="B55" s="67" t="s">
        <v>312</v>
      </c>
      <c r="C55" s="67" t="s">
        <v>254</v>
      </c>
      <c r="D55" s="67" t="s">
        <v>308</v>
      </c>
      <c r="E55" s="67">
        <v>5</v>
      </c>
      <c r="F55" s="8">
        <v>6752</v>
      </c>
    </row>
    <row r="56" spans="1:6">
      <c r="A56" s="131">
        <v>45677</v>
      </c>
      <c r="B56" s="67" t="s">
        <v>316</v>
      </c>
      <c r="C56" s="67" t="s">
        <v>253</v>
      </c>
      <c r="D56" s="67" t="s">
        <v>315</v>
      </c>
      <c r="E56" s="67">
        <v>5</v>
      </c>
      <c r="F56" s="8">
        <v>7643</v>
      </c>
    </row>
    <row r="57" spans="1:6">
      <c r="A57" s="131">
        <v>45677</v>
      </c>
      <c r="B57" s="67" t="s">
        <v>301</v>
      </c>
      <c r="C57" s="67" t="s">
        <v>254</v>
      </c>
      <c r="D57" s="67" t="s">
        <v>315</v>
      </c>
      <c r="E57" s="67">
        <v>7</v>
      </c>
      <c r="F57" s="8">
        <v>1444</v>
      </c>
    </row>
    <row r="58" spans="1:6">
      <c r="A58" s="131">
        <v>45677</v>
      </c>
      <c r="B58" s="67" t="s">
        <v>311</v>
      </c>
      <c r="C58" s="67" t="s">
        <v>252</v>
      </c>
      <c r="D58" s="67" t="s">
        <v>304</v>
      </c>
      <c r="E58" s="67">
        <v>2</v>
      </c>
      <c r="F58" s="8">
        <v>6696</v>
      </c>
    </row>
    <row r="59" spans="1:6">
      <c r="A59" s="131">
        <v>45678</v>
      </c>
      <c r="B59" s="67" t="s">
        <v>301</v>
      </c>
      <c r="C59" s="67" t="s">
        <v>254</v>
      </c>
      <c r="D59" s="67" t="s">
        <v>310</v>
      </c>
      <c r="E59" s="67">
        <v>11</v>
      </c>
      <c r="F59" s="8">
        <v>5731</v>
      </c>
    </row>
    <row r="60" spans="1:6">
      <c r="A60" s="131">
        <v>45679</v>
      </c>
      <c r="B60" s="67" t="s">
        <v>314</v>
      </c>
      <c r="C60" s="67" t="s">
        <v>254</v>
      </c>
      <c r="D60" s="67" t="s">
        <v>308</v>
      </c>
      <c r="E60" s="67">
        <v>4</v>
      </c>
      <c r="F60" s="8">
        <v>9783</v>
      </c>
    </row>
    <row r="61" spans="1:6">
      <c r="A61" s="131">
        <v>45679</v>
      </c>
      <c r="B61" s="67" t="s">
        <v>311</v>
      </c>
      <c r="C61" s="67" t="s">
        <v>252</v>
      </c>
      <c r="D61" s="67" t="s">
        <v>315</v>
      </c>
      <c r="E61" s="67">
        <v>6</v>
      </c>
      <c r="F61" s="8">
        <v>8379</v>
      </c>
    </row>
    <row r="62" spans="1:6">
      <c r="A62" s="131">
        <v>45679</v>
      </c>
      <c r="B62" s="67" t="s">
        <v>314</v>
      </c>
      <c r="C62" s="67" t="s">
        <v>253</v>
      </c>
      <c r="D62" s="67" t="s">
        <v>308</v>
      </c>
      <c r="E62" s="67">
        <v>7</v>
      </c>
      <c r="F62" s="8">
        <v>3524</v>
      </c>
    </row>
    <row r="63" spans="1:6">
      <c r="A63" s="131">
        <v>45680</v>
      </c>
      <c r="B63" s="67" t="s">
        <v>312</v>
      </c>
      <c r="C63" s="67" t="s">
        <v>253</v>
      </c>
      <c r="D63" s="67" t="s">
        <v>302</v>
      </c>
      <c r="E63" s="67">
        <v>4</v>
      </c>
      <c r="F63" s="8">
        <v>3278</v>
      </c>
    </row>
    <row r="64" spans="1:6">
      <c r="A64" s="131">
        <v>45680</v>
      </c>
      <c r="B64" s="67" t="s">
        <v>301</v>
      </c>
      <c r="C64" s="67" t="s">
        <v>254</v>
      </c>
      <c r="D64" s="67" t="s">
        <v>310</v>
      </c>
      <c r="E64" s="67">
        <v>9</v>
      </c>
      <c r="F64" s="8">
        <v>10641</v>
      </c>
    </row>
    <row r="65" spans="1:6">
      <c r="A65" s="131">
        <v>45681</v>
      </c>
      <c r="B65" s="67" t="s">
        <v>301</v>
      </c>
      <c r="C65" s="67" t="s">
        <v>287</v>
      </c>
      <c r="D65" s="67" t="s">
        <v>306</v>
      </c>
      <c r="E65" s="67">
        <v>11</v>
      </c>
      <c r="F65" s="8">
        <v>2926</v>
      </c>
    </row>
    <row r="66" spans="1:6">
      <c r="A66" s="131">
        <v>45682</v>
      </c>
      <c r="B66" s="67" t="s">
        <v>305</v>
      </c>
      <c r="C66" s="67" t="s">
        <v>252</v>
      </c>
      <c r="D66" s="67" t="s">
        <v>308</v>
      </c>
      <c r="E66" s="67">
        <v>12</v>
      </c>
      <c r="F66" s="8">
        <v>11181</v>
      </c>
    </row>
    <row r="67" spans="1:6">
      <c r="A67" s="131">
        <v>45682</v>
      </c>
      <c r="B67" s="67" t="s">
        <v>307</v>
      </c>
      <c r="C67" s="67" t="s">
        <v>287</v>
      </c>
      <c r="D67" s="67" t="s">
        <v>315</v>
      </c>
      <c r="E67" s="67">
        <v>1</v>
      </c>
      <c r="F67" s="8">
        <v>5577</v>
      </c>
    </row>
    <row r="68" spans="1:6">
      <c r="A68" s="131">
        <v>45685</v>
      </c>
      <c r="B68" s="67" t="s">
        <v>305</v>
      </c>
      <c r="C68" s="67" t="s">
        <v>254</v>
      </c>
      <c r="D68" s="67" t="s">
        <v>310</v>
      </c>
      <c r="E68" s="67">
        <v>3</v>
      </c>
      <c r="F68" s="8">
        <v>4001</v>
      </c>
    </row>
    <row r="69" spans="1:6">
      <c r="A69" s="131">
        <v>45686</v>
      </c>
      <c r="B69" s="67" t="s">
        <v>314</v>
      </c>
      <c r="C69" s="67" t="s">
        <v>254</v>
      </c>
      <c r="D69" s="67" t="s">
        <v>306</v>
      </c>
      <c r="E69" s="67">
        <v>12</v>
      </c>
      <c r="F69" s="8">
        <v>2247</v>
      </c>
    </row>
    <row r="70" spans="1:6">
      <c r="A70" s="131">
        <v>45686</v>
      </c>
      <c r="B70" s="67" t="s">
        <v>301</v>
      </c>
      <c r="C70" s="67" t="s">
        <v>252</v>
      </c>
      <c r="D70" s="67" t="s">
        <v>315</v>
      </c>
      <c r="E70" s="67">
        <v>10</v>
      </c>
      <c r="F70" s="8">
        <v>2824</v>
      </c>
    </row>
    <row r="71" spans="1:6">
      <c r="A71" s="131">
        <v>45687</v>
      </c>
      <c r="B71" s="67" t="s">
        <v>303</v>
      </c>
      <c r="C71" s="67" t="s">
        <v>287</v>
      </c>
      <c r="D71" s="67" t="s">
        <v>306</v>
      </c>
      <c r="E71" s="67">
        <v>2</v>
      </c>
      <c r="F71" s="8">
        <v>6778</v>
      </c>
    </row>
    <row r="72" spans="1:6">
      <c r="A72" s="131">
        <v>45687</v>
      </c>
      <c r="B72" s="67" t="s">
        <v>307</v>
      </c>
      <c r="C72" s="67" t="s">
        <v>253</v>
      </c>
      <c r="D72" s="67" t="s">
        <v>315</v>
      </c>
      <c r="E72" s="67">
        <v>3</v>
      </c>
      <c r="F72" s="8">
        <v>8697</v>
      </c>
    </row>
    <row r="73" spans="1:6">
      <c r="A73" s="131">
        <v>45687</v>
      </c>
      <c r="B73" s="67" t="s">
        <v>316</v>
      </c>
      <c r="C73" s="67" t="s">
        <v>254</v>
      </c>
      <c r="D73" s="67" t="s">
        <v>306</v>
      </c>
      <c r="E73" s="67">
        <v>4</v>
      </c>
      <c r="F73" s="8">
        <v>7538</v>
      </c>
    </row>
    <row r="74" spans="1:6">
      <c r="A74" s="131">
        <v>45688</v>
      </c>
      <c r="B74" s="67" t="s">
        <v>303</v>
      </c>
      <c r="C74" s="67" t="s">
        <v>253</v>
      </c>
      <c r="D74" s="67" t="s">
        <v>304</v>
      </c>
      <c r="E74" s="67">
        <v>3</v>
      </c>
      <c r="F74" s="8">
        <v>3915</v>
      </c>
    </row>
    <row r="75" spans="1:6">
      <c r="A75" s="131">
        <v>45688</v>
      </c>
      <c r="B75" s="67" t="s">
        <v>314</v>
      </c>
      <c r="C75" s="67" t="s">
        <v>287</v>
      </c>
      <c r="D75" s="67" t="s">
        <v>302</v>
      </c>
      <c r="E75" s="67">
        <v>10</v>
      </c>
      <c r="F75" s="8">
        <v>4354</v>
      </c>
    </row>
    <row r="76" spans="1:6">
      <c r="A76" s="131">
        <v>45688</v>
      </c>
      <c r="B76" s="67" t="s">
        <v>305</v>
      </c>
      <c r="C76" s="67" t="s">
        <v>254</v>
      </c>
      <c r="D76" s="67" t="s">
        <v>306</v>
      </c>
      <c r="E76" s="67">
        <v>9</v>
      </c>
      <c r="F76" s="8">
        <v>5909</v>
      </c>
    </row>
    <row r="77" spans="1:6">
      <c r="A77" s="131">
        <v>45688</v>
      </c>
      <c r="B77" s="67" t="s">
        <v>314</v>
      </c>
      <c r="C77" s="67" t="s">
        <v>252</v>
      </c>
      <c r="D77" s="67" t="s">
        <v>315</v>
      </c>
      <c r="E77" s="67">
        <v>10</v>
      </c>
      <c r="F77" s="8">
        <v>8818</v>
      </c>
    </row>
    <row r="78" spans="1:6">
      <c r="A78" s="131">
        <v>45688</v>
      </c>
      <c r="B78" s="67" t="s">
        <v>314</v>
      </c>
      <c r="C78" s="67" t="s">
        <v>252</v>
      </c>
      <c r="D78" s="67" t="s">
        <v>302</v>
      </c>
      <c r="E78" s="67">
        <v>5</v>
      </c>
      <c r="F78" s="8">
        <v>5176</v>
      </c>
    </row>
    <row r="79" spans="1:6">
      <c r="A79" s="131">
        <v>45688</v>
      </c>
      <c r="B79" s="67" t="s">
        <v>303</v>
      </c>
      <c r="C79" s="67" t="s">
        <v>252</v>
      </c>
      <c r="D79" s="67" t="s">
        <v>315</v>
      </c>
      <c r="E79" s="67">
        <v>1</v>
      </c>
      <c r="F79" s="8">
        <v>4105</v>
      </c>
    </row>
    <row r="80" spans="1:6">
      <c r="A80" s="131">
        <v>45689</v>
      </c>
      <c r="B80" s="67" t="s">
        <v>309</v>
      </c>
      <c r="C80" s="67" t="s">
        <v>253</v>
      </c>
      <c r="D80" s="67" t="s">
        <v>302</v>
      </c>
      <c r="E80" s="67">
        <v>2</v>
      </c>
      <c r="F80" s="8">
        <v>10600</v>
      </c>
    </row>
    <row r="81" spans="1:6">
      <c r="A81" s="131">
        <v>45690</v>
      </c>
      <c r="B81" s="67" t="s">
        <v>314</v>
      </c>
      <c r="C81" s="67" t="s">
        <v>253</v>
      </c>
      <c r="D81" s="67" t="s">
        <v>306</v>
      </c>
      <c r="E81" s="67">
        <v>12</v>
      </c>
      <c r="F81" s="8">
        <v>2032</v>
      </c>
    </row>
    <row r="82" spans="1:6">
      <c r="A82" s="131">
        <v>45690</v>
      </c>
      <c r="B82" s="67" t="s">
        <v>313</v>
      </c>
      <c r="C82" s="67" t="s">
        <v>252</v>
      </c>
      <c r="D82" s="67" t="s">
        <v>308</v>
      </c>
      <c r="E82" s="67">
        <v>11</v>
      </c>
      <c r="F82" s="8">
        <v>1345</v>
      </c>
    </row>
    <row r="83" spans="1:6">
      <c r="A83" s="131">
        <v>45690</v>
      </c>
      <c r="B83" s="67" t="s">
        <v>301</v>
      </c>
      <c r="C83" s="67" t="s">
        <v>254</v>
      </c>
      <c r="D83" s="67" t="s">
        <v>315</v>
      </c>
      <c r="E83" s="67">
        <v>9</v>
      </c>
      <c r="F83" s="8">
        <v>3243</v>
      </c>
    </row>
    <row r="84" spans="1:6">
      <c r="A84" s="131">
        <v>45691</v>
      </c>
      <c r="B84" s="67" t="s">
        <v>307</v>
      </c>
      <c r="C84" s="67" t="s">
        <v>254</v>
      </c>
      <c r="D84" s="67" t="s">
        <v>308</v>
      </c>
      <c r="E84" s="67">
        <v>5</v>
      </c>
      <c r="F84" s="8">
        <v>8963</v>
      </c>
    </row>
    <row r="85" spans="1:6">
      <c r="A85" s="131">
        <v>45691</v>
      </c>
      <c r="B85" s="67" t="s">
        <v>305</v>
      </c>
      <c r="C85" s="67" t="s">
        <v>254</v>
      </c>
      <c r="D85" s="67" t="s">
        <v>308</v>
      </c>
      <c r="E85" s="67">
        <v>10</v>
      </c>
      <c r="F85" s="8">
        <v>5683</v>
      </c>
    </row>
    <row r="86" spans="1:6">
      <c r="A86" s="131">
        <v>45691</v>
      </c>
      <c r="B86" s="67" t="s">
        <v>313</v>
      </c>
      <c r="C86" s="67" t="s">
        <v>253</v>
      </c>
      <c r="D86" s="67" t="s">
        <v>304</v>
      </c>
      <c r="E86" s="67">
        <v>4</v>
      </c>
      <c r="F86" s="8">
        <v>3272</v>
      </c>
    </row>
    <row r="87" spans="1:6">
      <c r="A87" s="131">
        <v>45692</v>
      </c>
      <c r="B87" s="67" t="s">
        <v>314</v>
      </c>
      <c r="C87" s="67" t="s">
        <v>253</v>
      </c>
      <c r="D87" s="67" t="s">
        <v>315</v>
      </c>
      <c r="E87" s="67">
        <v>1</v>
      </c>
      <c r="F87" s="8">
        <v>11794</v>
      </c>
    </row>
    <row r="88" spans="1:6">
      <c r="A88" s="131">
        <v>45692</v>
      </c>
      <c r="B88" s="67" t="s">
        <v>309</v>
      </c>
      <c r="C88" s="67" t="s">
        <v>254</v>
      </c>
      <c r="D88" s="67" t="s">
        <v>302</v>
      </c>
      <c r="E88" s="67">
        <v>7</v>
      </c>
      <c r="F88" s="8">
        <v>8353</v>
      </c>
    </row>
    <row r="89" spans="1:6">
      <c r="A89" s="131">
        <v>45692</v>
      </c>
      <c r="B89" s="67" t="s">
        <v>307</v>
      </c>
      <c r="C89" s="67" t="s">
        <v>254</v>
      </c>
      <c r="D89" s="67" t="s">
        <v>315</v>
      </c>
      <c r="E89" s="67">
        <v>5</v>
      </c>
      <c r="F89" s="8">
        <v>6722</v>
      </c>
    </row>
    <row r="90" spans="1:6">
      <c r="A90" s="131">
        <v>45692</v>
      </c>
      <c r="B90" s="67" t="s">
        <v>316</v>
      </c>
      <c r="C90" s="67" t="s">
        <v>253</v>
      </c>
      <c r="D90" s="67" t="s">
        <v>308</v>
      </c>
      <c r="E90" s="67">
        <v>4</v>
      </c>
      <c r="F90" s="8">
        <v>6122</v>
      </c>
    </row>
    <row r="91" spans="1:6">
      <c r="A91" s="131">
        <v>45693</v>
      </c>
      <c r="B91" s="67" t="s">
        <v>303</v>
      </c>
      <c r="C91" s="67" t="s">
        <v>253</v>
      </c>
      <c r="D91" s="67" t="s">
        <v>310</v>
      </c>
      <c r="E91" s="67">
        <v>8</v>
      </c>
      <c r="F91" s="8">
        <v>1169</v>
      </c>
    </row>
    <row r="92" spans="1:6">
      <c r="A92" s="131">
        <v>45693</v>
      </c>
      <c r="B92" s="67" t="s">
        <v>307</v>
      </c>
      <c r="C92" s="67" t="s">
        <v>252</v>
      </c>
      <c r="D92" s="67" t="s">
        <v>310</v>
      </c>
      <c r="E92" s="67">
        <v>13</v>
      </c>
      <c r="F92" s="8">
        <v>8980</v>
      </c>
    </row>
    <row r="93" spans="1:6">
      <c r="A93" s="131">
        <v>45693</v>
      </c>
      <c r="B93" s="67" t="s">
        <v>303</v>
      </c>
      <c r="C93" s="67" t="s">
        <v>254</v>
      </c>
      <c r="D93" s="67" t="s">
        <v>308</v>
      </c>
      <c r="E93" s="67">
        <v>5</v>
      </c>
      <c r="F93" s="8">
        <v>5234</v>
      </c>
    </row>
    <row r="94" spans="1:6">
      <c r="A94" s="131">
        <v>45693</v>
      </c>
      <c r="B94" s="67" t="s">
        <v>309</v>
      </c>
      <c r="C94" s="67" t="s">
        <v>254</v>
      </c>
      <c r="D94" s="67" t="s">
        <v>315</v>
      </c>
      <c r="E94" s="67">
        <v>4</v>
      </c>
      <c r="F94" s="8">
        <v>11949</v>
      </c>
    </row>
    <row r="95" spans="1:6">
      <c r="A95" s="131">
        <v>45694</v>
      </c>
      <c r="B95" s="67" t="s">
        <v>314</v>
      </c>
      <c r="C95" s="67" t="s">
        <v>254</v>
      </c>
      <c r="D95" s="67" t="s">
        <v>306</v>
      </c>
      <c r="E95" s="67">
        <v>8</v>
      </c>
      <c r="F95" s="8">
        <v>4407</v>
      </c>
    </row>
    <row r="96" spans="1:6">
      <c r="A96" s="131">
        <v>45695</v>
      </c>
      <c r="B96" s="67" t="s">
        <v>309</v>
      </c>
      <c r="C96" s="67" t="s">
        <v>253</v>
      </c>
      <c r="D96" s="67" t="s">
        <v>306</v>
      </c>
      <c r="E96" s="67">
        <v>1</v>
      </c>
      <c r="F96" s="8">
        <v>3953</v>
      </c>
    </row>
    <row r="97" spans="1:6">
      <c r="A97" s="131">
        <v>45695</v>
      </c>
      <c r="B97" s="67" t="s">
        <v>307</v>
      </c>
      <c r="C97" s="67" t="s">
        <v>287</v>
      </c>
      <c r="D97" s="67" t="s">
        <v>310</v>
      </c>
      <c r="E97" s="67">
        <v>7</v>
      </c>
      <c r="F97" s="8">
        <v>8100</v>
      </c>
    </row>
    <row r="98" spans="1:6">
      <c r="A98" s="131">
        <v>45695</v>
      </c>
      <c r="B98" s="67" t="s">
        <v>303</v>
      </c>
      <c r="C98" s="67" t="s">
        <v>254</v>
      </c>
      <c r="D98" s="67" t="s">
        <v>310</v>
      </c>
      <c r="E98" s="67">
        <v>14</v>
      </c>
      <c r="F98" s="8">
        <v>10801</v>
      </c>
    </row>
    <row r="99" spans="1:6">
      <c r="A99" s="131">
        <v>45695</v>
      </c>
      <c r="B99" s="67" t="s">
        <v>313</v>
      </c>
      <c r="C99" s="67" t="s">
        <v>287</v>
      </c>
      <c r="D99" s="67" t="s">
        <v>304</v>
      </c>
      <c r="E99" s="67">
        <v>5</v>
      </c>
      <c r="F99" s="8">
        <v>3865</v>
      </c>
    </row>
    <row r="100" spans="1:6">
      <c r="A100" s="131">
        <v>45696</v>
      </c>
      <c r="B100" s="67" t="s">
        <v>312</v>
      </c>
      <c r="C100" s="67" t="s">
        <v>287</v>
      </c>
      <c r="D100" s="67" t="s">
        <v>308</v>
      </c>
      <c r="E100" s="67">
        <v>8</v>
      </c>
      <c r="F100" s="8">
        <v>8107</v>
      </c>
    </row>
    <row r="101" spans="1:6">
      <c r="A101" s="131">
        <v>45698</v>
      </c>
      <c r="B101" s="67" t="s">
        <v>301</v>
      </c>
      <c r="C101" s="67" t="s">
        <v>287</v>
      </c>
      <c r="D101" s="67" t="s">
        <v>310</v>
      </c>
      <c r="E101" s="67">
        <v>9</v>
      </c>
      <c r="F101" s="8">
        <v>7963</v>
      </c>
    </row>
    <row r="102" spans="1:6">
      <c r="A102" s="131">
        <v>45698</v>
      </c>
      <c r="B102" s="67" t="s">
        <v>313</v>
      </c>
      <c r="C102" s="67" t="s">
        <v>252</v>
      </c>
      <c r="D102" s="67" t="s">
        <v>304</v>
      </c>
      <c r="E102" s="67">
        <v>7</v>
      </c>
      <c r="F102" s="8">
        <v>1382</v>
      </c>
    </row>
    <row r="103" spans="1:6">
      <c r="A103" s="131">
        <v>45699</v>
      </c>
      <c r="B103" s="67" t="s">
        <v>307</v>
      </c>
      <c r="C103" s="67" t="s">
        <v>287</v>
      </c>
      <c r="D103" s="67" t="s">
        <v>302</v>
      </c>
      <c r="E103" s="67">
        <v>6</v>
      </c>
      <c r="F103" s="8">
        <v>4600</v>
      </c>
    </row>
    <row r="104" spans="1:6">
      <c r="A104" s="131">
        <v>45700</v>
      </c>
      <c r="B104" s="67" t="s">
        <v>311</v>
      </c>
      <c r="C104" s="67" t="s">
        <v>254</v>
      </c>
      <c r="D104" s="67" t="s">
        <v>310</v>
      </c>
      <c r="E104" s="67">
        <v>4</v>
      </c>
      <c r="F104" s="8">
        <v>3732</v>
      </c>
    </row>
    <row r="105" spans="1:6">
      <c r="A105" s="131">
        <v>45700</v>
      </c>
      <c r="B105" s="67" t="s">
        <v>309</v>
      </c>
      <c r="C105" s="67" t="s">
        <v>253</v>
      </c>
      <c r="D105" s="67" t="s">
        <v>304</v>
      </c>
      <c r="E105" s="67">
        <v>13</v>
      </c>
      <c r="F105" s="8">
        <v>1688</v>
      </c>
    </row>
    <row r="106" spans="1:6">
      <c r="A106" s="131">
        <v>45700</v>
      </c>
      <c r="B106" s="67" t="s">
        <v>316</v>
      </c>
      <c r="C106" s="67" t="s">
        <v>287</v>
      </c>
      <c r="D106" s="67" t="s">
        <v>304</v>
      </c>
      <c r="E106" s="67">
        <v>13</v>
      </c>
      <c r="F106" s="8">
        <v>10624</v>
      </c>
    </row>
    <row r="107" spans="1:6">
      <c r="A107" s="131">
        <v>45701</v>
      </c>
      <c r="B107" s="67" t="s">
        <v>314</v>
      </c>
      <c r="C107" s="67" t="s">
        <v>254</v>
      </c>
      <c r="D107" s="67" t="s">
        <v>306</v>
      </c>
      <c r="E107" s="67">
        <v>2</v>
      </c>
      <c r="F107" s="8">
        <v>2863</v>
      </c>
    </row>
    <row r="108" spans="1:6">
      <c r="A108" s="131">
        <v>45701</v>
      </c>
      <c r="B108" s="67" t="s">
        <v>305</v>
      </c>
      <c r="C108" s="67" t="s">
        <v>287</v>
      </c>
      <c r="D108" s="67" t="s">
        <v>302</v>
      </c>
      <c r="E108" s="67">
        <v>1</v>
      </c>
      <c r="F108" s="8">
        <v>11111</v>
      </c>
    </row>
    <row r="109" spans="1:6">
      <c r="A109" s="131">
        <v>45701</v>
      </c>
      <c r="B109" s="67" t="s">
        <v>316</v>
      </c>
      <c r="C109" s="67" t="s">
        <v>252</v>
      </c>
      <c r="D109" s="67" t="s">
        <v>310</v>
      </c>
      <c r="E109" s="67">
        <v>1</v>
      </c>
      <c r="F109" s="8">
        <v>1916</v>
      </c>
    </row>
    <row r="110" spans="1:6">
      <c r="A110" s="131">
        <v>45701</v>
      </c>
      <c r="B110" s="67" t="s">
        <v>309</v>
      </c>
      <c r="C110" s="67" t="s">
        <v>253</v>
      </c>
      <c r="D110" s="67" t="s">
        <v>306</v>
      </c>
      <c r="E110" s="67">
        <v>4</v>
      </c>
      <c r="F110" s="8">
        <v>4048</v>
      </c>
    </row>
    <row r="111" spans="1:6">
      <c r="A111" s="131">
        <v>45701</v>
      </c>
      <c r="B111" s="67" t="s">
        <v>307</v>
      </c>
      <c r="C111" s="67" t="s">
        <v>252</v>
      </c>
      <c r="D111" s="67" t="s">
        <v>308</v>
      </c>
      <c r="E111" s="67">
        <v>3</v>
      </c>
      <c r="F111" s="8">
        <v>6581</v>
      </c>
    </row>
    <row r="112" spans="1:6">
      <c r="A112" s="131">
        <v>45701</v>
      </c>
      <c r="B112" s="67" t="s">
        <v>309</v>
      </c>
      <c r="C112" s="67" t="s">
        <v>252</v>
      </c>
      <c r="D112" s="67" t="s">
        <v>315</v>
      </c>
      <c r="E112" s="67">
        <v>5</v>
      </c>
      <c r="F112" s="8">
        <v>4594</v>
      </c>
    </row>
    <row r="113" spans="1:6">
      <c r="A113" s="131">
        <v>45701</v>
      </c>
      <c r="B113" s="67" t="s">
        <v>312</v>
      </c>
      <c r="C113" s="67" t="s">
        <v>253</v>
      </c>
      <c r="D113" s="67" t="s">
        <v>315</v>
      </c>
      <c r="E113" s="67">
        <v>13</v>
      </c>
      <c r="F113" s="8">
        <v>6907</v>
      </c>
    </row>
    <row r="114" spans="1:6">
      <c r="A114" s="131">
        <v>45702</v>
      </c>
      <c r="B114" s="67" t="s">
        <v>301</v>
      </c>
      <c r="C114" s="67" t="s">
        <v>254</v>
      </c>
      <c r="D114" s="67" t="s">
        <v>308</v>
      </c>
      <c r="E114" s="67">
        <v>12</v>
      </c>
      <c r="F114" s="8">
        <v>3777</v>
      </c>
    </row>
    <row r="115" spans="1:6">
      <c r="A115" s="131">
        <v>45703</v>
      </c>
      <c r="B115" s="67" t="s">
        <v>314</v>
      </c>
      <c r="C115" s="67" t="s">
        <v>253</v>
      </c>
      <c r="D115" s="67" t="s">
        <v>304</v>
      </c>
      <c r="E115" s="67">
        <v>14</v>
      </c>
      <c r="F115" s="8">
        <v>2583</v>
      </c>
    </row>
    <row r="116" spans="1:6">
      <c r="A116" s="131">
        <v>45703</v>
      </c>
      <c r="B116" s="67" t="s">
        <v>309</v>
      </c>
      <c r="C116" s="67" t="s">
        <v>253</v>
      </c>
      <c r="D116" s="67" t="s">
        <v>302</v>
      </c>
      <c r="E116" s="67">
        <v>4</v>
      </c>
      <c r="F116" s="8">
        <v>893</v>
      </c>
    </row>
    <row r="117" spans="1:6">
      <c r="A117" s="131">
        <v>45703</v>
      </c>
      <c r="B117" s="67" t="s">
        <v>313</v>
      </c>
      <c r="C117" s="67" t="s">
        <v>254</v>
      </c>
      <c r="D117" s="67" t="s">
        <v>302</v>
      </c>
      <c r="E117" s="67">
        <v>8</v>
      </c>
      <c r="F117" s="8">
        <v>2968</v>
      </c>
    </row>
    <row r="118" spans="1:6">
      <c r="A118" s="131">
        <v>45704</v>
      </c>
      <c r="B118" s="67" t="s">
        <v>301</v>
      </c>
      <c r="C118" s="67" t="s">
        <v>254</v>
      </c>
      <c r="D118" s="67" t="s">
        <v>306</v>
      </c>
      <c r="E118" s="67">
        <v>4</v>
      </c>
      <c r="F118" s="8">
        <v>7974</v>
      </c>
    </row>
    <row r="119" spans="1:6">
      <c r="A119" s="131">
        <v>45705</v>
      </c>
      <c r="B119" s="67" t="s">
        <v>301</v>
      </c>
      <c r="C119" s="67" t="s">
        <v>252</v>
      </c>
      <c r="D119" s="67" t="s">
        <v>315</v>
      </c>
      <c r="E119" s="67">
        <v>7</v>
      </c>
      <c r="F119" s="8">
        <v>9165</v>
      </c>
    </row>
    <row r="120" spans="1:6">
      <c r="A120" s="131">
        <v>45705</v>
      </c>
      <c r="B120" s="67" t="s">
        <v>301</v>
      </c>
      <c r="C120" s="67" t="s">
        <v>252</v>
      </c>
      <c r="D120" s="67" t="s">
        <v>306</v>
      </c>
      <c r="E120" s="67">
        <v>8</v>
      </c>
      <c r="F120" s="8">
        <v>5272</v>
      </c>
    </row>
    <row r="121" spans="1:6">
      <c r="A121" s="131">
        <v>45705</v>
      </c>
      <c r="B121" s="67" t="s">
        <v>312</v>
      </c>
      <c r="C121" s="67" t="s">
        <v>254</v>
      </c>
      <c r="D121" s="67" t="s">
        <v>315</v>
      </c>
      <c r="E121" s="67">
        <v>2</v>
      </c>
      <c r="F121" s="8">
        <v>8689</v>
      </c>
    </row>
    <row r="122" spans="1:6">
      <c r="A122" s="131">
        <v>45705</v>
      </c>
      <c r="B122" s="67" t="s">
        <v>316</v>
      </c>
      <c r="C122" s="67" t="s">
        <v>254</v>
      </c>
      <c r="D122" s="67" t="s">
        <v>310</v>
      </c>
      <c r="E122" s="67">
        <v>11</v>
      </c>
      <c r="F122" s="8">
        <v>3929</v>
      </c>
    </row>
    <row r="123" spans="1:6">
      <c r="A123" s="131">
        <v>45706</v>
      </c>
      <c r="B123" s="67" t="s">
        <v>307</v>
      </c>
      <c r="C123" s="67" t="s">
        <v>253</v>
      </c>
      <c r="D123" s="67" t="s">
        <v>308</v>
      </c>
      <c r="E123" s="67">
        <v>13</v>
      </c>
      <c r="F123" s="8">
        <v>7871</v>
      </c>
    </row>
    <row r="124" spans="1:6">
      <c r="A124" s="131">
        <v>45706</v>
      </c>
      <c r="B124" s="67" t="s">
        <v>311</v>
      </c>
      <c r="C124" s="67" t="s">
        <v>252</v>
      </c>
      <c r="D124" s="67" t="s">
        <v>310</v>
      </c>
      <c r="E124" s="67">
        <v>12</v>
      </c>
      <c r="F124" s="8">
        <v>7185</v>
      </c>
    </row>
    <row r="125" spans="1:6">
      <c r="A125" s="131">
        <v>45706</v>
      </c>
      <c r="B125" s="67" t="s">
        <v>312</v>
      </c>
      <c r="C125" s="67" t="s">
        <v>287</v>
      </c>
      <c r="D125" s="67" t="s">
        <v>306</v>
      </c>
      <c r="E125" s="67">
        <v>7</v>
      </c>
      <c r="F125" s="8">
        <v>7561</v>
      </c>
    </row>
    <row r="126" spans="1:6">
      <c r="A126" s="131">
        <v>45706</v>
      </c>
      <c r="B126" s="67" t="s">
        <v>301</v>
      </c>
      <c r="C126" s="67" t="s">
        <v>254</v>
      </c>
      <c r="D126" s="67" t="s">
        <v>310</v>
      </c>
      <c r="E126" s="67">
        <v>2</v>
      </c>
      <c r="F126" s="8">
        <v>1195</v>
      </c>
    </row>
    <row r="127" spans="1:6">
      <c r="A127" s="131">
        <v>45707</v>
      </c>
      <c r="B127" s="67" t="s">
        <v>312</v>
      </c>
      <c r="C127" s="67" t="s">
        <v>254</v>
      </c>
      <c r="D127" s="67" t="s">
        <v>306</v>
      </c>
      <c r="E127" s="67">
        <v>1</v>
      </c>
      <c r="F127" s="8">
        <v>9382</v>
      </c>
    </row>
    <row r="128" spans="1:6">
      <c r="A128" s="131">
        <v>45708</v>
      </c>
      <c r="B128" s="67" t="s">
        <v>301</v>
      </c>
      <c r="C128" s="67" t="s">
        <v>287</v>
      </c>
      <c r="D128" s="67" t="s">
        <v>315</v>
      </c>
      <c r="E128" s="67">
        <v>10</v>
      </c>
      <c r="F128" s="8">
        <v>1339</v>
      </c>
    </row>
    <row r="129" spans="1:6">
      <c r="A129" s="131">
        <v>45709</v>
      </c>
      <c r="B129" s="67" t="s">
        <v>301</v>
      </c>
      <c r="C129" s="67" t="s">
        <v>252</v>
      </c>
      <c r="D129" s="67" t="s">
        <v>315</v>
      </c>
      <c r="E129" s="67">
        <v>1</v>
      </c>
      <c r="F129" s="8">
        <v>3981</v>
      </c>
    </row>
    <row r="130" spans="1:6">
      <c r="A130" s="131">
        <v>45709</v>
      </c>
      <c r="B130" s="67" t="s">
        <v>311</v>
      </c>
      <c r="C130" s="67" t="s">
        <v>287</v>
      </c>
      <c r="D130" s="67" t="s">
        <v>308</v>
      </c>
      <c r="E130" s="67">
        <v>6</v>
      </c>
      <c r="F130" s="8">
        <v>4567</v>
      </c>
    </row>
    <row r="131" spans="1:6">
      <c r="A131" s="131">
        <v>45710</v>
      </c>
      <c r="B131" s="67" t="s">
        <v>313</v>
      </c>
      <c r="C131" s="67" t="s">
        <v>252</v>
      </c>
      <c r="D131" s="67" t="s">
        <v>310</v>
      </c>
      <c r="E131" s="67">
        <v>11</v>
      </c>
      <c r="F131" s="8">
        <v>11267</v>
      </c>
    </row>
    <row r="132" spans="1:6">
      <c r="A132" s="131">
        <v>45710</v>
      </c>
      <c r="B132" s="67" t="s">
        <v>305</v>
      </c>
      <c r="C132" s="67" t="s">
        <v>253</v>
      </c>
      <c r="D132" s="67" t="s">
        <v>310</v>
      </c>
      <c r="E132" s="67">
        <v>13</v>
      </c>
      <c r="F132" s="8">
        <v>1356</v>
      </c>
    </row>
    <row r="133" spans="1:6">
      <c r="A133" s="131">
        <v>45710</v>
      </c>
      <c r="B133" s="67" t="s">
        <v>307</v>
      </c>
      <c r="C133" s="67" t="s">
        <v>253</v>
      </c>
      <c r="D133" s="67" t="s">
        <v>304</v>
      </c>
      <c r="E133" s="67">
        <v>4</v>
      </c>
      <c r="F133" s="8">
        <v>11724</v>
      </c>
    </row>
    <row r="134" spans="1:6">
      <c r="A134" s="131">
        <v>45710</v>
      </c>
      <c r="B134" s="67" t="s">
        <v>316</v>
      </c>
      <c r="C134" s="67" t="s">
        <v>254</v>
      </c>
      <c r="D134" s="67" t="s">
        <v>308</v>
      </c>
      <c r="E134" s="67">
        <v>6</v>
      </c>
      <c r="F134" s="8">
        <v>5537</v>
      </c>
    </row>
    <row r="135" spans="1:6">
      <c r="A135" s="131">
        <v>45711</v>
      </c>
      <c r="B135" s="67" t="s">
        <v>312</v>
      </c>
      <c r="C135" s="67" t="s">
        <v>254</v>
      </c>
      <c r="D135" s="67" t="s">
        <v>302</v>
      </c>
      <c r="E135" s="67">
        <v>4</v>
      </c>
      <c r="F135" s="8">
        <v>4824</v>
      </c>
    </row>
    <row r="136" spans="1:6">
      <c r="A136" s="131">
        <v>45711</v>
      </c>
      <c r="B136" s="67" t="s">
        <v>305</v>
      </c>
      <c r="C136" s="67" t="s">
        <v>254</v>
      </c>
      <c r="D136" s="67" t="s">
        <v>302</v>
      </c>
      <c r="E136" s="67">
        <v>1</v>
      </c>
      <c r="F136" s="8">
        <v>3140</v>
      </c>
    </row>
    <row r="137" spans="1:6">
      <c r="A137" s="131">
        <v>45712</v>
      </c>
      <c r="B137" s="67" t="s">
        <v>314</v>
      </c>
      <c r="C137" s="67" t="s">
        <v>253</v>
      </c>
      <c r="D137" s="67" t="s">
        <v>306</v>
      </c>
      <c r="E137" s="67">
        <v>4</v>
      </c>
      <c r="F137" s="8">
        <v>3646</v>
      </c>
    </row>
    <row r="138" spans="1:6">
      <c r="A138" s="131">
        <v>45712</v>
      </c>
      <c r="B138" s="67" t="s">
        <v>303</v>
      </c>
      <c r="C138" s="67" t="s">
        <v>252</v>
      </c>
      <c r="D138" s="67" t="s">
        <v>315</v>
      </c>
      <c r="E138" s="67">
        <v>5</v>
      </c>
      <c r="F138" s="8">
        <v>8479</v>
      </c>
    </row>
    <row r="139" spans="1:6">
      <c r="A139" s="131">
        <v>45712</v>
      </c>
      <c r="B139" s="67" t="s">
        <v>316</v>
      </c>
      <c r="C139" s="67" t="s">
        <v>287</v>
      </c>
      <c r="D139" s="67" t="s">
        <v>304</v>
      </c>
      <c r="E139" s="67">
        <v>5</v>
      </c>
      <c r="F139" s="8">
        <v>4856</v>
      </c>
    </row>
    <row r="140" spans="1:6">
      <c r="A140" s="131">
        <v>45713</v>
      </c>
      <c r="B140" s="67" t="s">
        <v>307</v>
      </c>
      <c r="C140" s="67" t="s">
        <v>253</v>
      </c>
      <c r="D140" s="67" t="s">
        <v>308</v>
      </c>
      <c r="E140" s="67">
        <v>14</v>
      </c>
      <c r="F140" s="8">
        <v>6644</v>
      </c>
    </row>
    <row r="141" spans="1:6">
      <c r="A141" s="131">
        <v>45713</v>
      </c>
      <c r="B141" s="67" t="s">
        <v>307</v>
      </c>
      <c r="C141" s="67" t="s">
        <v>287</v>
      </c>
      <c r="D141" s="67" t="s">
        <v>302</v>
      </c>
      <c r="E141" s="67">
        <v>11</v>
      </c>
      <c r="F141" s="8">
        <v>9601</v>
      </c>
    </row>
    <row r="142" spans="1:6">
      <c r="A142" s="131">
        <v>45713</v>
      </c>
      <c r="B142" s="67" t="s">
        <v>314</v>
      </c>
      <c r="C142" s="67" t="s">
        <v>287</v>
      </c>
      <c r="D142" s="67" t="s">
        <v>304</v>
      </c>
      <c r="E142" s="67">
        <v>13</v>
      </c>
      <c r="F142" s="8">
        <v>7618</v>
      </c>
    </row>
    <row r="143" spans="1:6">
      <c r="A143" s="131">
        <v>45716</v>
      </c>
      <c r="B143" s="67" t="s">
        <v>316</v>
      </c>
      <c r="C143" s="67" t="s">
        <v>253</v>
      </c>
      <c r="D143" s="67" t="s">
        <v>315</v>
      </c>
      <c r="E143" s="67">
        <v>11</v>
      </c>
      <c r="F143" s="8">
        <v>11698</v>
      </c>
    </row>
    <row r="144" spans="1:6">
      <c r="A144" s="131">
        <v>45716</v>
      </c>
      <c r="B144" s="67" t="s">
        <v>312</v>
      </c>
      <c r="C144" s="67" t="s">
        <v>254</v>
      </c>
      <c r="D144" s="67" t="s">
        <v>310</v>
      </c>
      <c r="E144" s="67">
        <v>6</v>
      </c>
      <c r="F144" s="8">
        <v>1434</v>
      </c>
    </row>
    <row r="145" spans="1:6">
      <c r="A145" s="131">
        <v>45716</v>
      </c>
      <c r="B145" s="67" t="s">
        <v>311</v>
      </c>
      <c r="C145" s="67" t="s">
        <v>254</v>
      </c>
      <c r="D145" s="67" t="s">
        <v>310</v>
      </c>
      <c r="E145" s="67">
        <v>11</v>
      </c>
      <c r="F145" s="8">
        <v>5858</v>
      </c>
    </row>
    <row r="146" spans="1:6">
      <c r="A146" s="131">
        <v>45716</v>
      </c>
      <c r="B146" s="67" t="s">
        <v>311</v>
      </c>
      <c r="C146" s="67" t="s">
        <v>254</v>
      </c>
      <c r="D146" s="67" t="s">
        <v>315</v>
      </c>
      <c r="E146" s="67">
        <v>3</v>
      </c>
      <c r="F146" s="8">
        <v>823</v>
      </c>
    </row>
    <row r="147" spans="1:6">
      <c r="A147" s="131">
        <v>45716</v>
      </c>
      <c r="B147" s="67" t="s">
        <v>309</v>
      </c>
      <c r="C147" s="67" t="s">
        <v>254</v>
      </c>
      <c r="D147" s="67" t="s">
        <v>306</v>
      </c>
      <c r="E147" s="67">
        <v>12</v>
      </c>
      <c r="F147" s="8">
        <v>10084</v>
      </c>
    </row>
    <row r="148" spans="1:6">
      <c r="A148" s="131">
        <v>45716</v>
      </c>
      <c r="B148" s="67" t="s">
        <v>303</v>
      </c>
      <c r="C148" s="67" t="s">
        <v>253</v>
      </c>
      <c r="D148" s="67" t="s">
        <v>315</v>
      </c>
      <c r="E148" s="67">
        <v>7</v>
      </c>
      <c r="F148" s="8">
        <v>3899</v>
      </c>
    </row>
    <row r="149" spans="1:6">
      <c r="A149" s="131">
        <v>45716</v>
      </c>
      <c r="B149" s="67" t="s">
        <v>312</v>
      </c>
      <c r="C149" s="67" t="s">
        <v>253</v>
      </c>
      <c r="D149" s="67" t="s">
        <v>308</v>
      </c>
      <c r="E149" s="67">
        <v>14</v>
      </c>
      <c r="F149" s="8">
        <v>10128</v>
      </c>
    </row>
    <row r="150" spans="1:6">
      <c r="A150" s="131">
        <v>45716</v>
      </c>
      <c r="B150" s="67" t="s">
        <v>313</v>
      </c>
      <c r="C150" s="67" t="s">
        <v>254</v>
      </c>
      <c r="D150" s="67" t="s">
        <v>310</v>
      </c>
      <c r="E150" s="67">
        <v>8</v>
      </c>
      <c r="F150" s="8">
        <v>5288</v>
      </c>
    </row>
    <row r="151" spans="1:6">
      <c r="A151" s="131">
        <v>45717</v>
      </c>
      <c r="B151" s="67" t="s">
        <v>305</v>
      </c>
      <c r="C151" s="67" t="s">
        <v>287</v>
      </c>
      <c r="D151" s="67" t="s">
        <v>302</v>
      </c>
      <c r="E151" s="67">
        <v>8</v>
      </c>
      <c r="F151" s="8">
        <v>1962</v>
      </c>
    </row>
    <row r="152" spans="1:6">
      <c r="A152" s="131">
        <v>45717</v>
      </c>
      <c r="B152" s="67" t="s">
        <v>312</v>
      </c>
      <c r="C152" s="67" t="s">
        <v>287</v>
      </c>
      <c r="D152" s="67" t="s">
        <v>306</v>
      </c>
      <c r="E152" s="67">
        <v>5</v>
      </c>
      <c r="F152" s="8">
        <v>3248</v>
      </c>
    </row>
    <row r="153" spans="1:6">
      <c r="A153" s="131">
        <v>45717</v>
      </c>
      <c r="B153" s="67" t="s">
        <v>314</v>
      </c>
      <c r="C153" s="67" t="s">
        <v>252</v>
      </c>
      <c r="D153" s="67" t="s">
        <v>304</v>
      </c>
      <c r="E153" s="67">
        <v>12</v>
      </c>
      <c r="F153" s="8">
        <v>8387</v>
      </c>
    </row>
    <row r="154" spans="1:6">
      <c r="A154" s="131">
        <v>45717</v>
      </c>
      <c r="B154" s="67" t="s">
        <v>312</v>
      </c>
      <c r="C154" s="67" t="s">
        <v>252</v>
      </c>
      <c r="D154" s="67" t="s">
        <v>315</v>
      </c>
      <c r="E154" s="67">
        <v>14</v>
      </c>
      <c r="F154" s="8">
        <v>7225</v>
      </c>
    </row>
    <row r="155" spans="1:6">
      <c r="A155" s="131">
        <v>45719</v>
      </c>
      <c r="B155" s="67" t="s">
        <v>309</v>
      </c>
      <c r="C155" s="67" t="s">
        <v>253</v>
      </c>
      <c r="D155" s="67" t="s">
        <v>310</v>
      </c>
      <c r="E155" s="67">
        <v>10</v>
      </c>
      <c r="F155" s="8">
        <v>7735</v>
      </c>
    </row>
    <row r="156" spans="1:6">
      <c r="A156" s="131">
        <v>45720</v>
      </c>
      <c r="B156" s="67" t="s">
        <v>316</v>
      </c>
      <c r="C156" s="67" t="s">
        <v>254</v>
      </c>
      <c r="D156" s="67" t="s">
        <v>315</v>
      </c>
      <c r="E156" s="67">
        <v>1</v>
      </c>
      <c r="F156" s="8">
        <v>6376</v>
      </c>
    </row>
    <row r="157" spans="1:6">
      <c r="A157" s="131">
        <v>45720</v>
      </c>
      <c r="B157" s="67" t="s">
        <v>313</v>
      </c>
      <c r="C157" s="67" t="s">
        <v>252</v>
      </c>
      <c r="D157" s="67" t="s">
        <v>302</v>
      </c>
      <c r="E157" s="67">
        <v>9</v>
      </c>
      <c r="F157" s="8">
        <v>7328</v>
      </c>
    </row>
    <row r="158" spans="1:6">
      <c r="A158" s="131">
        <v>45720</v>
      </c>
      <c r="B158" s="67" t="s">
        <v>309</v>
      </c>
      <c r="C158" s="67" t="s">
        <v>287</v>
      </c>
      <c r="D158" s="67" t="s">
        <v>304</v>
      </c>
      <c r="E158" s="67">
        <v>5</v>
      </c>
      <c r="F158" s="8">
        <v>9167</v>
      </c>
    </row>
    <row r="159" spans="1:6">
      <c r="A159" s="131">
        <v>45720</v>
      </c>
      <c r="B159" s="67" t="s">
        <v>312</v>
      </c>
      <c r="C159" s="67" t="s">
        <v>287</v>
      </c>
      <c r="D159" s="67" t="s">
        <v>308</v>
      </c>
      <c r="E159" s="67">
        <v>12</v>
      </c>
      <c r="F159" s="8">
        <v>9626</v>
      </c>
    </row>
    <row r="160" spans="1:6">
      <c r="A160" s="131">
        <v>45721</v>
      </c>
      <c r="B160" s="67" t="s">
        <v>309</v>
      </c>
      <c r="C160" s="67" t="s">
        <v>254</v>
      </c>
      <c r="D160" s="67" t="s">
        <v>302</v>
      </c>
      <c r="E160" s="67">
        <v>11</v>
      </c>
      <c r="F160" s="8">
        <v>9273</v>
      </c>
    </row>
    <row r="161" spans="1:6">
      <c r="A161" s="131">
        <v>45721</v>
      </c>
      <c r="B161" s="67" t="s">
        <v>311</v>
      </c>
      <c r="C161" s="67" t="s">
        <v>287</v>
      </c>
      <c r="D161" s="67" t="s">
        <v>308</v>
      </c>
      <c r="E161" s="67">
        <v>11</v>
      </c>
      <c r="F161" s="8">
        <v>2169</v>
      </c>
    </row>
    <row r="162" spans="1:6">
      <c r="A162" s="131">
        <v>45721</v>
      </c>
      <c r="B162" s="67" t="s">
        <v>314</v>
      </c>
      <c r="C162" s="67" t="s">
        <v>252</v>
      </c>
      <c r="D162" s="67" t="s">
        <v>302</v>
      </c>
      <c r="E162" s="67">
        <v>12</v>
      </c>
      <c r="F162" s="8">
        <v>2231</v>
      </c>
    </row>
    <row r="163" spans="1:6">
      <c r="A163" s="131">
        <v>45722</v>
      </c>
      <c r="B163" s="67" t="s">
        <v>314</v>
      </c>
      <c r="C163" s="67" t="s">
        <v>254</v>
      </c>
      <c r="D163" s="67" t="s">
        <v>306</v>
      </c>
      <c r="E163" s="67">
        <v>5</v>
      </c>
      <c r="F163" s="8">
        <v>4912</v>
      </c>
    </row>
    <row r="164" spans="1:6">
      <c r="A164" s="131">
        <v>45722</v>
      </c>
      <c r="B164" s="67" t="s">
        <v>309</v>
      </c>
      <c r="C164" s="67" t="s">
        <v>253</v>
      </c>
      <c r="D164" s="67" t="s">
        <v>306</v>
      </c>
      <c r="E164" s="67">
        <v>5</v>
      </c>
      <c r="F164" s="8">
        <v>10289</v>
      </c>
    </row>
    <row r="165" spans="1:6">
      <c r="A165" s="131">
        <v>45723</v>
      </c>
      <c r="B165" s="67" t="s">
        <v>301</v>
      </c>
      <c r="C165" s="67" t="s">
        <v>287</v>
      </c>
      <c r="D165" s="67" t="s">
        <v>310</v>
      </c>
      <c r="E165" s="67">
        <v>12</v>
      </c>
      <c r="F165" s="8">
        <v>6340</v>
      </c>
    </row>
    <row r="166" spans="1:6">
      <c r="A166" s="131">
        <v>45723</v>
      </c>
      <c r="B166" s="67" t="s">
        <v>303</v>
      </c>
      <c r="C166" s="67" t="s">
        <v>252</v>
      </c>
      <c r="D166" s="67" t="s">
        <v>315</v>
      </c>
      <c r="E166" s="67">
        <v>11</v>
      </c>
      <c r="F166" s="8">
        <v>2725</v>
      </c>
    </row>
    <row r="167" spans="1:6">
      <c r="A167" s="131">
        <v>45723</v>
      </c>
      <c r="B167" s="67" t="s">
        <v>311</v>
      </c>
      <c r="C167" s="67" t="s">
        <v>252</v>
      </c>
      <c r="D167" s="67" t="s">
        <v>304</v>
      </c>
      <c r="E167" s="67">
        <v>13</v>
      </c>
      <c r="F167" s="8">
        <v>11727</v>
      </c>
    </row>
    <row r="168" spans="1:6">
      <c r="A168" s="131">
        <v>45724</v>
      </c>
      <c r="B168" s="67" t="s">
        <v>309</v>
      </c>
      <c r="C168" s="67" t="s">
        <v>253</v>
      </c>
      <c r="D168" s="67" t="s">
        <v>308</v>
      </c>
      <c r="E168" s="67">
        <v>10</v>
      </c>
      <c r="F168" s="8">
        <v>11544</v>
      </c>
    </row>
    <row r="169" spans="1:6">
      <c r="A169" s="131">
        <v>45725</v>
      </c>
      <c r="B169" s="67" t="s">
        <v>313</v>
      </c>
      <c r="C169" s="67" t="s">
        <v>254</v>
      </c>
      <c r="D169" s="67" t="s">
        <v>306</v>
      </c>
      <c r="E169" s="67">
        <v>4</v>
      </c>
      <c r="F169" s="8">
        <v>11695</v>
      </c>
    </row>
    <row r="170" spans="1:6">
      <c r="A170" s="131">
        <v>45726</v>
      </c>
      <c r="B170" s="67" t="s">
        <v>314</v>
      </c>
      <c r="C170" s="67" t="s">
        <v>253</v>
      </c>
      <c r="D170" s="67" t="s">
        <v>306</v>
      </c>
      <c r="E170" s="67">
        <v>7</v>
      </c>
      <c r="F170" s="8">
        <v>6973</v>
      </c>
    </row>
    <row r="171" spans="1:6">
      <c r="A171" s="131">
        <v>45726</v>
      </c>
      <c r="B171" s="67" t="s">
        <v>303</v>
      </c>
      <c r="C171" s="67" t="s">
        <v>287</v>
      </c>
      <c r="D171" s="67" t="s">
        <v>308</v>
      </c>
      <c r="E171" s="67">
        <v>1</v>
      </c>
      <c r="F171" s="8">
        <v>3407</v>
      </c>
    </row>
    <row r="172" spans="1:6">
      <c r="A172" s="131">
        <v>45726</v>
      </c>
      <c r="B172" s="67" t="s">
        <v>316</v>
      </c>
      <c r="C172" s="67" t="s">
        <v>254</v>
      </c>
      <c r="D172" s="67" t="s">
        <v>315</v>
      </c>
      <c r="E172" s="67">
        <v>3</v>
      </c>
      <c r="F172" s="8">
        <v>3587</v>
      </c>
    </row>
    <row r="173" spans="1:6">
      <c r="A173" s="131">
        <v>45726</v>
      </c>
      <c r="B173" s="67" t="s">
        <v>312</v>
      </c>
      <c r="C173" s="67" t="s">
        <v>253</v>
      </c>
      <c r="D173" s="67" t="s">
        <v>315</v>
      </c>
      <c r="E173" s="67">
        <v>5</v>
      </c>
      <c r="F173" s="8">
        <v>9638</v>
      </c>
    </row>
    <row r="174" spans="1:6">
      <c r="A174" s="131">
        <v>45727</v>
      </c>
      <c r="B174" s="67" t="s">
        <v>313</v>
      </c>
      <c r="C174" s="67" t="s">
        <v>287</v>
      </c>
      <c r="D174" s="67" t="s">
        <v>308</v>
      </c>
      <c r="E174" s="67">
        <v>4</v>
      </c>
      <c r="F174" s="8">
        <v>5503</v>
      </c>
    </row>
    <row r="175" spans="1:6">
      <c r="A175" s="131">
        <v>45728</v>
      </c>
      <c r="B175" s="67" t="s">
        <v>303</v>
      </c>
      <c r="C175" s="67" t="s">
        <v>253</v>
      </c>
      <c r="D175" s="67" t="s">
        <v>308</v>
      </c>
      <c r="E175" s="67">
        <v>6</v>
      </c>
      <c r="F175" s="8">
        <v>9216</v>
      </c>
    </row>
    <row r="176" spans="1:6">
      <c r="A176" s="131">
        <v>45728</v>
      </c>
      <c r="B176" s="67" t="s">
        <v>311</v>
      </c>
      <c r="C176" s="67" t="s">
        <v>254</v>
      </c>
      <c r="D176" s="67" t="s">
        <v>304</v>
      </c>
      <c r="E176" s="67">
        <v>3</v>
      </c>
      <c r="F176" s="8">
        <v>8259</v>
      </c>
    </row>
    <row r="177" spans="1:6">
      <c r="A177" s="131">
        <v>45729</v>
      </c>
      <c r="B177" s="67" t="s">
        <v>314</v>
      </c>
      <c r="C177" s="67" t="s">
        <v>254</v>
      </c>
      <c r="D177" s="67" t="s">
        <v>315</v>
      </c>
      <c r="E177" s="67">
        <v>14</v>
      </c>
      <c r="F177" s="8">
        <v>2614</v>
      </c>
    </row>
    <row r="178" spans="1:6">
      <c r="A178" s="131">
        <v>45729</v>
      </c>
      <c r="B178" s="67" t="s">
        <v>314</v>
      </c>
      <c r="C178" s="67" t="s">
        <v>253</v>
      </c>
      <c r="D178" s="67" t="s">
        <v>306</v>
      </c>
      <c r="E178" s="67">
        <v>12</v>
      </c>
      <c r="F178" s="8">
        <v>11865</v>
      </c>
    </row>
    <row r="179" spans="1:6">
      <c r="A179" s="131">
        <v>45729</v>
      </c>
      <c r="B179" s="67" t="s">
        <v>303</v>
      </c>
      <c r="C179" s="67" t="s">
        <v>287</v>
      </c>
      <c r="D179" s="67" t="s">
        <v>304</v>
      </c>
      <c r="E179" s="67">
        <v>7</v>
      </c>
      <c r="F179" s="8">
        <v>3905</v>
      </c>
    </row>
    <row r="180" spans="1:6">
      <c r="A180" s="131">
        <v>45730</v>
      </c>
      <c r="B180" s="67" t="s">
        <v>309</v>
      </c>
      <c r="C180" s="67" t="s">
        <v>287</v>
      </c>
      <c r="D180" s="67" t="s">
        <v>310</v>
      </c>
      <c r="E180" s="67">
        <v>7</v>
      </c>
      <c r="F180" s="8">
        <v>9167</v>
      </c>
    </row>
    <row r="181" spans="1:6">
      <c r="A181" s="131">
        <v>45730</v>
      </c>
      <c r="B181" s="67" t="s">
        <v>314</v>
      </c>
      <c r="C181" s="67" t="s">
        <v>287</v>
      </c>
      <c r="D181" s="67" t="s">
        <v>302</v>
      </c>
      <c r="E181" s="67">
        <v>13</v>
      </c>
      <c r="F181" s="8">
        <v>4538</v>
      </c>
    </row>
    <row r="182" spans="1:6">
      <c r="A182" s="131">
        <v>45731</v>
      </c>
      <c r="B182" s="67" t="s">
        <v>305</v>
      </c>
      <c r="C182" s="67" t="s">
        <v>254</v>
      </c>
      <c r="D182" s="67" t="s">
        <v>308</v>
      </c>
      <c r="E182" s="67">
        <v>6</v>
      </c>
      <c r="F182" s="8">
        <v>4102</v>
      </c>
    </row>
    <row r="183" spans="1:6">
      <c r="A183" s="131">
        <v>45731</v>
      </c>
      <c r="B183" s="67" t="s">
        <v>301</v>
      </c>
      <c r="C183" s="67" t="s">
        <v>254</v>
      </c>
      <c r="D183" s="67" t="s">
        <v>315</v>
      </c>
      <c r="E183" s="67">
        <v>4</v>
      </c>
      <c r="F183" s="8">
        <v>2516</v>
      </c>
    </row>
    <row r="184" spans="1:6">
      <c r="A184" s="131">
        <v>45732</v>
      </c>
      <c r="B184" s="67" t="s">
        <v>316</v>
      </c>
      <c r="C184" s="67" t="s">
        <v>253</v>
      </c>
      <c r="D184" s="67" t="s">
        <v>306</v>
      </c>
      <c r="E184" s="67">
        <v>5</v>
      </c>
      <c r="F184" s="8">
        <v>7197</v>
      </c>
    </row>
    <row r="185" spans="1:6">
      <c r="A185" s="131">
        <v>45732</v>
      </c>
      <c r="B185" s="67" t="s">
        <v>312</v>
      </c>
      <c r="C185" s="67" t="s">
        <v>252</v>
      </c>
      <c r="D185" s="67" t="s">
        <v>308</v>
      </c>
      <c r="E185" s="67">
        <v>2</v>
      </c>
      <c r="F185" s="8">
        <v>4827</v>
      </c>
    </row>
    <row r="186" spans="1:6">
      <c r="A186" s="131">
        <v>45732</v>
      </c>
      <c r="B186" s="67" t="s">
        <v>312</v>
      </c>
      <c r="C186" s="67" t="s">
        <v>287</v>
      </c>
      <c r="D186" s="67" t="s">
        <v>302</v>
      </c>
      <c r="E186" s="67">
        <v>4</v>
      </c>
      <c r="F186" s="8">
        <v>2815</v>
      </c>
    </row>
    <row r="187" spans="1:6">
      <c r="A187" s="131">
        <v>45733</v>
      </c>
      <c r="B187" s="67" t="s">
        <v>313</v>
      </c>
      <c r="C187" s="67" t="s">
        <v>287</v>
      </c>
      <c r="D187" s="67" t="s">
        <v>308</v>
      </c>
      <c r="E187" s="67">
        <v>14</v>
      </c>
      <c r="F187" s="8">
        <v>2214</v>
      </c>
    </row>
    <row r="188" spans="1:6">
      <c r="A188" s="131">
        <v>45733</v>
      </c>
      <c r="B188" s="67" t="s">
        <v>312</v>
      </c>
      <c r="C188" s="67" t="s">
        <v>253</v>
      </c>
      <c r="D188" s="67" t="s">
        <v>315</v>
      </c>
      <c r="E188" s="67">
        <v>12</v>
      </c>
      <c r="F188" s="8">
        <v>8700</v>
      </c>
    </row>
    <row r="189" spans="1:6">
      <c r="A189" s="131">
        <v>45733</v>
      </c>
      <c r="B189" s="67" t="s">
        <v>307</v>
      </c>
      <c r="C189" s="67" t="s">
        <v>253</v>
      </c>
      <c r="D189" s="67" t="s">
        <v>304</v>
      </c>
      <c r="E189" s="67">
        <v>2</v>
      </c>
      <c r="F189" s="8">
        <v>3566</v>
      </c>
    </row>
    <row r="190" spans="1:6">
      <c r="A190" s="131">
        <v>45733</v>
      </c>
      <c r="B190" s="67" t="s">
        <v>307</v>
      </c>
      <c r="C190" s="67" t="s">
        <v>254</v>
      </c>
      <c r="D190" s="67" t="s">
        <v>306</v>
      </c>
      <c r="E190" s="67">
        <v>9</v>
      </c>
      <c r="F190" s="8">
        <v>11194</v>
      </c>
    </row>
    <row r="191" spans="1:6">
      <c r="A191" s="131">
        <v>45733</v>
      </c>
      <c r="B191" s="67" t="s">
        <v>311</v>
      </c>
      <c r="C191" s="67" t="s">
        <v>254</v>
      </c>
      <c r="D191" s="67" t="s">
        <v>315</v>
      </c>
      <c r="E191" s="67">
        <v>10</v>
      </c>
      <c r="F191" s="8">
        <v>4298</v>
      </c>
    </row>
    <row r="192" spans="1:6">
      <c r="A192" s="131">
        <v>45734</v>
      </c>
      <c r="B192" s="67" t="s">
        <v>313</v>
      </c>
      <c r="C192" s="67" t="s">
        <v>287</v>
      </c>
      <c r="D192" s="67" t="s">
        <v>304</v>
      </c>
      <c r="E192" s="67">
        <v>5</v>
      </c>
      <c r="F192" s="8">
        <v>2291</v>
      </c>
    </row>
    <row r="193" spans="1:6">
      <c r="A193" s="131">
        <v>45734</v>
      </c>
      <c r="B193" s="67" t="s">
        <v>311</v>
      </c>
      <c r="C193" s="67" t="s">
        <v>252</v>
      </c>
      <c r="D193" s="67" t="s">
        <v>315</v>
      </c>
      <c r="E193" s="67">
        <v>10</v>
      </c>
      <c r="F193" s="8">
        <v>6975</v>
      </c>
    </row>
    <row r="194" spans="1:6">
      <c r="A194" s="131">
        <v>45735</v>
      </c>
      <c r="B194" s="67" t="s">
        <v>301</v>
      </c>
      <c r="C194" s="67" t="s">
        <v>253</v>
      </c>
      <c r="D194" s="67" t="s">
        <v>315</v>
      </c>
      <c r="E194" s="67">
        <v>5</v>
      </c>
      <c r="F194" s="8">
        <v>3506</v>
      </c>
    </row>
    <row r="195" spans="1:6">
      <c r="A195" s="131">
        <v>45735</v>
      </c>
      <c r="B195" s="67" t="s">
        <v>301</v>
      </c>
      <c r="C195" s="67" t="s">
        <v>287</v>
      </c>
      <c r="D195" s="67" t="s">
        <v>302</v>
      </c>
      <c r="E195" s="67">
        <v>4</v>
      </c>
      <c r="F195" s="8">
        <v>1410</v>
      </c>
    </row>
    <row r="196" spans="1:6">
      <c r="A196" s="131">
        <v>45736</v>
      </c>
      <c r="B196" s="67" t="s">
        <v>316</v>
      </c>
      <c r="C196" s="67" t="s">
        <v>253</v>
      </c>
      <c r="D196" s="67" t="s">
        <v>315</v>
      </c>
      <c r="E196" s="67">
        <v>10</v>
      </c>
      <c r="F196" s="8">
        <v>8425</v>
      </c>
    </row>
    <row r="197" spans="1:6">
      <c r="A197" s="131">
        <v>45736</v>
      </c>
      <c r="B197" s="67" t="s">
        <v>301</v>
      </c>
      <c r="C197" s="67" t="s">
        <v>254</v>
      </c>
      <c r="D197" s="67" t="s">
        <v>302</v>
      </c>
      <c r="E197" s="67">
        <v>8</v>
      </c>
      <c r="F197" s="8">
        <v>11234</v>
      </c>
    </row>
    <row r="198" spans="1:6">
      <c r="A198" s="131">
        <v>45736</v>
      </c>
      <c r="B198" s="67" t="s">
        <v>313</v>
      </c>
      <c r="C198" s="67" t="s">
        <v>253</v>
      </c>
      <c r="D198" s="67" t="s">
        <v>306</v>
      </c>
      <c r="E198" s="67">
        <v>11</v>
      </c>
      <c r="F198" s="8">
        <v>4660</v>
      </c>
    </row>
    <row r="199" spans="1:6">
      <c r="A199" s="131">
        <v>45739</v>
      </c>
      <c r="B199" s="67" t="s">
        <v>301</v>
      </c>
      <c r="C199" s="67" t="s">
        <v>253</v>
      </c>
      <c r="D199" s="67" t="s">
        <v>315</v>
      </c>
      <c r="E199" s="67">
        <v>12</v>
      </c>
      <c r="F199" s="8">
        <v>11560</v>
      </c>
    </row>
    <row r="200" spans="1:6">
      <c r="A200" s="131">
        <v>45740</v>
      </c>
      <c r="B200" s="67" t="s">
        <v>312</v>
      </c>
      <c r="C200" s="67" t="s">
        <v>287</v>
      </c>
      <c r="D200" s="67" t="s">
        <v>302</v>
      </c>
      <c r="E200" s="67">
        <v>12</v>
      </c>
      <c r="F200" s="8">
        <v>11523</v>
      </c>
    </row>
    <row r="201" spans="1:6">
      <c r="A201" s="131">
        <v>45741</v>
      </c>
      <c r="B201" s="67" t="s">
        <v>314</v>
      </c>
      <c r="C201" s="67" t="s">
        <v>252</v>
      </c>
      <c r="D201" s="67" t="s">
        <v>306</v>
      </c>
      <c r="E201" s="67">
        <v>2</v>
      </c>
      <c r="F201" s="8">
        <v>6216</v>
      </c>
    </row>
    <row r="202" spans="1:6">
      <c r="A202" s="131">
        <v>45742</v>
      </c>
      <c r="B202" s="67" t="s">
        <v>314</v>
      </c>
      <c r="C202" s="67" t="s">
        <v>253</v>
      </c>
      <c r="D202" s="67" t="s">
        <v>304</v>
      </c>
      <c r="E202" s="67">
        <v>1</v>
      </c>
      <c r="F202" s="8">
        <v>6458</v>
      </c>
    </row>
    <row r="203" spans="1:6">
      <c r="A203" s="131">
        <v>45742</v>
      </c>
      <c r="B203" s="67" t="s">
        <v>309</v>
      </c>
      <c r="C203" s="67" t="s">
        <v>252</v>
      </c>
      <c r="D203" s="67" t="s">
        <v>310</v>
      </c>
      <c r="E203" s="67">
        <v>6</v>
      </c>
      <c r="F203" s="8">
        <v>7471</v>
      </c>
    </row>
    <row r="204" spans="1:6">
      <c r="A204" s="131">
        <v>45742</v>
      </c>
      <c r="B204" s="67" t="s">
        <v>307</v>
      </c>
      <c r="C204" s="67" t="s">
        <v>253</v>
      </c>
      <c r="D204" s="67" t="s">
        <v>304</v>
      </c>
      <c r="E204" s="67">
        <v>13</v>
      </c>
      <c r="F204" s="8">
        <v>5396</v>
      </c>
    </row>
    <row r="205" spans="1:6">
      <c r="A205" s="131">
        <v>45743</v>
      </c>
      <c r="B205" s="67" t="s">
        <v>314</v>
      </c>
      <c r="C205" s="67" t="s">
        <v>254</v>
      </c>
      <c r="D205" s="67" t="s">
        <v>302</v>
      </c>
      <c r="E205" s="67">
        <v>1</v>
      </c>
      <c r="F205" s="8">
        <v>834</v>
      </c>
    </row>
    <row r="206" spans="1:6">
      <c r="A206" s="131">
        <v>45743</v>
      </c>
      <c r="B206" s="67" t="s">
        <v>311</v>
      </c>
      <c r="C206" s="67" t="s">
        <v>252</v>
      </c>
      <c r="D206" s="67" t="s">
        <v>306</v>
      </c>
      <c r="E206" s="67">
        <v>8</v>
      </c>
      <c r="F206" s="8">
        <v>8377</v>
      </c>
    </row>
    <row r="207" spans="1:6">
      <c r="A207" s="131">
        <v>45744</v>
      </c>
      <c r="B207" s="67" t="s">
        <v>309</v>
      </c>
      <c r="C207" s="67" t="s">
        <v>253</v>
      </c>
      <c r="D207" s="67" t="s">
        <v>302</v>
      </c>
      <c r="E207" s="67">
        <v>13</v>
      </c>
      <c r="F207" s="8">
        <v>5707</v>
      </c>
    </row>
    <row r="208" spans="1:6">
      <c r="A208" s="131">
        <v>45746</v>
      </c>
      <c r="B208" s="67" t="s">
        <v>314</v>
      </c>
      <c r="C208" s="67" t="s">
        <v>287</v>
      </c>
      <c r="D208" s="67" t="s">
        <v>302</v>
      </c>
      <c r="E208" s="67">
        <v>2</v>
      </c>
      <c r="F208" s="8">
        <v>8372</v>
      </c>
    </row>
    <row r="209" spans="1:6">
      <c r="A209" s="131">
        <v>45746</v>
      </c>
      <c r="B209" s="67" t="s">
        <v>303</v>
      </c>
      <c r="C209" s="67" t="s">
        <v>253</v>
      </c>
      <c r="D209" s="67" t="s">
        <v>306</v>
      </c>
      <c r="E209" s="67">
        <v>11</v>
      </c>
      <c r="F209" s="8">
        <v>2515</v>
      </c>
    </row>
    <row r="210" spans="1:6">
      <c r="A210" s="131">
        <v>45747</v>
      </c>
      <c r="B210" s="67" t="s">
        <v>313</v>
      </c>
      <c r="C210" s="67" t="s">
        <v>252</v>
      </c>
      <c r="D210" s="67" t="s">
        <v>310</v>
      </c>
      <c r="E210" s="67">
        <v>5</v>
      </c>
      <c r="F210" s="8">
        <v>6739</v>
      </c>
    </row>
    <row r="211" spans="1:6">
      <c r="A211" s="131">
        <v>45747</v>
      </c>
      <c r="B211" s="67" t="s">
        <v>309</v>
      </c>
      <c r="C211" s="67" t="s">
        <v>252</v>
      </c>
      <c r="D211" s="67" t="s">
        <v>302</v>
      </c>
      <c r="E211" s="67">
        <v>6</v>
      </c>
      <c r="F211" s="8">
        <v>8588</v>
      </c>
    </row>
    <row r="212" spans="1:6">
      <c r="A212" s="131">
        <v>45747</v>
      </c>
      <c r="B212" s="67" t="s">
        <v>314</v>
      </c>
      <c r="C212" s="67" t="s">
        <v>254</v>
      </c>
      <c r="D212" s="67" t="s">
        <v>310</v>
      </c>
      <c r="E212" s="67">
        <v>2</v>
      </c>
      <c r="F212" s="8">
        <v>4691</v>
      </c>
    </row>
    <row r="213" spans="1:6">
      <c r="A213" s="131">
        <v>45748</v>
      </c>
      <c r="B213" s="67" t="s">
        <v>303</v>
      </c>
      <c r="C213" s="67" t="s">
        <v>253</v>
      </c>
      <c r="D213" s="67" t="s">
        <v>308</v>
      </c>
      <c r="E213" s="67">
        <v>1</v>
      </c>
      <c r="F213" s="8">
        <v>11915</v>
      </c>
    </row>
    <row r="214" spans="1:6">
      <c r="A214" s="131">
        <v>45748</v>
      </c>
      <c r="B214" s="67" t="s">
        <v>301</v>
      </c>
      <c r="C214" s="67" t="s">
        <v>252</v>
      </c>
      <c r="D214" s="67" t="s">
        <v>315</v>
      </c>
      <c r="E214" s="67">
        <v>14</v>
      </c>
      <c r="F214" s="8">
        <v>10207</v>
      </c>
    </row>
    <row r="215" spans="1:6">
      <c r="A215" s="131">
        <v>45749</v>
      </c>
      <c r="B215" s="67" t="s">
        <v>307</v>
      </c>
      <c r="C215" s="67" t="s">
        <v>254</v>
      </c>
      <c r="D215" s="67" t="s">
        <v>308</v>
      </c>
      <c r="E215" s="67">
        <v>13</v>
      </c>
      <c r="F215" s="8">
        <v>1628</v>
      </c>
    </row>
    <row r="216" spans="1:6">
      <c r="A216" s="131">
        <v>45749</v>
      </c>
      <c r="B216" s="67" t="s">
        <v>303</v>
      </c>
      <c r="C216" s="67" t="s">
        <v>254</v>
      </c>
      <c r="D216" s="67" t="s">
        <v>308</v>
      </c>
      <c r="E216" s="67">
        <v>13</v>
      </c>
      <c r="F216" s="8">
        <v>2979</v>
      </c>
    </row>
    <row r="217" spans="1:6">
      <c r="A217" s="131">
        <v>45751</v>
      </c>
      <c r="B217" s="67" t="s">
        <v>316</v>
      </c>
      <c r="C217" s="67" t="s">
        <v>287</v>
      </c>
      <c r="D217" s="67" t="s">
        <v>310</v>
      </c>
      <c r="E217" s="67">
        <v>14</v>
      </c>
      <c r="F217" s="8">
        <v>6966</v>
      </c>
    </row>
    <row r="218" spans="1:6">
      <c r="A218" s="131">
        <v>45752</v>
      </c>
      <c r="B218" s="67" t="s">
        <v>301</v>
      </c>
      <c r="C218" s="67" t="s">
        <v>252</v>
      </c>
      <c r="D218" s="67" t="s">
        <v>308</v>
      </c>
      <c r="E218" s="67">
        <v>5</v>
      </c>
      <c r="F218" s="8">
        <v>6932</v>
      </c>
    </row>
    <row r="219" spans="1:6">
      <c r="A219" s="131">
        <v>45752</v>
      </c>
      <c r="B219" s="67" t="s">
        <v>307</v>
      </c>
      <c r="C219" s="67" t="s">
        <v>252</v>
      </c>
      <c r="D219" s="67" t="s">
        <v>310</v>
      </c>
      <c r="E219" s="67">
        <v>6</v>
      </c>
      <c r="F219" s="8">
        <v>1338</v>
      </c>
    </row>
    <row r="220" spans="1:6">
      <c r="A220" s="131">
        <v>45754</v>
      </c>
      <c r="B220" s="67" t="s">
        <v>307</v>
      </c>
      <c r="C220" s="67" t="s">
        <v>253</v>
      </c>
      <c r="D220" s="67" t="s">
        <v>306</v>
      </c>
      <c r="E220" s="67">
        <v>7</v>
      </c>
      <c r="F220" s="8">
        <v>10988</v>
      </c>
    </row>
    <row r="221" spans="1:6">
      <c r="A221" s="131">
        <v>45754</v>
      </c>
      <c r="B221" s="67" t="s">
        <v>309</v>
      </c>
      <c r="C221" s="67" t="s">
        <v>253</v>
      </c>
      <c r="D221" s="67" t="s">
        <v>306</v>
      </c>
      <c r="E221" s="67">
        <v>13</v>
      </c>
      <c r="F221" s="8">
        <v>8254</v>
      </c>
    </row>
    <row r="222" spans="1:6">
      <c r="A222" s="131">
        <v>45755</v>
      </c>
      <c r="B222" s="67" t="s">
        <v>309</v>
      </c>
      <c r="C222" s="67" t="s">
        <v>252</v>
      </c>
      <c r="D222" s="67" t="s">
        <v>306</v>
      </c>
      <c r="E222" s="67">
        <v>5</v>
      </c>
      <c r="F222" s="8">
        <v>8046</v>
      </c>
    </row>
    <row r="223" spans="1:6">
      <c r="A223" s="131">
        <v>45755</v>
      </c>
      <c r="B223" s="67" t="s">
        <v>311</v>
      </c>
      <c r="C223" s="67" t="s">
        <v>254</v>
      </c>
      <c r="D223" s="67" t="s">
        <v>310</v>
      </c>
      <c r="E223" s="67">
        <v>13</v>
      </c>
      <c r="F223" s="8">
        <v>1033</v>
      </c>
    </row>
    <row r="224" spans="1:6">
      <c r="A224" s="131">
        <v>45755</v>
      </c>
      <c r="B224" s="67" t="s">
        <v>313</v>
      </c>
      <c r="C224" s="67" t="s">
        <v>254</v>
      </c>
      <c r="D224" s="67" t="s">
        <v>310</v>
      </c>
      <c r="E224" s="67">
        <v>1</v>
      </c>
      <c r="F224" s="8">
        <v>1742</v>
      </c>
    </row>
    <row r="225" spans="1:6">
      <c r="A225" s="131">
        <v>45756</v>
      </c>
      <c r="B225" s="67" t="s">
        <v>312</v>
      </c>
      <c r="C225" s="67" t="s">
        <v>287</v>
      </c>
      <c r="D225" s="67" t="s">
        <v>306</v>
      </c>
      <c r="E225" s="67">
        <v>6</v>
      </c>
      <c r="F225" s="8">
        <v>8115</v>
      </c>
    </row>
    <row r="226" spans="1:6">
      <c r="A226" s="131">
        <v>45756</v>
      </c>
      <c r="B226" s="67" t="s">
        <v>307</v>
      </c>
      <c r="C226" s="67" t="s">
        <v>254</v>
      </c>
      <c r="D226" s="67" t="s">
        <v>310</v>
      </c>
      <c r="E226" s="67">
        <v>3</v>
      </c>
      <c r="F226" s="8">
        <v>6147</v>
      </c>
    </row>
    <row r="227" spans="1:6">
      <c r="A227" s="131">
        <v>45757</v>
      </c>
      <c r="B227" s="67" t="s">
        <v>309</v>
      </c>
      <c r="C227" s="67" t="s">
        <v>253</v>
      </c>
      <c r="D227" s="67" t="s">
        <v>304</v>
      </c>
      <c r="E227" s="67">
        <v>13</v>
      </c>
      <c r="F227" s="8">
        <v>10753</v>
      </c>
    </row>
    <row r="228" spans="1:6">
      <c r="A228" s="131">
        <v>45758</v>
      </c>
      <c r="B228" s="67" t="s">
        <v>305</v>
      </c>
      <c r="C228" s="67" t="s">
        <v>254</v>
      </c>
      <c r="D228" s="67" t="s">
        <v>315</v>
      </c>
      <c r="E228" s="67">
        <v>6</v>
      </c>
      <c r="F228" s="8">
        <v>11213</v>
      </c>
    </row>
    <row r="229" spans="1:6">
      <c r="A229" s="131">
        <v>45758</v>
      </c>
      <c r="B229" s="67" t="s">
        <v>312</v>
      </c>
      <c r="C229" s="67" t="s">
        <v>253</v>
      </c>
      <c r="D229" s="67" t="s">
        <v>306</v>
      </c>
      <c r="E229" s="67">
        <v>1</v>
      </c>
      <c r="F229" s="8">
        <v>7696</v>
      </c>
    </row>
    <row r="230" spans="1:6">
      <c r="A230" s="131">
        <v>45758</v>
      </c>
      <c r="B230" s="67" t="s">
        <v>309</v>
      </c>
      <c r="C230" s="67" t="s">
        <v>253</v>
      </c>
      <c r="D230" s="67" t="s">
        <v>306</v>
      </c>
      <c r="E230" s="67">
        <v>1</v>
      </c>
      <c r="F230" s="8">
        <v>1879</v>
      </c>
    </row>
    <row r="231" spans="1:6">
      <c r="A231" s="131">
        <v>45759</v>
      </c>
      <c r="B231" s="67" t="s">
        <v>305</v>
      </c>
      <c r="C231" s="67" t="s">
        <v>252</v>
      </c>
      <c r="D231" s="67" t="s">
        <v>308</v>
      </c>
      <c r="E231" s="67">
        <v>6</v>
      </c>
      <c r="F231" s="8">
        <v>6797</v>
      </c>
    </row>
    <row r="232" spans="1:6">
      <c r="A232" s="131">
        <v>45759</v>
      </c>
      <c r="B232" s="67" t="s">
        <v>314</v>
      </c>
      <c r="C232" s="67" t="s">
        <v>254</v>
      </c>
      <c r="D232" s="67" t="s">
        <v>310</v>
      </c>
      <c r="E232" s="67">
        <v>7</v>
      </c>
      <c r="F232" s="8">
        <v>4475</v>
      </c>
    </row>
    <row r="233" spans="1:6">
      <c r="A233" s="131">
        <v>45760</v>
      </c>
      <c r="B233" s="67" t="s">
        <v>313</v>
      </c>
      <c r="C233" s="67" t="s">
        <v>252</v>
      </c>
      <c r="D233" s="67" t="s">
        <v>308</v>
      </c>
      <c r="E233" s="67">
        <v>6</v>
      </c>
      <c r="F233" s="8">
        <v>5628</v>
      </c>
    </row>
    <row r="234" spans="1:6">
      <c r="A234" s="131">
        <v>45761</v>
      </c>
      <c r="B234" s="67" t="s">
        <v>312</v>
      </c>
      <c r="C234" s="67" t="s">
        <v>287</v>
      </c>
      <c r="D234" s="67" t="s">
        <v>308</v>
      </c>
      <c r="E234" s="67">
        <v>5</v>
      </c>
      <c r="F234" s="8">
        <v>4314</v>
      </c>
    </row>
    <row r="235" spans="1:6">
      <c r="A235" s="131">
        <v>45761</v>
      </c>
      <c r="B235" s="67" t="s">
        <v>311</v>
      </c>
      <c r="C235" s="67" t="s">
        <v>254</v>
      </c>
      <c r="D235" s="67" t="s">
        <v>308</v>
      </c>
      <c r="E235" s="67">
        <v>13</v>
      </c>
      <c r="F235" s="8">
        <v>7424</v>
      </c>
    </row>
    <row r="236" spans="1:6">
      <c r="A236" s="131">
        <v>45763</v>
      </c>
      <c r="B236" s="67" t="s">
        <v>301</v>
      </c>
      <c r="C236" s="67" t="s">
        <v>287</v>
      </c>
      <c r="D236" s="67" t="s">
        <v>302</v>
      </c>
      <c r="E236" s="67">
        <v>1</v>
      </c>
      <c r="F236" s="8">
        <v>6414</v>
      </c>
    </row>
    <row r="237" spans="1:6">
      <c r="A237" s="131">
        <v>45764</v>
      </c>
      <c r="B237" s="67" t="s">
        <v>311</v>
      </c>
      <c r="C237" s="67" t="s">
        <v>287</v>
      </c>
      <c r="D237" s="67" t="s">
        <v>304</v>
      </c>
      <c r="E237" s="67">
        <v>6</v>
      </c>
      <c r="F237" s="8">
        <v>1113</v>
      </c>
    </row>
    <row r="238" spans="1:6">
      <c r="A238" s="131">
        <v>45764</v>
      </c>
      <c r="B238" s="67" t="s">
        <v>309</v>
      </c>
      <c r="C238" s="67" t="s">
        <v>254</v>
      </c>
      <c r="D238" s="67" t="s">
        <v>302</v>
      </c>
      <c r="E238" s="67">
        <v>9</v>
      </c>
      <c r="F238" s="8">
        <v>2521</v>
      </c>
    </row>
    <row r="239" spans="1:6">
      <c r="A239" s="131">
        <v>45765</v>
      </c>
      <c r="B239" s="67" t="s">
        <v>311</v>
      </c>
      <c r="C239" s="67" t="s">
        <v>253</v>
      </c>
      <c r="D239" s="67" t="s">
        <v>310</v>
      </c>
      <c r="E239" s="67">
        <v>11</v>
      </c>
      <c r="F239" s="8">
        <v>5075</v>
      </c>
    </row>
    <row r="240" spans="1:6">
      <c r="A240" s="131">
        <v>45765</v>
      </c>
      <c r="B240" s="67" t="s">
        <v>312</v>
      </c>
      <c r="C240" s="67" t="s">
        <v>287</v>
      </c>
      <c r="D240" s="67" t="s">
        <v>302</v>
      </c>
      <c r="E240" s="67">
        <v>12</v>
      </c>
      <c r="F240" s="8">
        <v>1066</v>
      </c>
    </row>
    <row r="241" spans="1:6">
      <c r="A241" s="131">
        <v>45766</v>
      </c>
      <c r="B241" s="67" t="s">
        <v>305</v>
      </c>
      <c r="C241" s="67" t="s">
        <v>287</v>
      </c>
      <c r="D241" s="67" t="s">
        <v>304</v>
      </c>
      <c r="E241" s="67">
        <v>7</v>
      </c>
      <c r="F241" s="8">
        <v>4560</v>
      </c>
    </row>
    <row r="242" spans="1:6">
      <c r="A242" s="131">
        <v>45766</v>
      </c>
      <c r="B242" s="67" t="s">
        <v>301</v>
      </c>
      <c r="C242" s="67" t="s">
        <v>253</v>
      </c>
      <c r="D242" s="67" t="s">
        <v>304</v>
      </c>
      <c r="E242" s="67">
        <v>6</v>
      </c>
      <c r="F242" s="8">
        <v>5902</v>
      </c>
    </row>
    <row r="243" spans="1:6">
      <c r="A243" s="131">
        <v>45766</v>
      </c>
      <c r="B243" s="67" t="s">
        <v>301</v>
      </c>
      <c r="C243" s="67" t="s">
        <v>254</v>
      </c>
      <c r="D243" s="67" t="s">
        <v>304</v>
      </c>
      <c r="E243" s="67">
        <v>10</v>
      </c>
      <c r="F243" s="8">
        <v>9679</v>
      </c>
    </row>
    <row r="244" spans="1:6">
      <c r="A244" s="131">
        <v>45766</v>
      </c>
      <c r="B244" s="67" t="s">
        <v>312</v>
      </c>
      <c r="C244" s="67" t="s">
        <v>287</v>
      </c>
      <c r="D244" s="67" t="s">
        <v>310</v>
      </c>
      <c r="E244" s="67">
        <v>8</v>
      </c>
      <c r="F244" s="8">
        <v>1104</v>
      </c>
    </row>
    <row r="245" spans="1:6">
      <c r="A245" s="131">
        <v>45767</v>
      </c>
      <c r="B245" s="67" t="s">
        <v>312</v>
      </c>
      <c r="C245" s="67" t="s">
        <v>253</v>
      </c>
      <c r="D245" s="67" t="s">
        <v>315</v>
      </c>
      <c r="E245" s="67">
        <v>7</v>
      </c>
      <c r="F245" s="8">
        <v>6768</v>
      </c>
    </row>
    <row r="246" spans="1:6">
      <c r="A246" s="131">
        <v>45768</v>
      </c>
      <c r="B246" s="67" t="s">
        <v>311</v>
      </c>
      <c r="C246" s="67" t="s">
        <v>252</v>
      </c>
      <c r="D246" s="67" t="s">
        <v>304</v>
      </c>
      <c r="E246" s="67">
        <v>4</v>
      </c>
      <c r="F246" s="8">
        <v>3212</v>
      </c>
    </row>
    <row r="247" spans="1:6">
      <c r="A247" s="131">
        <v>45768</v>
      </c>
      <c r="B247" s="67" t="s">
        <v>307</v>
      </c>
      <c r="C247" s="67" t="s">
        <v>254</v>
      </c>
      <c r="D247" s="67" t="s">
        <v>315</v>
      </c>
      <c r="E247" s="67">
        <v>6</v>
      </c>
      <c r="F247" s="8">
        <v>11068</v>
      </c>
    </row>
    <row r="248" spans="1:6">
      <c r="A248" s="131">
        <v>45769</v>
      </c>
      <c r="B248" s="67" t="s">
        <v>309</v>
      </c>
      <c r="C248" s="67" t="s">
        <v>254</v>
      </c>
      <c r="D248" s="67" t="s">
        <v>306</v>
      </c>
      <c r="E248" s="67">
        <v>1</v>
      </c>
      <c r="F248" s="8">
        <v>1635</v>
      </c>
    </row>
    <row r="249" spans="1:6">
      <c r="A249" s="131">
        <v>45769</v>
      </c>
      <c r="B249" s="67" t="s">
        <v>303</v>
      </c>
      <c r="C249" s="67" t="s">
        <v>287</v>
      </c>
      <c r="D249" s="67" t="s">
        <v>304</v>
      </c>
      <c r="E249" s="67">
        <v>9</v>
      </c>
      <c r="F249" s="8">
        <v>2217</v>
      </c>
    </row>
    <row r="250" spans="1:6">
      <c r="A250" s="131">
        <v>45769</v>
      </c>
      <c r="B250" s="67" t="s">
        <v>303</v>
      </c>
      <c r="C250" s="67" t="s">
        <v>252</v>
      </c>
      <c r="D250" s="67" t="s">
        <v>315</v>
      </c>
      <c r="E250" s="67">
        <v>14</v>
      </c>
      <c r="F250" s="8">
        <v>9811</v>
      </c>
    </row>
    <row r="251" spans="1:6">
      <c r="A251" s="131">
        <v>45769</v>
      </c>
      <c r="B251" s="67" t="s">
        <v>301</v>
      </c>
      <c r="C251" s="67" t="s">
        <v>253</v>
      </c>
      <c r="D251" s="67" t="s">
        <v>310</v>
      </c>
      <c r="E251" s="67">
        <v>9</v>
      </c>
      <c r="F251" s="8">
        <v>2999</v>
      </c>
    </row>
    <row r="252" spans="1:6">
      <c r="A252" s="131">
        <v>45769</v>
      </c>
      <c r="B252" s="67" t="s">
        <v>313</v>
      </c>
      <c r="C252" s="67" t="s">
        <v>254</v>
      </c>
      <c r="D252" s="67" t="s">
        <v>315</v>
      </c>
      <c r="E252" s="67">
        <v>14</v>
      </c>
      <c r="F252" s="8">
        <v>2252</v>
      </c>
    </row>
    <row r="253" spans="1:6">
      <c r="A253" s="131">
        <v>45770</v>
      </c>
      <c r="B253" s="67" t="s">
        <v>313</v>
      </c>
      <c r="C253" s="67" t="s">
        <v>287</v>
      </c>
      <c r="D253" s="67" t="s">
        <v>302</v>
      </c>
      <c r="E253" s="67">
        <v>9</v>
      </c>
      <c r="F253" s="8">
        <v>942</v>
      </c>
    </row>
    <row r="254" spans="1:6">
      <c r="A254" s="131">
        <v>45770</v>
      </c>
      <c r="B254" s="67" t="s">
        <v>311</v>
      </c>
      <c r="C254" s="67" t="s">
        <v>254</v>
      </c>
      <c r="D254" s="67" t="s">
        <v>302</v>
      </c>
      <c r="E254" s="67">
        <v>14</v>
      </c>
      <c r="F254" s="8">
        <v>6906</v>
      </c>
    </row>
    <row r="255" spans="1:6">
      <c r="A255" s="131">
        <v>45770</v>
      </c>
      <c r="B255" s="67" t="s">
        <v>312</v>
      </c>
      <c r="C255" s="67" t="s">
        <v>254</v>
      </c>
      <c r="D255" s="67" t="s">
        <v>310</v>
      </c>
      <c r="E255" s="67">
        <v>3</v>
      </c>
      <c r="F255" s="8">
        <v>10794</v>
      </c>
    </row>
    <row r="256" spans="1:6">
      <c r="A256" s="131">
        <v>45770</v>
      </c>
      <c r="B256" s="67" t="s">
        <v>309</v>
      </c>
      <c r="C256" s="67" t="s">
        <v>254</v>
      </c>
      <c r="D256" s="67" t="s">
        <v>302</v>
      </c>
      <c r="E256" s="67">
        <v>1</v>
      </c>
      <c r="F256" s="8">
        <v>9810</v>
      </c>
    </row>
    <row r="257" spans="1:6">
      <c r="A257" s="131">
        <v>45770</v>
      </c>
      <c r="B257" s="67" t="s">
        <v>313</v>
      </c>
      <c r="C257" s="67" t="s">
        <v>254</v>
      </c>
      <c r="D257" s="67" t="s">
        <v>304</v>
      </c>
      <c r="E257" s="67">
        <v>3</v>
      </c>
      <c r="F257" s="8">
        <v>7175</v>
      </c>
    </row>
    <row r="258" spans="1:6">
      <c r="A258" s="131">
        <v>45771</v>
      </c>
      <c r="B258" s="67" t="s">
        <v>313</v>
      </c>
      <c r="C258" s="67" t="s">
        <v>254</v>
      </c>
      <c r="D258" s="67" t="s">
        <v>304</v>
      </c>
      <c r="E258" s="67">
        <v>8</v>
      </c>
      <c r="F258" s="8">
        <v>6189</v>
      </c>
    </row>
    <row r="259" spans="1:6">
      <c r="A259" s="131">
        <v>45771</v>
      </c>
      <c r="B259" s="67" t="s">
        <v>314</v>
      </c>
      <c r="C259" s="67" t="s">
        <v>252</v>
      </c>
      <c r="D259" s="67" t="s">
        <v>310</v>
      </c>
      <c r="E259" s="67">
        <v>4</v>
      </c>
      <c r="F259" s="8">
        <v>3328</v>
      </c>
    </row>
    <row r="260" spans="1:6">
      <c r="A260" s="131">
        <v>45772</v>
      </c>
      <c r="B260" s="67" t="s">
        <v>301</v>
      </c>
      <c r="C260" s="67" t="s">
        <v>287</v>
      </c>
      <c r="D260" s="67" t="s">
        <v>310</v>
      </c>
      <c r="E260" s="67">
        <v>13</v>
      </c>
      <c r="F260" s="8">
        <v>10677</v>
      </c>
    </row>
    <row r="261" spans="1:6">
      <c r="A261" s="131">
        <v>45772</v>
      </c>
      <c r="B261" s="67" t="s">
        <v>309</v>
      </c>
      <c r="C261" s="67" t="s">
        <v>253</v>
      </c>
      <c r="D261" s="67" t="s">
        <v>310</v>
      </c>
      <c r="E261" s="67">
        <v>3</v>
      </c>
      <c r="F261" s="8">
        <v>11010</v>
      </c>
    </row>
    <row r="262" spans="1:6">
      <c r="A262" s="131">
        <v>45772</v>
      </c>
      <c r="B262" s="67" t="s">
        <v>309</v>
      </c>
      <c r="C262" s="67" t="s">
        <v>287</v>
      </c>
      <c r="D262" s="67" t="s">
        <v>302</v>
      </c>
      <c r="E262" s="67">
        <v>4</v>
      </c>
      <c r="F262" s="8">
        <v>3989</v>
      </c>
    </row>
    <row r="263" spans="1:6">
      <c r="A263" s="131">
        <v>45772</v>
      </c>
      <c r="B263" s="67" t="s">
        <v>312</v>
      </c>
      <c r="C263" s="67" t="s">
        <v>253</v>
      </c>
      <c r="D263" s="67" t="s">
        <v>315</v>
      </c>
      <c r="E263" s="67">
        <v>12</v>
      </c>
      <c r="F263" s="8">
        <v>4189</v>
      </c>
    </row>
    <row r="264" spans="1:6">
      <c r="A264" s="131">
        <v>45773</v>
      </c>
      <c r="B264" s="67" t="s">
        <v>305</v>
      </c>
      <c r="C264" s="67" t="s">
        <v>254</v>
      </c>
      <c r="D264" s="67" t="s">
        <v>310</v>
      </c>
      <c r="E264" s="67">
        <v>7</v>
      </c>
      <c r="F264" s="8">
        <v>11974</v>
      </c>
    </row>
    <row r="265" spans="1:6">
      <c r="A265" s="131">
        <v>45774</v>
      </c>
      <c r="B265" s="67" t="s">
        <v>313</v>
      </c>
      <c r="C265" s="67" t="s">
        <v>287</v>
      </c>
      <c r="D265" s="67" t="s">
        <v>310</v>
      </c>
      <c r="E265" s="67">
        <v>7</v>
      </c>
      <c r="F265" s="8">
        <v>4171</v>
      </c>
    </row>
    <row r="266" spans="1:6">
      <c r="A266" s="131">
        <v>45774</v>
      </c>
      <c r="B266" s="67" t="s">
        <v>305</v>
      </c>
      <c r="C266" s="67" t="s">
        <v>252</v>
      </c>
      <c r="D266" s="67" t="s">
        <v>315</v>
      </c>
      <c r="E266" s="67">
        <v>5</v>
      </c>
      <c r="F266" s="8">
        <v>4400</v>
      </c>
    </row>
    <row r="267" spans="1:6">
      <c r="A267" s="131">
        <v>45774</v>
      </c>
      <c r="B267" s="67" t="s">
        <v>309</v>
      </c>
      <c r="C267" s="67" t="s">
        <v>287</v>
      </c>
      <c r="D267" s="67" t="s">
        <v>302</v>
      </c>
      <c r="E267" s="67">
        <v>13</v>
      </c>
      <c r="F267" s="8">
        <v>4106</v>
      </c>
    </row>
    <row r="268" spans="1:6">
      <c r="A268" s="131">
        <v>45774</v>
      </c>
      <c r="B268" s="67" t="s">
        <v>309</v>
      </c>
      <c r="C268" s="67" t="s">
        <v>252</v>
      </c>
      <c r="D268" s="67" t="s">
        <v>308</v>
      </c>
      <c r="E268" s="67">
        <v>12</v>
      </c>
      <c r="F268" s="8">
        <v>4887</v>
      </c>
    </row>
    <row r="269" spans="1:6">
      <c r="A269" s="131">
        <v>45774</v>
      </c>
      <c r="B269" s="67" t="s">
        <v>311</v>
      </c>
      <c r="C269" s="67" t="s">
        <v>252</v>
      </c>
      <c r="D269" s="67" t="s">
        <v>315</v>
      </c>
      <c r="E269" s="67">
        <v>6</v>
      </c>
      <c r="F269" s="8">
        <v>4712</v>
      </c>
    </row>
    <row r="270" spans="1:6">
      <c r="A270" s="131">
        <v>45775</v>
      </c>
      <c r="B270" s="67" t="s">
        <v>301</v>
      </c>
      <c r="C270" s="67" t="s">
        <v>287</v>
      </c>
      <c r="D270" s="67" t="s">
        <v>304</v>
      </c>
      <c r="E270" s="67">
        <v>1</v>
      </c>
      <c r="F270" s="8">
        <v>8557</v>
      </c>
    </row>
    <row r="271" spans="1:6">
      <c r="A271" s="131">
        <v>45776</v>
      </c>
      <c r="B271" s="67" t="s">
        <v>301</v>
      </c>
      <c r="C271" s="67" t="s">
        <v>253</v>
      </c>
      <c r="D271" s="67" t="s">
        <v>315</v>
      </c>
      <c r="E271" s="67">
        <v>9</v>
      </c>
      <c r="F271" s="8">
        <v>5669</v>
      </c>
    </row>
    <row r="272" spans="1:6">
      <c r="A272" s="131">
        <v>45776</v>
      </c>
      <c r="B272" s="67" t="s">
        <v>305</v>
      </c>
      <c r="C272" s="67" t="s">
        <v>254</v>
      </c>
      <c r="D272" s="67" t="s">
        <v>308</v>
      </c>
      <c r="E272" s="67">
        <v>8</v>
      </c>
      <c r="F272" s="8">
        <v>9153</v>
      </c>
    </row>
    <row r="273" spans="1:6">
      <c r="A273" s="131">
        <v>45776</v>
      </c>
      <c r="B273" s="67" t="s">
        <v>313</v>
      </c>
      <c r="C273" s="67" t="s">
        <v>253</v>
      </c>
      <c r="D273" s="67" t="s">
        <v>304</v>
      </c>
      <c r="E273" s="67">
        <v>5</v>
      </c>
      <c r="F273" s="8">
        <v>8096</v>
      </c>
    </row>
    <row r="274" spans="1:6">
      <c r="A274" s="131">
        <v>45776</v>
      </c>
      <c r="B274" s="67" t="s">
        <v>307</v>
      </c>
      <c r="C274" s="67" t="s">
        <v>253</v>
      </c>
      <c r="D274" s="67" t="s">
        <v>315</v>
      </c>
      <c r="E274" s="67">
        <v>1</v>
      </c>
      <c r="F274" s="8">
        <v>10543</v>
      </c>
    </row>
    <row r="275" spans="1:6">
      <c r="A275" s="131">
        <v>45776</v>
      </c>
      <c r="B275" s="67" t="s">
        <v>301</v>
      </c>
      <c r="C275" s="67" t="s">
        <v>254</v>
      </c>
      <c r="D275" s="67" t="s">
        <v>315</v>
      </c>
      <c r="E275" s="67">
        <v>13</v>
      </c>
      <c r="F275" s="8">
        <v>10600</v>
      </c>
    </row>
    <row r="276" spans="1:6">
      <c r="A276" s="131">
        <v>45777</v>
      </c>
      <c r="B276" s="67" t="s">
        <v>311</v>
      </c>
      <c r="C276" s="67" t="s">
        <v>253</v>
      </c>
      <c r="D276" s="67" t="s">
        <v>302</v>
      </c>
      <c r="E276" s="67">
        <v>2</v>
      </c>
      <c r="F276" s="8">
        <v>7956</v>
      </c>
    </row>
    <row r="277" spans="1:6">
      <c r="A277" s="131">
        <v>45777</v>
      </c>
      <c r="B277" s="67" t="s">
        <v>305</v>
      </c>
      <c r="C277" s="67" t="s">
        <v>254</v>
      </c>
      <c r="D277" s="67" t="s">
        <v>306</v>
      </c>
      <c r="E277" s="67">
        <v>4</v>
      </c>
      <c r="F277" s="8">
        <v>10336</v>
      </c>
    </row>
    <row r="278" spans="1:6">
      <c r="A278" s="131">
        <v>45778</v>
      </c>
      <c r="B278" s="67" t="s">
        <v>314</v>
      </c>
      <c r="C278" s="67" t="s">
        <v>287</v>
      </c>
      <c r="D278" s="67" t="s">
        <v>302</v>
      </c>
      <c r="E278" s="67">
        <v>9</v>
      </c>
      <c r="F278" s="8">
        <v>4478</v>
      </c>
    </row>
    <row r="279" spans="1:6">
      <c r="A279" s="131">
        <v>45778</v>
      </c>
      <c r="B279" s="67" t="s">
        <v>313</v>
      </c>
      <c r="C279" s="67" t="s">
        <v>252</v>
      </c>
      <c r="D279" s="67" t="s">
        <v>310</v>
      </c>
      <c r="E279" s="67">
        <v>2</v>
      </c>
      <c r="F279" s="8">
        <v>8338</v>
      </c>
    </row>
    <row r="280" spans="1:6">
      <c r="A280" s="131">
        <v>45778</v>
      </c>
      <c r="B280" s="67" t="s">
        <v>303</v>
      </c>
      <c r="C280" s="67" t="s">
        <v>287</v>
      </c>
      <c r="D280" s="67" t="s">
        <v>304</v>
      </c>
      <c r="E280" s="67">
        <v>3</v>
      </c>
      <c r="F280" s="8">
        <v>8468</v>
      </c>
    </row>
    <row r="281" spans="1:6">
      <c r="A281" s="131">
        <v>45780</v>
      </c>
      <c r="B281" s="67" t="s">
        <v>312</v>
      </c>
      <c r="C281" s="67" t="s">
        <v>254</v>
      </c>
      <c r="D281" s="67" t="s">
        <v>310</v>
      </c>
      <c r="E281" s="67">
        <v>6</v>
      </c>
      <c r="F281" s="8">
        <v>4150</v>
      </c>
    </row>
    <row r="282" spans="1:6">
      <c r="A282" s="131">
        <v>45780</v>
      </c>
      <c r="B282" s="67" t="s">
        <v>314</v>
      </c>
      <c r="C282" s="67" t="s">
        <v>254</v>
      </c>
      <c r="D282" s="67" t="s">
        <v>315</v>
      </c>
      <c r="E282" s="67">
        <v>2</v>
      </c>
      <c r="F282" s="8">
        <v>11526</v>
      </c>
    </row>
    <row r="283" spans="1:6">
      <c r="A283" s="131">
        <v>45780</v>
      </c>
      <c r="B283" s="67" t="s">
        <v>309</v>
      </c>
      <c r="C283" s="67" t="s">
        <v>253</v>
      </c>
      <c r="D283" s="67" t="s">
        <v>302</v>
      </c>
      <c r="E283" s="67">
        <v>10</v>
      </c>
      <c r="F283" s="8">
        <v>7228</v>
      </c>
    </row>
    <row r="284" spans="1:6">
      <c r="A284" s="131">
        <v>45782</v>
      </c>
      <c r="B284" s="67" t="s">
        <v>309</v>
      </c>
      <c r="C284" s="67" t="s">
        <v>254</v>
      </c>
      <c r="D284" s="67" t="s">
        <v>310</v>
      </c>
      <c r="E284" s="67">
        <v>12</v>
      </c>
      <c r="F284" s="8">
        <v>8050</v>
      </c>
    </row>
    <row r="285" spans="1:6">
      <c r="A285" s="131">
        <v>45782</v>
      </c>
      <c r="B285" s="67" t="s">
        <v>312</v>
      </c>
      <c r="C285" s="67" t="s">
        <v>253</v>
      </c>
      <c r="D285" s="67" t="s">
        <v>302</v>
      </c>
      <c r="E285" s="67">
        <v>4</v>
      </c>
      <c r="F285" s="8">
        <v>5557</v>
      </c>
    </row>
    <row r="286" spans="1:6">
      <c r="A286" s="131">
        <v>45783</v>
      </c>
      <c r="B286" s="67" t="s">
        <v>314</v>
      </c>
      <c r="C286" s="67" t="s">
        <v>252</v>
      </c>
      <c r="D286" s="67" t="s">
        <v>304</v>
      </c>
      <c r="E286" s="67">
        <v>1</v>
      </c>
      <c r="F286" s="8">
        <v>1898</v>
      </c>
    </row>
    <row r="287" spans="1:6">
      <c r="A287" s="131">
        <v>45783</v>
      </c>
      <c r="B287" s="67" t="s">
        <v>311</v>
      </c>
      <c r="C287" s="67" t="s">
        <v>254</v>
      </c>
      <c r="D287" s="67" t="s">
        <v>308</v>
      </c>
      <c r="E287" s="67">
        <v>3</v>
      </c>
      <c r="F287" s="8">
        <v>5818</v>
      </c>
    </row>
    <row r="288" spans="1:6">
      <c r="A288" s="131">
        <v>45783</v>
      </c>
      <c r="B288" s="67" t="s">
        <v>303</v>
      </c>
      <c r="C288" s="67" t="s">
        <v>254</v>
      </c>
      <c r="D288" s="67" t="s">
        <v>304</v>
      </c>
      <c r="E288" s="67">
        <v>14</v>
      </c>
      <c r="F288" s="8">
        <v>11895</v>
      </c>
    </row>
    <row r="289" spans="1:6">
      <c r="A289" s="131">
        <v>45784</v>
      </c>
      <c r="B289" s="67" t="s">
        <v>312</v>
      </c>
      <c r="C289" s="67" t="s">
        <v>253</v>
      </c>
      <c r="D289" s="67" t="s">
        <v>304</v>
      </c>
      <c r="E289" s="67">
        <v>7</v>
      </c>
      <c r="F289" s="8">
        <v>9972</v>
      </c>
    </row>
    <row r="290" spans="1:6">
      <c r="A290" s="131">
        <v>45784</v>
      </c>
      <c r="B290" s="67" t="s">
        <v>312</v>
      </c>
      <c r="C290" s="67" t="s">
        <v>252</v>
      </c>
      <c r="D290" s="67" t="s">
        <v>304</v>
      </c>
      <c r="E290" s="67">
        <v>5</v>
      </c>
      <c r="F290" s="8">
        <v>3483</v>
      </c>
    </row>
    <row r="291" spans="1:6">
      <c r="A291" s="131">
        <v>45784</v>
      </c>
      <c r="B291" s="67" t="s">
        <v>307</v>
      </c>
      <c r="C291" s="67" t="s">
        <v>253</v>
      </c>
      <c r="D291" s="67" t="s">
        <v>315</v>
      </c>
      <c r="E291" s="67">
        <v>6</v>
      </c>
      <c r="F291" s="8">
        <v>1061</v>
      </c>
    </row>
    <row r="292" spans="1:6">
      <c r="A292" s="131">
        <v>45785</v>
      </c>
      <c r="B292" s="67" t="s">
        <v>312</v>
      </c>
      <c r="C292" s="67" t="s">
        <v>252</v>
      </c>
      <c r="D292" s="67" t="s">
        <v>306</v>
      </c>
      <c r="E292" s="67">
        <v>9</v>
      </c>
      <c r="F292" s="8">
        <v>11423</v>
      </c>
    </row>
    <row r="293" spans="1:6">
      <c r="A293" s="131">
        <v>45785</v>
      </c>
      <c r="B293" s="67" t="s">
        <v>301</v>
      </c>
      <c r="C293" s="67" t="s">
        <v>252</v>
      </c>
      <c r="D293" s="67" t="s">
        <v>304</v>
      </c>
      <c r="E293" s="67">
        <v>13</v>
      </c>
      <c r="F293" s="8">
        <v>11009</v>
      </c>
    </row>
    <row r="294" spans="1:6">
      <c r="A294" s="131">
        <v>45785</v>
      </c>
      <c r="B294" s="67" t="s">
        <v>301</v>
      </c>
      <c r="C294" s="67" t="s">
        <v>254</v>
      </c>
      <c r="D294" s="67" t="s">
        <v>306</v>
      </c>
      <c r="E294" s="67">
        <v>3</v>
      </c>
      <c r="F294" s="8">
        <v>11112</v>
      </c>
    </row>
    <row r="295" spans="1:6">
      <c r="A295" s="131">
        <v>45785</v>
      </c>
      <c r="B295" s="67" t="s">
        <v>314</v>
      </c>
      <c r="C295" s="67" t="s">
        <v>253</v>
      </c>
      <c r="D295" s="67" t="s">
        <v>306</v>
      </c>
      <c r="E295" s="67">
        <v>5</v>
      </c>
      <c r="F295" s="8">
        <v>5269</v>
      </c>
    </row>
    <row r="296" spans="1:6">
      <c r="A296" s="131">
        <v>45786</v>
      </c>
      <c r="B296" s="67" t="s">
        <v>311</v>
      </c>
      <c r="C296" s="67" t="s">
        <v>254</v>
      </c>
      <c r="D296" s="67" t="s">
        <v>306</v>
      </c>
      <c r="E296" s="67">
        <v>5</v>
      </c>
      <c r="F296" s="8">
        <v>8360</v>
      </c>
    </row>
    <row r="297" spans="1:6">
      <c r="A297" s="131">
        <v>45786</v>
      </c>
      <c r="B297" s="67" t="s">
        <v>301</v>
      </c>
      <c r="C297" s="67" t="s">
        <v>254</v>
      </c>
      <c r="D297" s="67" t="s">
        <v>304</v>
      </c>
      <c r="E297" s="67">
        <v>10</v>
      </c>
      <c r="F297" s="8">
        <v>5339</v>
      </c>
    </row>
    <row r="298" spans="1:6">
      <c r="A298" s="131">
        <v>45787</v>
      </c>
      <c r="B298" s="67" t="s">
        <v>307</v>
      </c>
      <c r="C298" s="67" t="s">
        <v>252</v>
      </c>
      <c r="D298" s="67" t="s">
        <v>304</v>
      </c>
      <c r="E298" s="67">
        <v>5</v>
      </c>
      <c r="F298" s="8">
        <v>2820</v>
      </c>
    </row>
    <row r="299" spans="1:6">
      <c r="A299" s="131">
        <v>45788</v>
      </c>
      <c r="B299" s="67" t="s">
        <v>313</v>
      </c>
      <c r="C299" s="67" t="s">
        <v>254</v>
      </c>
      <c r="D299" s="67" t="s">
        <v>315</v>
      </c>
      <c r="E299" s="67">
        <v>9</v>
      </c>
      <c r="F299" s="8">
        <v>11046</v>
      </c>
    </row>
    <row r="300" spans="1:6">
      <c r="A300" s="131">
        <v>45788</v>
      </c>
      <c r="B300" s="67" t="s">
        <v>309</v>
      </c>
      <c r="C300" s="67" t="s">
        <v>253</v>
      </c>
      <c r="D300" s="67" t="s">
        <v>315</v>
      </c>
      <c r="E300" s="67">
        <v>2</v>
      </c>
      <c r="F300" s="8">
        <v>1171</v>
      </c>
    </row>
    <row r="301" spans="1:6">
      <c r="A301" s="131">
        <v>45788</v>
      </c>
      <c r="B301" s="67" t="s">
        <v>312</v>
      </c>
      <c r="C301" s="67" t="s">
        <v>253</v>
      </c>
      <c r="D301" s="67" t="s">
        <v>306</v>
      </c>
      <c r="E301" s="67">
        <v>7</v>
      </c>
      <c r="F301" s="8">
        <v>1881</v>
      </c>
    </row>
    <row r="302" spans="1:6">
      <c r="A302" s="131">
        <v>45789</v>
      </c>
      <c r="B302" s="67" t="s">
        <v>303</v>
      </c>
      <c r="C302" s="67" t="s">
        <v>253</v>
      </c>
      <c r="D302" s="67" t="s">
        <v>302</v>
      </c>
      <c r="E302" s="67">
        <v>1</v>
      </c>
      <c r="F302" s="8">
        <v>9608</v>
      </c>
    </row>
    <row r="303" spans="1:6">
      <c r="A303" s="131">
        <v>45789</v>
      </c>
      <c r="B303" s="67" t="s">
        <v>309</v>
      </c>
      <c r="C303" s="67" t="s">
        <v>252</v>
      </c>
      <c r="D303" s="67" t="s">
        <v>310</v>
      </c>
      <c r="E303" s="67">
        <v>12</v>
      </c>
      <c r="F303" s="8">
        <v>8888</v>
      </c>
    </row>
    <row r="304" spans="1:6">
      <c r="A304" s="131">
        <v>45789</v>
      </c>
      <c r="B304" s="67" t="s">
        <v>311</v>
      </c>
      <c r="C304" s="67" t="s">
        <v>254</v>
      </c>
      <c r="D304" s="67" t="s">
        <v>315</v>
      </c>
      <c r="E304" s="67">
        <v>9</v>
      </c>
      <c r="F304" s="8">
        <v>7449</v>
      </c>
    </row>
    <row r="305" spans="1:6">
      <c r="A305" s="131">
        <v>45789</v>
      </c>
      <c r="B305" s="67" t="s">
        <v>314</v>
      </c>
      <c r="C305" s="67" t="s">
        <v>254</v>
      </c>
      <c r="D305" s="67" t="s">
        <v>304</v>
      </c>
      <c r="E305" s="67">
        <v>11</v>
      </c>
      <c r="F305" s="8">
        <v>11059</v>
      </c>
    </row>
    <row r="306" spans="1:6">
      <c r="A306" s="131">
        <v>45790</v>
      </c>
      <c r="B306" s="67" t="s">
        <v>309</v>
      </c>
      <c r="C306" s="67" t="s">
        <v>252</v>
      </c>
      <c r="D306" s="67" t="s">
        <v>315</v>
      </c>
      <c r="E306" s="67">
        <v>3</v>
      </c>
      <c r="F306" s="8">
        <v>1251</v>
      </c>
    </row>
    <row r="307" spans="1:6">
      <c r="A307" s="131">
        <v>45790</v>
      </c>
      <c r="B307" s="67" t="s">
        <v>303</v>
      </c>
      <c r="C307" s="67" t="s">
        <v>252</v>
      </c>
      <c r="D307" s="67" t="s">
        <v>304</v>
      </c>
      <c r="E307" s="67">
        <v>6</v>
      </c>
      <c r="F307" s="8">
        <v>11652</v>
      </c>
    </row>
    <row r="308" spans="1:6">
      <c r="A308" s="131">
        <v>45790</v>
      </c>
      <c r="B308" s="67" t="s">
        <v>316</v>
      </c>
      <c r="C308" s="67" t="s">
        <v>287</v>
      </c>
      <c r="D308" s="67" t="s">
        <v>310</v>
      </c>
      <c r="E308" s="67">
        <v>1</v>
      </c>
      <c r="F308" s="8">
        <v>3253</v>
      </c>
    </row>
    <row r="309" spans="1:6">
      <c r="A309" s="131">
        <v>45790</v>
      </c>
      <c r="B309" s="67" t="s">
        <v>316</v>
      </c>
      <c r="C309" s="67" t="s">
        <v>287</v>
      </c>
      <c r="D309" s="67" t="s">
        <v>302</v>
      </c>
      <c r="E309" s="67">
        <v>13</v>
      </c>
      <c r="F309" s="8">
        <v>9429</v>
      </c>
    </row>
    <row r="310" spans="1:6">
      <c r="A310" s="131">
        <v>45790</v>
      </c>
      <c r="B310" s="67" t="s">
        <v>312</v>
      </c>
      <c r="C310" s="67" t="s">
        <v>254</v>
      </c>
      <c r="D310" s="67" t="s">
        <v>306</v>
      </c>
      <c r="E310" s="67">
        <v>4</v>
      </c>
      <c r="F310" s="8">
        <v>3213</v>
      </c>
    </row>
    <row r="311" spans="1:6">
      <c r="A311" s="131">
        <v>45790</v>
      </c>
      <c r="B311" s="67" t="s">
        <v>305</v>
      </c>
      <c r="C311" s="67" t="s">
        <v>287</v>
      </c>
      <c r="D311" s="67" t="s">
        <v>308</v>
      </c>
      <c r="E311" s="67">
        <v>13</v>
      </c>
      <c r="F311" s="8">
        <v>9969</v>
      </c>
    </row>
    <row r="312" spans="1:6">
      <c r="A312" s="131">
        <v>45790</v>
      </c>
      <c r="B312" s="67" t="s">
        <v>316</v>
      </c>
      <c r="C312" s="67" t="s">
        <v>254</v>
      </c>
      <c r="D312" s="67" t="s">
        <v>302</v>
      </c>
      <c r="E312" s="67">
        <v>10</v>
      </c>
      <c r="F312" s="8">
        <v>856</v>
      </c>
    </row>
    <row r="313" spans="1:6">
      <c r="A313" s="131">
        <v>45791</v>
      </c>
      <c r="B313" s="67" t="s">
        <v>309</v>
      </c>
      <c r="C313" s="67" t="s">
        <v>254</v>
      </c>
      <c r="D313" s="67" t="s">
        <v>306</v>
      </c>
      <c r="E313" s="67">
        <v>10</v>
      </c>
      <c r="F313" s="8">
        <v>6986</v>
      </c>
    </row>
    <row r="314" spans="1:6">
      <c r="A314" s="131">
        <v>45791</v>
      </c>
      <c r="B314" s="67" t="s">
        <v>313</v>
      </c>
      <c r="C314" s="67" t="s">
        <v>287</v>
      </c>
      <c r="D314" s="67" t="s">
        <v>315</v>
      </c>
      <c r="E314" s="67">
        <v>10</v>
      </c>
      <c r="F314" s="8">
        <v>8987</v>
      </c>
    </row>
    <row r="315" spans="1:6">
      <c r="A315" s="131">
        <v>45791</v>
      </c>
      <c r="B315" s="67" t="s">
        <v>311</v>
      </c>
      <c r="C315" s="67" t="s">
        <v>287</v>
      </c>
      <c r="D315" s="67" t="s">
        <v>310</v>
      </c>
      <c r="E315" s="67">
        <v>11</v>
      </c>
      <c r="F315" s="8">
        <v>7666</v>
      </c>
    </row>
    <row r="316" spans="1:6">
      <c r="A316" s="131">
        <v>45792</v>
      </c>
      <c r="B316" s="67" t="s">
        <v>301</v>
      </c>
      <c r="C316" s="67" t="s">
        <v>254</v>
      </c>
      <c r="D316" s="67" t="s">
        <v>310</v>
      </c>
      <c r="E316" s="67">
        <v>13</v>
      </c>
      <c r="F316" s="8">
        <v>2105</v>
      </c>
    </row>
    <row r="317" spans="1:6">
      <c r="A317" s="131">
        <v>45792</v>
      </c>
      <c r="B317" s="67" t="s">
        <v>309</v>
      </c>
      <c r="C317" s="67" t="s">
        <v>287</v>
      </c>
      <c r="D317" s="67" t="s">
        <v>304</v>
      </c>
      <c r="E317" s="67">
        <v>7</v>
      </c>
      <c r="F317" s="8">
        <v>6270</v>
      </c>
    </row>
    <row r="318" spans="1:6">
      <c r="A318" s="131">
        <v>45794</v>
      </c>
      <c r="B318" s="67" t="s">
        <v>307</v>
      </c>
      <c r="C318" s="67" t="s">
        <v>254</v>
      </c>
      <c r="D318" s="67" t="s">
        <v>310</v>
      </c>
      <c r="E318" s="67">
        <v>10</v>
      </c>
      <c r="F318" s="8">
        <v>9392</v>
      </c>
    </row>
    <row r="319" spans="1:6">
      <c r="A319" s="131">
        <v>45794</v>
      </c>
      <c r="B319" s="67" t="s">
        <v>309</v>
      </c>
      <c r="C319" s="67" t="s">
        <v>287</v>
      </c>
      <c r="D319" s="67" t="s">
        <v>306</v>
      </c>
      <c r="E319" s="67">
        <v>7</v>
      </c>
      <c r="F319" s="8">
        <v>2779</v>
      </c>
    </row>
    <row r="320" spans="1:6">
      <c r="A320" s="131">
        <v>45794</v>
      </c>
      <c r="B320" s="67" t="s">
        <v>312</v>
      </c>
      <c r="C320" s="67" t="s">
        <v>252</v>
      </c>
      <c r="D320" s="67" t="s">
        <v>302</v>
      </c>
      <c r="E320" s="67">
        <v>10</v>
      </c>
      <c r="F320" s="8">
        <v>6631</v>
      </c>
    </row>
    <row r="321" spans="1:6">
      <c r="A321" s="131">
        <v>45794</v>
      </c>
      <c r="B321" s="67" t="s">
        <v>303</v>
      </c>
      <c r="C321" s="67" t="s">
        <v>287</v>
      </c>
      <c r="D321" s="67" t="s">
        <v>306</v>
      </c>
      <c r="E321" s="67">
        <v>3</v>
      </c>
      <c r="F321" s="8">
        <v>6316</v>
      </c>
    </row>
    <row r="322" spans="1:6">
      <c r="A322" s="131">
        <v>45795</v>
      </c>
      <c r="B322" s="67" t="s">
        <v>314</v>
      </c>
      <c r="C322" s="67" t="s">
        <v>254</v>
      </c>
      <c r="D322" s="67" t="s">
        <v>315</v>
      </c>
      <c r="E322" s="67">
        <v>6</v>
      </c>
      <c r="F322" s="8">
        <v>8184</v>
      </c>
    </row>
    <row r="323" spans="1:6">
      <c r="A323" s="131">
        <v>45795</v>
      </c>
      <c r="B323" s="67" t="s">
        <v>314</v>
      </c>
      <c r="C323" s="67" t="s">
        <v>254</v>
      </c>
      <c r="D323" s="67" t="s">
        <v>302</v>
      </c>
      <c r="E323" s="67">
        <v>1</v>
      </c>
      <c r="F323" s="8">
        <v>2283</v>
      </c>
    </row>
    <row r="324" spans="1:6">
      <c r="A324" s="131">
        <v>45795</v>
      </c>
      <c r="B324" s="67" t="s">
        <v>314</v>
      </c>
      <c r="C324" s="67" t="s">
        <v>253</v>
      </c>
      <c r="D324" s="67" t="s">
        <v>310</v>
      </c>
      <c r="E324" s="67">
        <v>6</v>
      </c>
      <c r="F324" s="8">
        <v>4390</v>
      </c>
    </row>
    <row r="325" spans="1:6">
      <c r="A325" s="131">
        <v>45795</v>
      </c>
      <c r="B325" s="67" t="s">
        <v>307</v>
      </c>
      <c r="C325" s="67" t="s">
        <v>287</v>
      </c>
      <c r="D325" s="67" t="s">
        <v>308</v>
      </c>
      <c r="E325" s="67">
        <v>5</v>
      </c>
      <c r="F325" s="8">
        <v>8676</v>
      </c>
    </row>
    <row r="326" spans="1:6">
      <c r="A326" s="131">
        <v>45796</v>
      </c>
      <c r="B326" s="67" t="s">
        <v>307</v>
      </c>
      <c r="C326" s="67" t="s">
        <v>253</v>
      </c>
      <c r="D326" s="67" t="s">
        <v>315</v>
      </c>
      <c r="E326" s="67">
        <v>6</v>
      </c>
      <c r="F326" s="8">
        <v>3419</v>
      </c>
    </row>
    <row r="327" spans="1:6">
      <c r="A327" s="131">
        <v>45796</v>
      </c>
      <c r="B327" s="67" t="s">
        <v>316</v>
      </c>
      <c r="C327" s="67" t="s">
        <v>253</v>
      </c>
      <c r="D327" s="67" t="s">
        <v>310</v>
      </c>
      <c r="E327" s="67">
        <v>10</v>
      </c>
      <c r="F327" s="8">
        <v>4844</v>
      </c>
    </row>
    <row r="328" spans="1:6">
      <c r="A328" s="131">
        <v>45796</v>
      </c>
      <c r="B328" s="67" t="s">
        <v>313</v>
      </c>
      <c r="C328" s="67" t="s">
        <v>254</v>
      </c>
      <c r="D328" s="67" t="s">
        <v>304</v>
      </c>
      <c r="E328" s="67">
        <v>2</v>
      </c>
      <c r="F328" s="8">
        <v>10590</v>
      </c>
    </row>
    <row r="329" spans="1:6">
      <c r="A329" s="131">
        <v>45797</v>
      </c>
      <c r="B329" s="67" t="s">
        <v>303</v>
      </c>
      <c r="C329" s="67" t="s">
        <v>254</v>
      </c>
      <c r="D329" s="67" t="s">
        <v>306</v>
      </c>
      <c r="E329" s="67">
        <v>8</v>
      </c>
      <c r="F329" s="8">
        <v>4607</v>
      </c>
    </row>
    <row r="330" spans="1:6">
      <c r="A330" s="131">
        <v>45797</v>
      </c>
      <c r="B330" s="67" t="s">
        <v>303</v>
      </c>
      <c r="C330" s="67" t="s">
        <v>254</v>
      </c>
      <c r="D330" s="67" t="s">
        <v>308</v>
      </c>
      <c r="E330" s="67">
        <v>1</v>
      </c>
      <c r="F330" s="8">
        <v>3177</v>
      </c>
    </row>
    <row r="331" spans="1:6">
      <c r="A331" s="131">
        <v>45797</v>
      </c>
      <c r="B331" s="67" t="s">
        <v>305</v>
      </c>
      <c r="C331" s="67" t="s">
        <v>253</v>
      </c>
      <c r="D331" s="67" t="s">
        <v>304</v>
      </c>
      <c r="E331" s="67">
        <v>7</v>
      </c>
      <c r="F331" s="8">
        <v>9329</v>
      </c>
    </row>
    <row r="332" spans="1:6">
      <c r="A332" s="131">
        <v>45798</v>
      </c>
      <c r="B332" s="67" t="s">
        <v>309</v>
      </c>
      <c r="C332" s="67" t="s">
        <v>253</v>
      </c>
      <c r="D332" s="67" t="s">
        <v>315</v>
      </c>
      <c r="E332" s="67">
        <v>8</v>
      </c>
      <c r="F332" s="8">
        <v>11764</v>
      </c>
    </row>
    <row r="333" spans="1:6">
      <c r="A333" s="131">
        <v>45798</v>
      </c>
      <c r="B333" s="67" t="s">
        <v>313</v>
      </c>
      <c r="C333" s="67" t="s">
        <v>252</v>
      </c>
      <c r="D333" s="67" t="s">
        <v>304</v>
      </c>
      <c r="E333" s="67">
        <v>13</v>
      </c>
      <c r="F333" s="8">
        <v>11422</v>
      </c>
    </row>
    <row r="334" spans="1:6">
      <c r="A334" s="131">
        <v>45799</v>
      </c>
      <c r="B334" s="67" t="s">
        <v>316</v>
      </c>
      <c r="C334" s="67" t="s">
        <v>252</v>
      </c>
      <c r="D334" s="67" t="s">
        <v>310</v>
      </c>
      <c r="E334" s="67">
        <v>4</v>
      </c>
      <c r="F334" s="8">
        <v>4453</v>
      </c>
    </row>
    <row r="335" spans="1:6">
      <c r="A335" s="131">
        <v>45799</v>
      </c>
      <c r="B335" s="67" t="s">
        <v>307</v>
      </c>
      <c r="C335" s="67" t="s">
        <v>254</v>
      </c>
      <c r="D335" s="67" t="s">
        <v>302</v>
      </c>
      <c r="E335" s="67">
        <v>1</v>
      </c>
      <c r="F335" s="8">
        <v>1026</v>
      </c>
    </row>
    <row r="336" spans="1:6">
      <c r="A336" s="131">
        <v>45799</v>
      </c>
      <c r="B336" s="67" t="s">
        <v>301</v>
      </c>
      <c r="C336" s="67" t="s">
        <v>252</v>
      </c>
      <c r="D336" s="67" t="s">
        <v>306</v>
      </c>
      <c r="E336" s="67">
        <v>11</v>
      </c>
      <c r="F336" s="8">
        <v>10723</v>
      </c>
    </row>
    <row r="337" spans="1:6">
      <c r="A337" s="131">
        <v>45799</v>
      </c>
      <c r="B337" s="67" t="s">
        <v>303</v>
      </c>
      <c r="C337" s="67" t="s">
        <v>252</v>
      </c>
      <c r="D337" s="67" t="s">
        <v>306</v>
      </c>
      <c r="E337" s="67">
        <v>7</v>
      </c>
      <c r="F337" s="8">
        <v>3031</v>
      </c>
    </row>
    <row r="338" spans="1:6">
      <c r="A338" s="131">
        <v>45800</v>
      </c>
      <c r="B338" s="67" t="s">
        <v>314</v>
      </c>
      <c r="C338" s="67" t="s">
        <v>254</v>
      </c>
      <c r="D338" s="67" t="s">
        <v>302</v>
      </c>
      <c r="E338" s="67">
        <v>4</v>
      </c>
      <c r="F338" s="8">
        <v>8419</v>
      </c>
    </row>
    <row r="339" spans="1:6">
      <c r="A339" s="131">
        <v>45800</v>
      </c>
      <c r="B339" s="67" t="s">
        <v>309</v>
      </c>
      <c r="C339" s="67" t="s">
        <v>253</v>
      </c>
      <c r="D339" s="67" t="s">
        <v>302</v>
      </c>
      <c r="E339" s="67">
        <v>2</v>
      </c>
      <c r="F339" s="8">
        <v>4112</v>
      </c>
    </row>
    <row r="340" spans="1:6">
      <c r="A340" s="131">
        <v>45803</v>
      </c>
      <c r="B340" s="67" t="s">
        <v>313</v>
      </c>
      <c r="C340" s="67" t="s">
        <v>254</v>
      </c>
      <c r="D340" s="67" t="s">
        <v>308</v>
      </c>
      <c r="E340" s="67">
        <v>1</v>
      </c>
      <c r="F340" s="8">
        <v>5740</v>
      </c>
    </row>
    <row r="341" spans="1:6">
      <c r="A341" s="131">
        <v>45803</v>
      </c>
      <c r="B341" s="67" t="s">
        <v>301</v>
      </c>
      <c r="C341" s="67" t="s">
        <v>254</v>
      </c>
      <c r="D341" s="67" t="s">
        <v>306</v>
      </c>
      <c r="E341" s="67">
        <v>1</v>
      </c>
      <c r="F341" s="8">
        <v>8413</v>
      </c>
    </row>
    <row r="342" spans="1:6">
      <c r="A342" s="131">
        <v>45804</v>
      </c>
      <c r="B342" s="67" t="s">
        <v>312</v>
      </c>
      <c r="C342" s="67" t="s">
        <v>253</v>
      </c>
      <c r="D342" s="67" t="s">
        <v>302</v>
      </c>
      <c r="E342" s="67">
        <v>3</v>
      </c>
      <c r="F342" s="8">
        <v>11750</v>
      </c>
    </row>
    <row r="343" spans="1:6">
      <c r="A343" s="131">
        <v>45805</v>
      </c>
      <c r="B343" s="67" t="s">
        <v>311</v>
      </c>
      <c r="C343" s="67" t="s">
        <v>254</v>
      </c>
      <c r="D343" s="67" t="s">
        <v>308</v>
      </c>
      <c r="E343" s="67">
        <v>10</v>
      </c>
      <c r="F343" s="8">
        <v>3975</v>
      </c>
    </row>
    <row r="344" spans="1:6">
      <c r="A344" s="131">
        <v>45805</v>
      </c>
      <c r="B344" s="67" t="s">
        <v>305</v>
      </c>
      <c r="C344" s="67" t="s">
        <v>253</v>
      </c>
      <c r="D344" s="67" t="s">
        <v>308</v>
      </c>
      <c r="E344" s="67">
        <v>14</v>
      </c>
      <c r="F344" s="8">
        <v>8484</v>
      </c>
    </row>
    <row r="345" spans="1:6">
      <c r="A345" s="131">
        <v>45805</v>
      </c>
      <c r="B345" s="67" t="s">
        <v>316</v>
      </c>
      <c r="C345" s="67" t="s">
        <v>253</v>
      </c>
      <c r="D345" s="67" t="s">
        <v>306</v>
      </c>
      <c r="E345" s="67">
        <v>14</v>
      </c>
      <c r="F345" s="8">
        <v>2036</v>
      </c>
    </row>
    <row r="346" spans="1:6">
      <c r="A346" s="131">
        <v>45805</v>
      </c>
      <c r="B346" s="67" t="s">
        <v>314</v>
      </c>
      <c r="C346" s="67" t="s">
        <v>254</v>
      </c>
      <c r="D346" s="67" t="s">
        <v>306</v>
      </c>
      <c r="E346" s="67">
        <v>12</v>
      </c>
      <c r="F346" s="8">
        <v>7169</v>
      </c>
    </row>
    <row r="347" spans="1:6">
      <c r="A347" s="131">
        <v>45806</v>
      </c>
      <c r="B347" s="67" t="s">
        <v>316</v>
      </c>
      <c r="C347" s="67" t="s">
        <v>254</v>
      </c>
      <c r="D347" s="67" t="s">
        <v>306</v>
      </c>
      <c r="E347" s="67">
        <v>13</v>
      </c>
      <c r="F347" s="8">
        <v>2937</v>
      </c>
    </row>
    <row r="348" spans="1:6">
      <c r="A348" s="131">
        <v>45807</v>
      </c>
      <c r="B348" s="67" t="s">
        <v>314</v>
      </c>
      <c r="C348" s="67" t="s">
        <v>252</v>
      </c>
      <c r="D348" s="67" t="s">
        <v>315</v>
      </c>
      <c r="E348" s="67">
        <v>13</v>
      </c>
      <c r="F348" s="8">
        <v>1686</v>
      </c>
    </row>
    <row r="349" spans="1:6">
      <c r="A349" s="131">
        <v>45807</v>
      </c>
      <c r="B349" s="67" t="s">
        <v>316</v>
      </c>
      <c r="C349" s="67" t="s">
        <v>254</v>
      </c>
      <c r="D349" s="67" t="s">
        <v>302</v>
      </c>
      <c r="E349" s="67">
        <v>7</v>
      </c>
      <c r="F349" s="8">
        <v>2301</v>
      </c>
    </row>
    <row r="350" spans="1:6">
      <c r="A350" s="131">
        <v>45807</v>
      </c>
      <c r="B350" s="67" t="s">
        <v>305</v>
      </c>
      <c r="C350" s="67" t="s">
        <v>254</v>
      </c>
      <c r="D350" s="67" t="s">
        <v>310</v>
      </c>
      <c r="E350" s="67">
        <v>1</v>
      </c>
      <c r="F350" s="8">
        <v>1154</v>
      </c>
    </row>
    <row r="351" spans="1:6">
      <c r="A351" s="131">
        <v>45807</v>
      </c>
      <c r="B351" s="67" t="s">
        <v>316</v>
      </c>
      <c r="C351" s="67" t="s">
        <v>253</v>
      </c>
      <c r="D351" s="67" t="s">
        <v>306</v>
      </c>
      <c r="E351" s="67">
        <v>4</v>
      </c>
      <c r="F351" s="8">
        <v>5143</v>
      </c>
    </row>
    <row r="352" spans="1:6">
      <c r="A352" s="131">
        <v>45807</v>
      </c>
      <c r="B352" s="67" t="s">
        <v>303</v>
      </c>
      <c r="C352" s="67" t="s">
        <v>252</v>
      </c>
      <c r="D352" s="67" t="s">
        <v>308</v>
      </c>
      <c r="E352" s="67">
        <v>4</v>
      </c>
      <c r="F352" s="8">
        <v>3566</v>
      </c>
    </row>
    <row r="353" spans="1:6">
      <c r="A353" s="131">
        <v>45808</v>
      </c>
      <c r="B353" s="67" t="s">
        <v>303</v>
      </c>
      <c r="C353" s="67" t="s">
        <v>254</v>
      </c>
      <c r="D353" s="67" t="s">
        <v>310</v>
      </c>
      <c r="E353" s="67">
        <v>7</v>
      </c>
      <c r="F353" s="8">
        <v>1914</v>
      </c>
    </row>
    <row r="354" spans="1:6">
      <c r="A354" s="131">
        <v>45809</v>
      </c>
      <c r="B354" s="67" t="s">
        <v>301</v>
      </c>
      <c r="C354" s="67" t="s">
        <v>254</v>
      </c>
      <c r="D354" s="67" t="s">
        <v>308</v>
      </c>
      <c r="E354" s="67">
        <v>10</v>
      </c>
      <c r="F354" s="8">
        <v>8970</v>
      </c>
    </row>
    <row r="355" spans="1:6">
      <c r="A355" s="131">
        <v>45809</v>
      </c>
      <c r="B355" s="67" t="s">
        <v>316</v>
      </c>
      <c r="C355" s="67" t="s">
        <v>254</v>
      </c>
      <c r="D355" s="67" t="s">
        <v>315</v>
      </c>
      <c r="E355" s="67">
        <v>8</v>
      </c>
      <c r="F355" s="8">
        <v>6552</v>
      </c>
    </row>
    <row r="356" spans="1:6">
      <c r="A356" s="131">
        <v>45810</v>
      </c>
      <c r="B356" s="67" t="s">
        <v>301</v>
      </c>
      <c r="C356" s="67" t="s">
        <v>287</v>
      </c>
      <c r="D356" s="67" t="s">
        <v>315</v>
      </c>
      <c r="E356" s="67">
        <v>2</v>
      </c>
      <c r="F356" s="8">
        <v>6130</v>
      </c>
    </row>
    <row r="357" spans="1:6">
      <c r="A357" s="131">
        <v>45810</v>
      </c>
      <c r="B357" s="67" t="s">
        <v>311</v>
      </c>
      <c r="C357" s="67" t="s">
        <v>254</v>
      </c>
      <c r="D357" s="67" t="s">
        <v>308</v>
      </c>
      <c r="E357" s="67">
        <v>7</v>
      </c>
      <c r="F357" s="8">
        <v>7222</v>
      </c>
    </row>
    <row r="358" spans="1:6">
      <c r="A358" s="131">
        <v>45811</v>
      </c>
      <c r="B358" s="67" t="s">
        <v>314</v>
      </c>
      <c r="C358" s="67" t="s">
        <v>252</v>
      </c>
      <c r="D358" s="67" t="s">
        <v>302</v>
      </c>
      <c r="E358" s="67">
        <v>6</v>
      </c>
      <c r="F358" s="8">
        <v>9869</v>
      </c>
    </row>
    <row r="359" spans="1:6">
      <c r="A359" s="131">
        <v>45812</v>
      </c>
      <c r="B359" s="67" t="s">
        <v>313</v>
      </c>
      <c r="C359" s="67" t="s">
        <v>254</v>
      </c>
      <c r="D359" s="67" t="s">
        <v>308</v>
      </c>
      <c r="E359" s="67">
        <v>5</v>
      </c>
      <c r="F359" s="8">
        <v>1877</v>
      </c>
    </row>
    <row r="360" spans="1:6">
      <c r="A360" s="131">
        <v>45812</v>
      </c>
      <c r="B360" s="67" t="s">
        <v>303</v>
      </c>
      <c r="C360" s="67" t="s">
        <v>253</v>
      </c>
      <c r="D360" s="67" t="s">
        <v>308</v>
      </c>
      <c r="E360" s="67">
        <v>1</v>
      </c>
      <c r="F360" s="8">
        <v>10799</v>
      </c>
    </row>
    <row r="361" spans="1:6">
      <c r="A361" s="131">
        <v>45812</v>
      </c>
      <c r="B361" s="67" t="s">
        <v>305</v>
      </c>
      <c r="C361" s="67" t="s">
        <v>287</v>
      </c>
      <c r="D361" s="67" t="s">
        <v>315</v>
      </c>
      <c r="E361" s="67">
        <v>9</v>
      </c>
      <c r="F361" s="8">
        <v>1627</v>
      </c>
    </row>
    <row r="362" spans="1:6">
      <c r="A362" s="131">
        <v>45812</v>
      </c>
      <c r="B362" s="67" t="s">
        <v>303</v>
      </c>
      <c r="C362" s="67" t="s">
        <v>253</v>
      </c>
      <c r="D362" s="67" t="s">
        <v>304</v>
      </c>
      <c r="E362" s="67">
        <v>9</v>
      </c>
      <c r="F362" s="8">
        <v>3945</v>
      </c>
    </row>
    <row r="363" spans="1:6">
      <c r="A363" s="131">
        <v>45813</v>
      </c>
      <c r="B363" s="67" t="s">
        <v>305</v>
      </c>
      <c r="C363" s="67" t="s">
        <v>253</v>
      </c>
      <c r="D363" s="67" t="s">
        <v>306</v>
      </c>
      <c r="E363" s="67">
        <v>8</v>
      </c>
      <c r="F363" s="8">
        <v>2798</v>
      </c>
    </row>
    <row r="364" spans="1:6">
      <c r="A364" s="131">
        <v>45813</v>
      </c>
      <c r="B364" s="67" t="s">
        <v>305</v>
      </c>
      <c r="C364" s="67" t="s">
        <v>287</v>
      </c>
      <c r="D364" s="67" t="s">
        <v>308</v>
      </c>
      <c r="E364" s="67">
        <v>11</v>
      </c>
      <c r="F364" s="8">
        <v>8444</v>
      </c>
    </row>
    <row r="365" spans="1:6">
      <c r="A365" s="131">
        <v>45814</v>
      </c>
      <c r="B365" s="67" t="s">
        <v>307</v>
      </c>
      <c r="C365" s="67" t="s">
        <v>252</v>
      </c>
      <c r="D365" s="67" t="s">
        <v>310</v>
      </c>
      <c r="E365" s="67">
        <v>6</v>
      </c>
      <c r="F365" s="8">
        <v>11365</v>
      </c>
    </row>
    <row r="366" spans="1:6">
      <c r="A366" s="131">
        <v>45814</v>
      </c>
      <c r="B366" s="67" t="s">
        <v>301</v>
      </c>
      <c r="C366" s="67" t="s">
        <v>252</v>
      </c>
      <c r="D366" s="67" t="s">
        <v>306</v>
      </c>
      <c r="E366" s="67">
        <v>11</v>
      </c>
      <c r="F366" s="8">
        <v>10361</v>
      </c>
    </row>
    <row r="367" spans="1:6">
      <c r="A367" s="131">
        <v>45814</v>
      </c>
      <c r="B367" s="67" t="s">
        <v>311</v>
      </c>
      <c r="C367" s="67" t="s">
        <v>287</v>
      </c>
      <c r="D367" s="67" t="s">
        <v>306</v>
      </c>
      <c r="E367" s="67">
        <v>4</v>
      </c>
      <c r="F367" s="8">
        <v>7215</v>
      </c>
    </row>
    <row r="368" spans="1:6">
      <c r="A368" s="131">
        <v>45814</v>
      </c>
      <c r="B368" s="67" t="s">
        <v>303</v>
      </c>
      <c r="C368" s="67" t="s">
        <v>254</v>
      </c>
      <c r="D368" s="67" t="s">
        <v>306</v>
      </c>
      <c r="E368" s="67">
        <v>13</v>
      </c>
      <c r="F368" s="8">
        <v>6410</v>
      </c>
    </row>
    <row r="369" spans="1:6">
      <c r="A369" s="131">
        <v>45814</v>
      </c>
      <c r="B369" s="67" t="s">
        <v>305</v>
      </c>
      <c r="C369" s="67" t="s">
        <v>252</v>
      </c>
      <c r="D369" s="67" t="s">
        <v>308</v>
      </c>
      <c r="E369" s="67">
        <v>8</v>
      </c>
      <c r="F369" s="8">
        <v>9962</v>
      </c>
    </row>
    <row r="370" spans="1:6">
      <c r="A370" s="131">
        <v>45814</v>
      </c>
      <c r="B370" s="67" t="s">
        <v>313</v>
      </c>
      <c r="C370" s="67" t="s">
        <v>287</v>
      </c>
      <c r="D370" s="67" t="s">
        <v>304</v>
      </c>
      <c r="E370" s="67">
        <v>7</v>
      </c>
      <c r="F370" s="8">
        <v>9128</v>
      </c>
    </row>
    <row r="371" spans="1:6">
      <c r="A371" s="131">
        <v>45815</v>
      </c>
      <c r="B371" s="67" t="s">
        <v>307</v>
      </c>
      <c r="C371" s="67" t="s">
        <v>254</v>
      </c>
      <c r="D371" s="67" t="s">
        <v>302</v>
      </c>
      <c r="E371" s="67">
        <v>12</v>
      </c>
      <c r="F371" s="8">
        <v>3037</v>
      </c>
    </row>
    <row r="372" spans="1:6">
      <c r="A372" s="131">
        <v>45815</v>
      </c>
      <c r="B372" s="67" t="s">
        <v>316</v>
      </c>
      <c r="C372" s="67" t="s">
        <v>253</v>
      </c>
      <c r="D372" s="67" t="s">
        <v>306</v>
      </c>
      <c r="E372" s="67">
        <v>5</v>
      </c>
      <c r="F372" s="8">
        <v>6000</v>
      </c>
    </row>
    <row r="373" spans="1:6">
      <c r="A373" s="131">
        <v>45815</v>
      </c>
      <c r="B373" s="67" t="s">
        <v>305</v>
      </c>
      <c r="C373" s="67" t="s">
        <v>287</v>
      </c>
      <c r="D373" s="67" t="s">
        <v>306</v>
      </c>
      <c r="E373" s="67">
        <v>14</v>
      </c>
      <c r="F373" s="8">
        <v>5984</v>
      </c>
    </row>
    <row r="374" spans="1:6">
      <c r="A374" s="131">
        <v>45815</v>
      </c>
      <c r="B374" s="67" t="s">
        <v>307</v>
      </c>
      <c r="C374" s="67" t="s">
        <v>253</v>
      </c>
      <c r="D374" s="67" t="s">
        <v>308</v>
      </c>
      <c r="E374" s="67">
        <v>1</v>
      </c>
      <c r="F374" s="8">
        <v>10600</v>
      </c>
    </row>
    <row r="375" spans="1:6">
      <c r="A375" s="131">
        <v>45815</v>
      </c>
      <c r="B375" s="67" t="s">
        <v>314</v>
      </c>
      <c r="C375" s="67" t="s">
        <v>287</v>
      </c>
      <c r="D375" s="67" t="s">
        <v>304</v>
      </c>
      <c r="E375" s="67">
        <v>12</v>
      </c>
      <c r="F375" s="8">
        <v>5421</v>
      </c>
    </row>
    <row r="376" spans="1:6">
      <c r="A376" s="131">
        <v>45815</v>
      </c>
      <c r="B376" s="67" t="s">
        <v>311</v>
      </c>
      <c r="C376" s="67" t="s">
        <v>287</v>
      </c>
      <c r="D376" s="67" t="s">
        <v>304</v>
      </c>
      <c r="E376" s="67">
        <v>1</v>
      </c>
      <c r="F376" s="8">
        <v>3446</v>
      </c>
    </row>
    <row r="377" spans="1:6">
      <c r="A377" s="131">
        <v>45816</v>
      </c>
      <c r="B377" s="67" t="s">
        <v>314</v>
      </c>
      <c r="C377" s="67" t="s">
        <v>253</v>
      </c>
      <c r="D377" s="67" t="s">
        <v>306</v>
      </c>
      <c r="E377" s="67">
        <v>12</v>
      </c>
      <c r="F377" s="8">
        <v>9159</v>
      </c>
    </row>
    <row r="378" spans="1:6">
      <c r="A378" s="131">
        <v>45817</v>
      </c>
      <c r="B378" s="67" t="s">
        <v>316</v>
      </c>
      <c r="C378" s="67" t="s">
        <v>254</v>
      </c>
      <c r="D378" s="67" t="s">
        <v>310</v>
      </c>
      <c r="E378" s="67">
        <v>1</v>
      </c>
      <c r="F378" s="8">
        <v>9431</v>
      </c>
    </row>
    <row r="379" spans="1:6">
      <c r="A379" s="131">
        <v>45817</v>
      </c>
      <c r="B379" s="67" t="s">
        <v>309</v>
      </c>
      <c r="C379" s="67" t="s">
        <v>252</v>
      </c>
      <c r="D379" s="67" t="s">
        <v>306</v>
      </c>
      <c r="E379" s="67">
        <v>6</v>
      </c>
      <c r="F379" s="8">
        <v>10625</v>
      </c>
    </row>
    <row r="380" spans="1:6">
      <c r="A380" s="131">
        <v>45818</v>
      </c>
      <c r="B380" s="67" t="s">
        <v>301</v>
      </c>
      <c r="C380" s="67" t="s">
        <v>253</v>
      </c>
      <c r="D380" s="67" t="s">
        <v>302</v>
      </c>
      <c r="E380" s="67">
        <v>3</v>
      </c>
      <c r="F380" s="8">
        <v>9708</v>
      </c>
    </row>
    <row r="381" spans="1:6">
      <c r="A381" s="131">
        <v>45818</v>
      </c>
      <c r="B381" s="67" t="s">
        <v>301</v>
      </c>
      <c r="C381" s="67" t="s">
        <v>254</v>
      </c>
      <c r="D381" s="67" t="s">
        <v>302</v>
      </c>
      <c r="E381" s="67">
        <v>12</v>
      </c>
      <c r="F381" s="8">
        <v>6848</v>
      </c>
    </row>
    <row r="382" spans="1:6">
      <c r="A382" s="131">
        <v>45819</v>
      </c>
      <c r="B382" s="67" t="s">
        <v>314</v>
      </c>
      <c r="C382" s="67" t="s">
        <v>252</v>
      </c>
      <c r="D382" s="67" t="s">
        <v>308</v>
      </c>
      <c r="E382" s="67">
        <v>4</v>
      </c>
      <c r="F382" s="8">
        <v>2454</v>
      </c>
    </row>
    <row r="383" spans="1:6">
      <c r="A383" s="131">
        <v>45819</v>
      </c>
      <c r="B383" s="67" t="s">
        <v>309</v>
      </c>
      <c r="C383" s="67" t="s">
        <v>254</v>
      </c>
      <c r="D383" s="67" t="s">
        <v>304</v>
      </c>
      <c r="E383" s="67">
        <v>5</v>
      </c>
      <c r="F383" s="8">
        <v>3148</v>
      </c>
    </row>
    <row r="384" spans="1:6">
      <c r="A384" s="131">
        <v>45819</v>
      </c>
      <c r="B384" s="67" t="s">
        <v>311</v>
      </c>
      <c r="C384" s="67" t="s">
        <v>253</v>
      </c>
      <c r="D384" s="67" t="s">
        <v>315</v>
      </c>
      <c r="E384" s="67">
        <v>2</v>
      </c>
      <c r="F384" s="8">
        <v>9105</v>
      </c>
    </row>
    <row r="385" spans="1:6">
      <c r="A385" s="131">
        <v>45819</v>
      </c>
      <c r="B385" s="67" t="s">
        <v>316</v>
      </c>
      <c r="C385" s="67" t="s">
        <v>254</v>
      </c>
      <c r="D385" s="67" t="s">
        <v>310</v>
      </c>
      <c r="E385" s="67">
        <v>13</v>
      </c>
      <c r="F385" s="8">
        <v>11497</v>
      </c>
    </row>
    <row r="386" spans="1:6">
      <c r="A386" s="131">
        <v>45820</v>
      </c>
      <c r="B386" s="67" t="s">
        <v>314</v>
      </c>
      <c r="C386" s="67" t="s">
        <v>287</v>
      </c>
      <c r="D386" s="67" t="s">
        <v>302</v>
      </c>
      <c r="E386" s="67">
        <v>14</v>
      </c>
      <c r="F386" s="8">
        <v>4807</v>
      </c>
    </row>
    <row r="387" spans="1:6">
      <c r="A387" s="131">
        <v>45820</v>
      </c>
      <c r="B387" s="67" t="s">
        <v>314</v>
      </c>
      <c r="C387" s="67" t="s">
        <v>253</v>
      </c>
      <c r="D387" s="67" t="s">
        <v>310</v>
      </c>
      <c r="E387" s="67">
        <v>6</v>
      </c>
      <c r="F387" s="8">
        <v>3466</v>
      </c>
    </row>
    <row r="388" spans="1:6">
      <c r="A388" s="131">
        <v>45820</v>
      </c>
      <c r="B388" s="67" t="s">
        <v>307</v>
      </c>
      <c r="C388" s="67" t="s">
        <v>254</v>
      </c>
      <c r="D388" s="67" t="s">
        <v>304</v>
      </c>
      <c r="E388" s="67">
        <v>6</v>
      </c>
      <c r="F388" s="8">
        <v>4516</v>
      </c>
    </row>
    <row r="389" spans="1:6">
      <c r="A389" s="131">
        <v>45821</v>
      </c>
      <c r="B389" s="67" t="s">
        <v>309</v>
      </c>
      <c r="C389" s="67" t="s">
        <v>253</v>
      </c>
      <c r="D389" s="67" t="s">
        <v>306</v>
      </c>
      <c r="E389" s="67">
        <v>11</v>
      </c>
      <c r="F389" s="8">
        <v>11228</v>
      </c>
    </row>
    <row r="390" spans="1:6">
      <c r="A390" s="131">
        <v>45821</v>
      </c>
      <c r="B390" s="67" t="s">
        <v>311</v>
      </c>
      <c r="C390" s="67" t="s">
        <v>252</v>
      </c>
      <c r="D390" s="67" t="s">
        <v>306</v>
      </c>
      <c r="E390" s="67">
        <v>14</v>
      </c>
      <c r="F390" s="8">
        <v>3722</v>
      </c>
    </row>
    <row r="391" spans="1:6">
      <c r="A391" s="131">
        <v>45822</v>
      </c>
      <c r="B391" s="67" t="s">
        <v>307</v>
      </c>
      <c r="C391" s="67" t="s">
        <v>253</v>
      </c>
      <c r="D391" s="67" t="s">
        <v>315</v>
      </c>
      <c r="E391" s="67">
        <v>8</v>
      </c>
      <c r="F391" s="8">
        <v>5130</v>
      </c>
    </row>
    <row r="392" spans="1:6">
      <c r="A392" s="131">
        <v>45823</v>
      </c>
      <c r="B392" s="67" t="s">
        <v>311</v>
      </c>
      <c r="C392" s="67" t="s">
        <v>253</v>
      </c>
      <c r="D392" s="67" t="s">
        <v>306</v>
      </c>
      <c r="E392" s="67">
        <v>11</v>
      </c>
      <c r="F392" s="8">
        <v>4372</v>
      </c>
    </row>
    <row r="393" spans="1:6">
      <c r="A393" s="131">
        <v>45823</v>
      </c>
      <c r="B393" s="67" t="s">
        <v>309</v>
      </c>
      <c r="C393" s="67" t="s">
        <v>287</v>
      </c>
      <c r="D393" s="67" t="s">
        <v>302</v>
      </c>
      <c r="E393" s="67">
        <v>10</v>
      </c>
      <c r="F393" s="8">
        <v>8326</v>
      </c>
    </row>
    <row r="394" spans="1:6">
      <c r="A394" s="131">
        <v>45823</v>
      </c>
      <c r="B394" s="67" t="s">
        <v>311</v>
      </c>
      <c r="C394" s="67" t="s">
        <v>253</v>
      </c>
      <c r="D394" s="67" t="s">
        <v>310</v>
      </c>
      <c r="E394" s="67">
        <v>2</v>
      </c>
      <c r="F394" s="8">
        <v>2810</v>
      </c>
    </row>
    <row r="395" spans="1:6">
      <c r="A395" s="131">
        <v>45824</v>
      </c>
      <c r="B395" s="67" t="s">
        <v>307</v>
      </c>
      <c r="C395" s="67" t="s">
        <v>252</v>
      </c>
      <c r="D395" s="67" t="s">
        <v>306</v>
      </c>
      <c r="E395" s="67">
        <v>8</v>
      </c>
      <c r="F395" s="8">
        <v>11927</v>
      </c>
    </row>
    <row r="396" spans="1:6">
      <c r="A396" s="131">
        <v>45824</v>
      </c>
      <c r="B396" s="67" t="s">
        <v>305</v>
      </c>
      <c r="C396" s="67" t="s">
        <v>253</v>
      </c>
      <c r="D396" s="67" t="s">
        <v>302</v>
      </c>
      <c r="E396" s="67">
        <v>4</v>
      </c>
      <c r="F396" s="8">
        <v>3327</v>
      </c>
    </row>
    <row r="397" spans="1:6">
      <c r="A397" s="131">
        <v>45825</v>
      </c>
      <c r="B397" s="67" t="s">
        <v>307</v>
      </c>
      <c r="C397" s="67" t="s">
        <v>287</v>
      </c>
      <c r="D397" s="67" t="s">
        <v>306</v>
      </c>
      <c r="E397" s="67">
        <v>13</v>
      </c>
      <c r="F397" s="8">
        <v>9802</v>
      </c>
    </row>
    <row r="398" spans="1:6">
      <c r="A398" s="131">
        <v>45825</v>
      </c>
      <c r="B398" s="67" t="s">
        <v>305</v>
      </c>
      <c r="C398" s="67" t="s">
        <v>253</v>
      </c>
      <c r="D398" s="67" t="s">
        <v>310</v>
      </c>
      <c r="E398" s="67">
        <v>10</v>
      </c>
      <c r="F398" s="8">
        <v>9874</v>
      </c>
    </row>
    <row r="399" spans="1:6">
      <c r="A399" s="131">
        <v>45825</v>
      </c>
      <c r="B399" s="67" t="s">
        <v>305</v>
      </c>
      <c r="C399" s="67" t="s">
        <v>253</v>
      </c>
      <c r="D399" s="67" t="s">
        <v>315</v>
      </c>
      <c r="E399" s="67">
        <v>6</v>
      </c>
      <c r="F399" s="8">
        <v>2479</v>
      </c>
    </row>
    <row r="400" spans="1:6">
      <c r="A400" s="131">
        <v>45825</v>
      </c>
      <c r="B400" s="67" t="s">
        <v>305</v>
      </c>
      <c r="C400" s="67" t="s">
        <v>252</v>
      </c>
      <c r="D400" s="67" t="s">
        <v>306</v>
      </c>
      <c r="E400" s="67">
        <v>1</v>
      </c>
      <c r="F400" s="8">
        <v>10893</v>
      </c>
    </row>
    <row r="401" spans="1:6">
      <c r="A401" s="131">
        <v>45825</v>
      </c>
      <c r="B401" s="67" t="s">
        <v>316</v>
      </c>
      <c r="C401" s="67" t="s">
        <v>252</v>
      </c>
      <c r="D401" s="67" t="s">
        <v>304</v>
      </c>
      <c r="E401" s="67">
        <v>8</v>
      </c>
      <c r="F401" s="8">
        <v>10527</v>
      </c>
    </row>
    <row r="402" spans="1:6">
      <c r="A402" s="131">
        <v>45825</v>
      </c>
      <c r="B402" s="67" t="s">
        <v>314</v>
      </c>
      <c r="C402" s="67" t="s">
        <v>252</v>
      </c>
      <c r="D402" s="67" t="s">
        <v>308</v>
      </c>
      <c r="E402" s="67">
        <v>10</v>
      </c>
      <c r="F402" s="8">
        <v>8118</v>
      </c>
    </row>
    <row r="403" spans="1:6">
      <c r="A403" s="131">
        <v>45826</v>
      </c>
      <c r="B403" s="67" t="s">
        <v>309</v>
      </c>
      <c r="C403" s="67" t="s">
        <v>253</v>
      </c>
      <c r="D403" s="67" t="s">
        <v>306</v>
      </c>
      <c r="E403" s="67">
        <v>7</v>
      </c>
      <c r="F403" s="8">
        <v>10252</v>
      </c>
    </row>
    <row r="404" spans="1:6">
      <c r="A404" s="131">
        <v>45826</v>
      </c>
      <c r="B404" s="67" t="s">
        <v>312</v>
      </c>
      <c r="C404" s="67" t="s">
        <v>287</v>
      </c>
      <c r="D404" s="67" t="s">
        <v>308</v>
      </c>
      <c r="E404" s="67">
        <v>11</v>
      </c>
      <c r="F404" s="8">
        <v>7232</v>
      </c>
    </row>
    <row r="405" spans="1:6">
      <c r="A405" s="131">
        <v>45826</v>
      </c>
      <c r="B405" s="67" t="s">
        <v>307</v>
      </c>
      <c r="C405" s="67" t="s">
        <v>253</v>
      </c>
      <c r="D405" s="67" t="s">
        <v>308</v>
      </c>
      <c r="E405" s="67">
        <v>14</v>
      </c>
      <c r="F405" s="8">
        <v>7765</v>
      </c>
    </row>
    <row r="406" spans="1:6">
      <c r="A406" s="131">
        <v>45827</v>
      </c>
      <c r="B406" s="67" t="s">
        <v>301</v>
      </c>
      <c r="C406" s="67" t="s">
        <v>252</v>
      </c>
      <c r="D406" s="67" t="s">
        <v>306</v>
      </c>
      <c r="E406" s="67">
        <v>14</v>
      </c>
      <c r="F406" s="8">
        <v>5824</v>
      </c>
    </row>
    <row r="407" spans="1:6">
      <c r="A407" s="131">
        <v>45827</v>
      </c>
      <c r="B407" s="67" t="s">
        <v>313</v>
      </c>
      <c r="C407" s="67" t="s">
        <v>254</v>
      </c>
      <c r="D407" s="67" t="s">
        <v>306</v>
      </c>
      <c r="E407" s="67">
        <v>10</v>
      </c>
      <c r="F407" s="8">
        <v>1614</v>
      </c>
    </row>
    <row r="408" spans="1:6">
      <c r="A408" s="131">
        <v>45828</v>
      </c>
      <c r="B408" s="67" t="s">
        <v>314</v>
      </c>
      <c r="C408" s="67" t="s">
        <v>287</v>
      </c>
      <c r="D408" s="67" t="s">
        <v>306</v>
      </c>
      <c r="E408" s="67">
        <v>11</v>
      </c>
      <c r="F408" s="8">
        <v>11390</v>
      </c>
    </row>
    <row r="409" spans="1:6">
      <c r="A409" s="131">
        <v>45828</v>
      </c>
      <c r="B409" s="67" t="s">
        <v>313</v>
      </c>
      <c r="C409" s="67" t="s">
        <v>254</v>
      </c>
      <c r="D409" s="67" t="s">
        <v>304</v>
      </c>
      <c r="E409" s="67">
        <v>13</v>
      </c>
      <c r="F409" s="8">
        <v>3544</v>
      </c>
    </row>
    <row r="410" spans="1:6">
      <c r="A410" s="131">
        <v>45829</v>
      </c>
      <c r="B410" s="67" t="s">
        <v>303</v>
      </c>
      <c r="C410" s="67" t="s">
        <v>254</v>
      </c>
      <c r="D410" s="67" t="s">
        <v>306</v>
      </c>
      <c r="E410" s="67">
        <v>6</v>
      </c>
      <c r="F410" s="8">
        <v>1316</v>
      </c>
    </row>
    <row r="411" spans="1:6">
      <c r="A411" s="131">
        <v>45830</v>
      </c>
      <c r="B411" s="67" t="s">
        <v>311</v>
      </c>
      <c r="C411" s="67" t="s">
        <v>253</v>
      </c>
      <c r="D411" s="67" t="s">
        <v>308</v>
      </c>
      <c r="E411" s="67">
        <v>3</v>
      </c>
      <c r="F411" s="8">
        <v>3774</v>
      </c>
    </row>
    <row r="412" spans="1:6">
      <c r="A412" s="131">
        <v>45830</v>
      </c>
      <c r="B412" s="67" t="s">
        <v>307</v>
      </c>
      <c r="C412" s="67" t="s">
        <v>287</v>
      </c>
      <c r="D412" s="67" t="s">
        <v>306</v>
      </c>
      <c r="E412" s="67">
        <v>5</v>
      </c>
      <c r="F412" s="8">
        <v>769</v>
      </c>
    </row>
    <row r="413" spans="1:6">
      <c r="A413" s="131">
        <v>45830</v>
      </c>
      <c r="B413" s="67" t="s">
        <v>307</v>
      </c>
      <c r="C413" s="67" t="s">
        <v>252</v>
      </c>
      <c r="D413" s="67" t="s">
        <v>308</v>
      </c>
      <c r="E413" s="67">
        <v>5</v>
      </c>
      <c r="F413" s="8">
        <v>4396</v>
      </c>
    </row>
    <row r="414" spans="1:6">
      <c r="A414" s="131">
        <v>45831</v>
      </c>
      <c r="B414" s="67" t="s">
        <v>301</v>
      </c>
      <c r="C414" s="67" t="s">
        <v>287</v>
      </c>
      <c r="D414" s="67" t="s">
        <v>302</v>
      </c>
      <c r="E414" s="67">
        <v>4</v>
      </c>
      <c r="F414" s="8">
        <v>8746</v>
      </c>
    </row>
    <row r="415" spans="1:6">
      <c r="A415" s="131">
        <v>45832</v>
      </c>
      <c r="B415" s="67" t="s">
        <v>311</v>
      </c>
      <c r="C415" s="67" t="s">
        <v>254</v>
      </c>
      <c r="D415" s="67" t="s">
        <v>304</v>
      </c>
      <c r="E415" s="67">
        <v>11</v>
      </c>
      <c r="F415" s="8">
        <v>7230</v>
      </c>
    </row>
    <row r="416" spans="1:6">
      <c r="A416" s="131">
        <v>45832</v>
      </c>
      <c r="B416" s="67" t="s">
        <v>316</v>
      </c>
      <c r="C416" s="67" t="s">
        <v>254</v>
      </c>
      <c r="D416" s="67" t="s">
        <v>308</v>
      </c>
      <c r="E416" s="67">
        <v>6</v>
      </c>
      <c r="F416" s="8">
        <v>1116</v>
      </c>
    </row>
    <row r="417" spans="1:6">
      <c r="A417" s="131">
        <v>45832</v>
      </c>
      <c r="B417" s="67" t="s">
        <v>309</v>
      </c>
      <c r="C417" s="67" t="s">
        <v>253</v>
      </c>
      <c r="D417" s="67" t="s">
        <v>302</v>
      </c>
      <c r="E417" s="67">
        <v>2</v>
      </c>
      <c r="F417" s="8">
        <v>1046</v>
      </c>
    </row>
    <row r="418" spans="1:6">
      <c r="A418" s="131">
        <v>45832</v>
      </c>
      <c r="B418" s="67" t="s">
        <v>311</v>
      </c>
      <c r="C418" s="67" t="s">
        <v>287</v>
      </c>
      <c r="D418" s="67" t="s">
        <v>306</v>
      </c>
      <c r="E418" s="67">
        <v>9</v>
      </c>
      <c r="F418" s="8">
        <v>1529</v>
      </c>
    </row>
    <row r="419" spans="1:6">
      <c r="A419" s="131">
        <v>45833</v>
      </c>
      <c r="B419" s="67" t="s">
        <v>301</v>
      </c>
      <c r="C419" s="67" t="s">
        <v>252</v>
      </c>
      <c r="D419" s="67" t="s">
        <v>304</v>
      </c>
      <c r="E419" s="67">
        <v>5</v>
      </c>
      <c r="F419" s="8">
        <v>2600</v>
      </c>
    </row>
    <row r="420" spans="1:6">
      <c r="A420" s="131">
        <v>45833</v>
      </c>
      <c r="B420" s="67" t="s">
        <v>307</v>
      </c>
      <c r="C420" s="67" t="s">
        <v>253</v>
      </c>
      <c r="D420" s="67" t="s">
        <v>306</v>
      </c>
      <c r="E420" s="67">
        <v>6</v>
      </c>
      <c r="F420" s="8">
        <v>11852</v>
      </c>
    </row>
    <row r="421" spans="1:6">
      <c r="A421" s="131">
        <v>45833</v>
      </c>
      <c r="B421" s="67" t="s">
        <v>313</v>
      </c>
      <c r="C421" s="67" t="s">
        <v>254</v>
      </c>
      <c r="D421" s="67" t="s">
        <v>306</v>
      </c>
      <c r="E421" s="67">
        <v>10</v>
      </c>
      <c r="F421" s="8">
        <v>4451</v>
      </c>
    </row>
    <row r="422" spans="1:6">
      <c r="A422" s="131">
        <v>45834</v>
      </c>
      <c r="B422" s="67" t="s">
        <v>309</v>
      </c>
      <c r="C422" s="67" t="s">
        <v>253</v>
      </c>
      <c r="D422" s="67" t="s">
        <v>306</v>
      </c>
      <c r="E422" s="67">
        <v>12</v>
      </c>
      <c r="F422" s="8">
        <v>4392</v>
      </c>
    </row>
    <row r="423" spans="1:6">
      <c r="A423" s="131">
        <v>45834</v>
      </c>
      <c r="B423" s="67" t="s">
        <v>316</v>
      </c>
      <c r="C423" s="67" t="s">
        <v>287</v>
      </c>
      <c r="D423" s="67" t="s">
        <v>302</v>
      </c>
      <c r="E423" s="67">
        <v>10</v>
      </c>
      <c r="F423" s="8">
        <v>7992</v>
      </c>
    </row>
    <row r="424" spans="1:6">
      <c r="A424" s="131">
        <v>45834</v>
      </c>
      <c r="B424" s="67" t="s">
        <v>301</v>
      </c>
      <c r="C424" s="67" t="s">
        <v>287</v>
      </c>
      <c r="D424" s="67" t="s">
        <v>302</v>
      </c>
      <c r="E424" s="67">
        <v>2</v>
      </c>
      <c r="F424" s="8">
        <v>5394</v>
      </c>
    </row>
    <row r="425" spans="1:6">
      <c r="A425" s="131">
        <v>45834</v>
      </c>
      <c r="B425" s="67" t="s">
        <v>314</v>
      </c>
      <c r="C425" s="67" t="s">
        <v>253</v>
      </c>
      <c r="D425" s="67" t="s">
        <v>306</v>
      </c>
      <c r="E425" s="67">
        <v>6</v>
      </c>
      <c r="F425" s="8">
        <v>3347</v>
      </c>
    </row>
    <row r="426" spans="1:6">
      <c r="A426" s="131">
        <v>45835</v>
      </c>
      <c r="B426" s="67" t="s">
        <v>311</v>
      </c>
      <c r="C426" s="67" t="s">
        <v>287</v>
      </c>
      <c r="D426" s="67" t="s">
        <v>308</v>
      </c>
      <c r="E426" s="67">
        <v>9</v>
      </c>
      <c r="F426" s="8">
        <v>4558</v>
      </c>
    </row>
    <row r="427" spans="1:6">
      <c r="A427" s="131">
        <v>45836</v>
      </c>
      <c r="B427" s="67" t="s">
        <v>309</v>
      </c>
      <c r="C427" s="67" t="s">
        <v>253</v>
      </c>
      <c r="D427" s="67" t="s">
        <v>310</v>
      </c>
      <c r="E427" s="67">
        <v>13</v>
      </c>
      <c r="F427" s="8">
        <v>10447</v>
      </c>
    </row>
    <row r="428" spans="1:6">
      <c r="A428" s="131">
        <v>45836</v>
      </c>
      <c r="B428" s="67" t="s">
        <v>307</v>
      </c>
      <c r="C428" s="67" t="s">
        <v>287</v>
      </c>
      <c r="D428" s="67" t="s">
        <v>315</v>
      </c>
      <c r="E428" s="67">
        <v>12</v>
      </c>
      <c r="F428" s="8">
        <v>8234</v>
      </c>
    </row>
    <row r="429" spans="1:6">
      <c r="A429" s="131">
        <v>45836</v>
      </c>
      <c r="B429" s="67" t="s">
        <v>303</v>
      </c>
      <c r="C429" s="67" t="s">
        <v>254</v>
      </c>
      <c r="D429" s="67" t="s">
        <v>302</v>
      </c>
      <c r="E429" s="67">
        <v>1</v>
      </c>
      <c r="F429" s="8">
        <v>3492</v>
      </c>
    </row>
    <row r="430" spans="1:6">
      <c r="A430" s="131">
        <v>45836</v>
      </c>
      <c r="B430" s="67" t="s">
        <v>313</v>
      </c>
      <c r="C430" s="67" t="s">
        <v>287</v>
      </c>
      <c r="D430" s="67" t="s">
        <v>310</v>
      </c>
      <c r="E430" s="67">
        <v>9</v>
      </c>
      <c r="F430" s="8">
        <v>7798</v>
      </c>
    </row>
    <row r="431" spans="1:6">
      <c r="A431" s="131">
        <v>45838</v>
      </c>
      <c r="B431" s="67" t="s">
        <v>305</v>
      </c>
      <c r="C431" s="67" t="s">
        <v>252</v>
      </c>
      <c r="D431" s="67" t="s">
        <v>308</v>
      </c>
      <c r="E431" s="67">
        <v>13</v>
      </c>
      <c r="F431" s="8">
        <v>10096</v>
      </c>
    </row>
    <row r="432" spans="1:6">
      <c r="A432" s="131">
        <v>45838</v>
      </c>
      <c r="B432" s="67" t="s">
        <v>307</v>
      </c>
      <c r="C432" s="67" t="s">
        <v>253</v>
      </c>
      <c r="D432" s="67" t="s">
        <v>308</v>
      </c>
      <c r="E432" s="67">
        <v>5</v>
      </c>
      <c r="F432" s="8">
        <v>5174</v>
      </c>
    </row>
    <row r="433" spans="1:6">
      <c r="A433" s="131">
        <v>45839</v>
      </c>
      <c r="B433" s="67" t="s">
        <v>311</v>
      </c>
      <c r="C433" s="67" t="s">
        <v>287</v>
      </c>
      <c r="D433" s="67" t="s">
        <v>302</v>
      </c>
      <c r="E433" s="67">
        <v>7</v>
      </c>
      <c r="F433" s="8">
        <v>9301</v>
      </c>
    </row>
    <row r="434" spans="1:6">
      <c r="A434" s="131">
        <v>45839</v>
      </c>
      <c r="B434" s="67" t="s">
        <v>312</v>
      </c>
      <c r="C434" s="67" t="s">
        <v>287</v>
      </c>
      <c r="D434" s="67" t="s">
        <v>304</v>
      </c>
      <c r="E434" s="67">
        <v>10</v>
      </c>
      <c r="F434" s="8">
        <v>2925</v>
      </c>
    </row>
    <row r="435" spans="1:6">
      <c r="A435" s="131">
        <v>45839</v>
      </c>
      <c r="B435" s="67" t="s">
        <v>309</v>
      </c>
      <c r="C435" s="67" t="s">
        <v>252</v>
      </c>
      <c r="D435" s="67" t="s">
        <v>315</v>
      </c>
      <c r="E435" s="67">
        <v>4</v>
      </c>
      <c r="F435" s="8">
        <v>6884</v>
      </c>
    </row>
    <row r="436" spans="1:6">
      <c r="A436" s="131">
        <v>45840</v>
      </c>
      <c r="B436" s="67" t="s">
        <v>316</v>
      </c>
      <c r="C436" s="67" t="s">
        <v>253</v>
      </c>
      <c r="D436" s="67" t="s">
        <v>304</v>
      </c>
      <c r="E436" s="67">
        <v>11</v>
      </c>
      <c r="F436" s="8">
        <v>1341</v>
      </c>
    </row>
    <row r="437" spans="1:6">
      <c r="A437" s="131">
        <v>45840</v>
      </c>
      <c r="B437" s="67" t="s">
        <v>303</v>
      </c>
      <c r="C437" s="67" t="s">
        <v>254</v>
      </c>
      <c r="D437" s="67" t="s">
        <v>310</v>
      </c>
      <c r="E437" s="67">
        <v>7</v>
      </c>
      <c r="F437" s="8">
        <v>9620</v>
      </c>
    </row>
    <row r="438" spans="1:6">
      <c r="A438" s="131">
        <v>45840</v>
      </c>
      <c r="B438" s="67" t="s">
        <v>316</v>
      </c>
      <c r="C438" s="67" t="s">
        <v>254</v>
      </c>
      <c r="D438" s="67" t="s">
        <v>306</v>
      </c>
      <c r="E438" s="67">
        <v>12</v>
      </c>
      <c r="F438" s="8">
        <v>2457</v>
      </c>
    </row>
    <row r="439" spans="1:6">
      <c r="A439" s="131">
        <v>45842</v>
      </c>
      <c r="B439" s="67" t="s">
        <v>316</v>
      </c>
      <c r="C439" s="67" t="s">
        <v>252</v>
      </c>
      <c r="D439" s="67" t="s">
        <v>306</v>
      </c>
      <c r="E439" s="67">
        <v>7</v>
      </c>
      <c r="F439" s="8">
        <v>8149</v>
      </c>
    </row>
    <row r="440" spans="1:6">
      <c r="A440" s="131">
        <v>45842</v>
      </c>
      <c r="B440" s="67" t="s">
        <v>313</v>
      </c>
      <c r="C440" s="67" t="s">
        <v>252</v>
      </c>
      <c r="D440" s="67" t="s">
        <v>310</v>
      </c>
      <c r="E440" s="67">
        <v>5</v>
      </c>
      <c r="F440" s="8">
        <v>8188</v>
      </c>
    </row>
    <row r="441" spans="1:6">
      <c r="A441" s="131">
        <v>45843</v>
      </c>
      <c r="B441" s="67" t="s">
        <v>313</v>
      </c>
      <c r="C441" s="67" t="s">
        <v>254</v>
      </c>
      <c r="D441" s="67" t="s">
        <v>302</v>
      </c>
      <c r="E441" s="67">
        <v>6</v>
      </c>
      <c r="F441" s="8">
        <v>4494</v>
      </c>
    </row>
    <row r="442" spans="1:6">
      <c r="A442" s="131">
        <v>45843</v>
      </c>
      <c r="B442" s="67" t="s">
        <v>301</v>
      </c>
      <c r="C442" s="67" t="s">
        <v>287</v>
      </c>
      <c r="D442" s="67" t="s">
        <v>306</v>
      </c>
      <c r="E442" s="67">
        <v>6</v>
      </c>
      <c r="F442" s="8">
        <v>6106</v>
      </c>
    </row>
    <row r="443" spans="1:6">
      <c r="A443" s="131">
        <v>45843</v>
      </c>
      <c r="B443" s="67" t="s">
        <v>303</v>
      </c>
      <c r="C443" s="67" t="s">
        <v>287</v>
      </c>
      <c r="D443" s="67" t="s">
        <v>304</v>
      </c>
      <c r="E443" s="67">
        <v>11</v>
      </c>
      <c r="F443" s="8">
        <v>3809</v>
      </c>
    </row>
    <row r="444" spans="1:6">
      <c r="A444" s="131">
        <v>45844</v>
      </c>
      <c r="B444" s="67" t="s">
        <v>305</v>
      </c>
      <c r="C444" s="67" t="s">
        <v>287</v>
      </c>
      <c r="D444" s="67" t="s">
        <v>306</v>
      </c>
      <c r="E444" s="67">
        <v>4</v>
      </c>
      <c r="F444" s="8">
        <v>2376</v>
      </c>
    </row>
    <row r="445" spans="1:6">
      <c r="A445" s="131">
        <v>45844</v>
      </c>
      <c r="B445" s="67" t="s">
        <v>301</v>
      </c>
      <c r="C445" s="67" t="s">
        <v>287</v>
      </c>
      <c r="D445" s="67" t="s">
        <v>315</v>
      </c>
      <c r="E445" s="67">
        <v>6</v>
      </c>
      <c r="F445" s="8">
        <v>6555</v>
      </c>
    </row>
    <row r="446" spans="1:6">
      <c r="A446" s="131">
        <v>45844</v>
      </c>
      <c r="B446" s="67" t="s">
        <v>301</v>
      </c>
      <c r="C446" s="67" t="s">
        <v>253</v>
      </c>
      <c r="D446" s="67" t="s">
        <v>310</v>
      </c>
      <c r="E446" s="67">
        <v>3</v>
      </c>
      <c r="F446" s="8">
        <v>11395</v>
      </c>
    </row>
    <row r="447" spans="1:6">
      <c r="A447" s="131">
        <v>45844</v>
      </c>
      <c r="B447" s="67" t="s">
        <v>312</v>
      </c>
      <c r="C447" s="67" t="s">
        <v>253</v>
      </c>
      <c r="D447" s="67" t="s">
        <v>306</v>
      </c>
      <c r="E447" s="67">
        <v>13</v>
      </c>
      <c r="F447" s="8">
        <v>6426</v>
      </c>
    </row>
    <row r="448" spans="1:6">
      <c r="A448" s="131">
        <v>45844</v>
      </c>
      <c r="B448" s="67" t="s">
        <v>307</v>
      </c>
      <c r="C448" s="67" t="s">
        <v>254</v>
      </c>
      <c r="D448" s="67" t="s">
        <v>308</v>
      </c>
      <c r="E448" s="67">
        <v>1</v>
      </c>
      <c r="F448" s="8">
        <v>8191</v>
      </c>
    </row>
    <row r="449" spans="1:6">
      <c r="A449" s="131">
        <v>45845</v>
      </c>
      <c r="B449" s="67" t="s">
        <v>309</v>
      </c>
      <c r="C449" s="67" t="s">
        <v>254</v>
      </c>
      <c r="D449" s="67" t="s">
        <v>310</v>
      </c>
      <c r="E449" s="67">
        <v>14</v>
      </c>
      <c r="F449" s="8">
        <v>2327</v>
      </c>
    </row>
    <row r="450" spans="1:6">
      <c r="A450" s="131">
        <v>45845</v>
      </c>
      <c r="B450" s="67" t="s">
        <v>314</v>
      </c>
      <c r="C450" s="67" t="s">
        <v>254</v>
      </c>
      <c r="D450" s="67" t="s">
        <v>306</v>
      </c>
      <c r="E450" s="67">
        <v>9</v>
      </c>
      <c r="F450" s="8">
        <v>5878</v>
      </c>
    </row>
    <row r="451" spans="1:6">
      <c r="A451" s="131">
        <v>45846</v>
      </c>
      <c r="B451" s="67" t="s">
        <v>311</v>
      </c>
      <c r="C451" s="67" t="s">
        <v>252</v>
      </c>
      <c r="D451" s="67" t="s">
        <v>308</v>
      </c>
      <c r="E451" s="67">
        <v>4</v>
      </c>
      <c r="F451" s="8">
        <v>10637</v>
      </c>
    </row>
    <row r="452" spans="1:6">
      <c r="A452" s="131">
        <v>45847</v>
      </c>
      <c r="B452" s="67" t="s">
        <v>307</v>
      </c>
      <c r="C452" s="67" t="s">
        <v>287</v>
      </c>
      <c r="D452" s="67" t="s">
        <v>306</v>
      </c>
      <c r="E452" s="67">
        <v>11</v>
      </c>
      <c r="F452" s="8">
        <v>5361</v>
      </c>
    </row>
    <row r="453" spans="1:6">
      <c r="A453" s="131">
        <v>45848</v>
      </c>
      <c r="B453" s="67" t="s">
        <v>305</v>
      </c>
      <c r="C453" s="67" t="s">
        <v>253</v>
      </c>
      <c r="D453" s="67" t="s">
        <v>302</v>
      </c>
      <c r="E453" s="67">
        <v>13</v>
      </c>
      <c r="F453" s="8">
        <v>8036</v>
      </c>
    </row>
    <row r="454" spans="1:6">
      <c r="A454" s="131">
        <v>45849</v>
      </c>
      <c r="B454" s="67" t="s">
        <v>312</v>
      </c>
      <c r="C454" s="67" t="s">
        <v>254</v>
      </c>
      <c r="D454" s="67" t="s">
        <v>310</v>
      </c>
      <c r="E454" s="67">
        <v>5</v>
      </c>
      <c r="F454" s="8">
        <v>1647</v>
      </c>
    </row>
    <row r="455" spans="1:6">
      <c r="A455" s="131">
        <v>45850</v>
      </c>
      <c r="B455" s="67" t="s">
        <v>311</v>
      </c>
      <c r="C455" s="67" t="s">
        <v>254</v>
      </c>
      <c r="D455" s="67" t="s">
        <v>306</v>
      </c>
      <c r="E455" s="67">
        <v>4</v>
      </c>
      <c r="F455" s="8">
        <v>7634</v>
      </c>
    </row>
    <row r="456" spans="1:6">
      <c r="A456" s="131">
        <v>45850</v>
      </c>
      <c r="B456" s="67" t="s">
        <v>307</v>
      </c>
      <c r="C456" s="67" t="s">
        <v>252</v>
      </c>
      <c r="D456" s="67" t="s">
        <v>308</v>
      </c>
      <c r="E456" s="67">
        <v>8</v>
      </c>
      <c r="F456" s="8">
        <v>3980</v>
      </c>
    </row>
    <row r="457" spans="1:6">
      <c r="A457" s="131">
        <v>45851</v>
      </c>
      <c r="B457" s="67" t="s">
        <v>301</v>
      </c>
      <c r="C457" s="67" t="s">
        <v>253</v>
      </c>
      <c r="D457" s="67" t="s">
        <v>308</v>
      </c>
      <c r="E457" s="67">
        <v>4</v>
      </c>
      <c r="F457" s="8">
        <v>10248</v>
      </c>
    </row>
    <row r="458" spans="1:6">
      <c r="A458" s="131">
        <v>45851</v>
      </c>
      <c r="B458" s="67" t="s">
        <v>312</v>
      </c>
      <c r="C458" s="67" t="s">
        <v>253</v>
      </c>
      <c r="D458" s="67" t="s">
        <v>304</v>
      </c>
      <c r="E458" s="67">
        <v>12</v>
      </c>
      <c r="F458" s="8">
        <v>9236</v>
      </c>
    </row>
    <row r="459" spans="1:6">
      <c r="A459" s="131">
        <v>45851</v>
      </c>
      <c r="B459" s="67" t="s">
        <v>316</v>
      </c>
      <c r="C459" s="67" t="s">
        <v>252</v>
      </c>
      <c r="D459" s="67" t="s">
        <v>306</v>
      </c>
      <c r="E459" s="67">
        <v>2</v>
      </c>
      <c r="F459" s="8">
        <v>8615</v>
      </c>
    </row>
    <row r="460" spans="1:6">
      <c r="A460" s="131">
        <v>45852</v>
      </c>
      <c r="B460" s="67" t="s">
        <v>309</v>
      </c>
      <c r="C460" s="67" t="s">
        <v>253</v>
      </c>
      <c r="D460" s="67" t="s">
        <v>304</v>
      </c>
      <c r="E460" s="67">
        <v>8</v>
      </c>
      <c r="F460" s="8">
        <v>4063</v>
      </c>
    </row>
    <row r="461" spans="1:6">
      <c r="A461" s="131">
        <v>45852</v>
      </c>
      <c r="B461" s="67" t="s">
        <v>301</v>
      </c>
      <c r="C461" s="67" t="s">
        <v>287</v>
      </c>
      <c r="D461" s="67" t="s">
        <v>306</v>
      </c>
      <c r="E461" s="67">
        <v>9</v>
      </c>
      <c r="F461" s="8">
        <v>5406</v>
      </c>
    </row>
    <row r="462" spans="1:6">
      <c r="A462" s="131">
        <v>45852</v>
      </c>
      <c r="B462" s="67" t="s">
        <v>301</v>
      </c>
      <c r="C462" s="67" t="s">
        <v>253</v>
      </c>
      <c r="D462" s="67" t="s">
        <v>315</v>
      </c>
      <c r="E462" s="67">
        <v>7</v>
      </c>
      <c r="F462" s="8">
        <v>4166</v>
      </c>
    </row>
    <row r="463" spans="1:6">
      <c r="A463" s="131">
        <v>45852</v>
      </c>
      <c r="B463" s="67" t="s">
        <v>312</v>
      </c>
      <c r="C463" s="67" t="s">
        <v>287</v>
      </c>
      <c r="D463" s="67" t="s">
        <v>315</v>
      </c>
      <c r="E463" s="67">
        <v>12</v>
      </c>
      <c r="F463" s="8">
        <v>3359</v>
      </c>
    </row>
    <row r="464" spans="1:6">
      <c r="A464" s="131">
        <v>45853</v>
      </c>
      <c r="B464" s="67" t="s">
        <v>314</v>
      </c>
      <c r="C464" s="67" t="s">
        <v>253</v>
      </c>
      <c r="D464" s="67" t="s">
        <v>302</v>
      </c>
      <c r="E464" s="67">
        <v>13</v>
      </c>
      <c r="F464" s="8">
        <v>7363</v>
      </c>
    </row>
    <row r="465" spans="1:6">
      <c r="A465" s="131">
        <v>45854</v>
      </c>
      <c r="B465" s="67" t="s">
        <v>305</v>
      </c>
      <c r="C465" s="67" t="s">
        <v>253</v>
      </c>
      <c r="D465" s="67" t="s">
        <v>310</v>
      </c>
      <c r="E465" s="67">
        <v>12</v>
      </c>
      <c r="F465" s="8">
        <v>3560</v>
      </c>
    </row>
    <row r="466" spans="1:6">
      <c r="A466" s="131">
        <v>45854</v>
      </c>
      <c r="B466" s="67" t="s">
        <v>311</v>
      </c>
      <c r="C466" s="67" t="s">
        <v>252</v>
      </c>
      <c r="D466" s="67" t="s">
        <v>308</v>
      </c>
      <c r="E466" s="67">
        <v>5</v>
      </c>
      <c r="F466" s="8">
        <v>8727</v>
      </c>
    </row>
    <row r="467" spans="1:6">
      <c r="A467" s="131">
        <v>45854</v>
      </c>
      <c r="B467" s="67" t="s">
        <v>307</v>
      </c>
      <c r="C467" s="67" t="s">
        <v>253</v>
      </c>
      <c r="D467" s="67" t="s">
        <v>310</v>
      </c>
      <c r="E467" s="67">
        <v>1</v>
      </c>
      <c r="F467" s="8">
        <v>2048</v>
      </c>
    </row>
    <row r="468" spans="1:6">
      <c r="A468" s="131">
        <v>45855</v>
      </c>
      <c r="B468" s="67" t="s">
        <v>307</v>
      </c>
      <c r="C468" s="67" t="s">
        <v>254</v>
      </c>
      <c r="D468" s="67" t="s">
        <v>315</v>
      </c>
      <c r="E468" s="67">
        <v>7</v>
      </c>
      <c r="F468" s="8">
        <v>9832</v>
      </c>
    </row>
    <row r="469" spans="1:6">
      <c r="A469" s="131">
        <v>45855</v>
      </c>
      <c r="B469" s="67" t="s">
        <v>303</v>
      </c>
      <c r="C469" s="67" t="s">
        <v>287</v>
      </c>
      <c r="D469" s="67" t="s">
        <v>306</v>
      </c>
      <c r="E469" s="67">
        <v>6</v>
      </c>
      <c r="F469" s="8">
        <v>10873</v>
      </c>
    </row>
    <row r="470" spans="1:6">
      <c r="A470" s="131">
        <v>45856</v>
      </c>
      <c r="B470" s="67" t="s">
        <v>305</v>
      </c>
      <c r="C470" s="67" t="s">
        <v>252</v>
      </c>
      <c r="D470" s="67" t="s">
        <v>315</v>
      </c>
      <c r="E470" s="67">
        <v>8</v>
      </c>
      <c r="F470" s="8">
        <v>3972</v>
      </c>
    </row>
    <row r="471" spans="1:6">
      <c r="A471" s="131">
        <v>45856</v>
      </c>
      <c r="B471" s="67" t="s">
        <v>311</v>
      </c>
      <c r="C471" s="67" t="s">
        <v>254</v>
      </c>
      <c r="D471" s="67" t="s">
        <v>315</v>
      </c>
      <c r="E471" s="67">
        <v>9</v>
      </c>
      <c r="F471" s="8">
        <v>7404</v>
      </c>
    </row>
    <row r="472" spans="1:6">
      <c r="A472" s="131">
        <v>45857</v>
      </c>
      <c r="B472" s="67" t="s">
        <v>316</v>
      </c>
      <c r="C472" s="67" t="s">
        <v>254</v>
      </c>
      <c r="D472" s="67" t="s">
        <v>308</v>
      </c>
      <c r="E472" s="67">
        <v>7</v>
      </c>
      <c r="F472" s="8">
        <v>7772</v>
      </c>
    </row>
    <row r="473" spans="1:6">
      <c r="A473" s="131">
        <v>45857</v>
      </c>
      <c r="B473" s="67" t="s">
        <v>305</v>
      </c>
      <c r="C473" s="67" t="s">
        <v>253</v>
      </c>
      <c r="D473" s="67" t="s">
        <v>306</v>
      </c>
      <c r="E473" s="67">
        <v>14</v>
      </c>
      <c r="F473" s="8">
        <v>6247</v>
      </c>
    </row>
    <row r="474" spans="1:6">
      <c r="A474" s="131">
        <v>45857</v>
      </c>
      <c r="B474" s="67" t="s">
        <v>314</v>
      </c>
      <c r="C474" s="67" t="s">
        <v>253</v>
      </c>
      <c r="D474" s="67" t="s">
        <v>302</v>
      </c>
      <c r="E474" s="67">
        <v>4</v>
      </c>
      <c r="F474" s="8">
        <v>3382</v>
      </c>
    </row>
    <row r="475" spans="1:6">
      <c r="A475" s="131">
        <v>45858</v>
      </c>
      <c r="B475" s="67" t="s">
        <v>307</v>
      </c>
      <c r="C475" s="67" t="s">
        <v>287</v>
      </c>
      <c r="D475" s="67" t="s">
        <v>302</v>
      </c>
      <c r="E475" s="67">
        <v>11</v>
      </c>
      <c r="F475" s="8">
        <v>5998</v>
      </c>
    </row>
    <row r="476" spans="1:6">
      <c r="A476" s="131">
        <v>45858</v>
      </c>
      <c r="B476" s="67" t="s">
        <v>301</v>
      </c>
      <c r="C476" s="67" t="s">
        <v>287</v>
      </c>
      <c r="D476" s="67" t="s">
        <v>302</v>
      </c>
      <c r="E476" s="67">
        <v>4</v>
      </c>
      <c r="F476" s="8">
        <v>3417</v>
      </c>
    </row>
    <row r="477" spans="1:6">
      <c r="A477" s="131">
        <v>45860</v>
      </c>
      <c r="B477" s="67" t="s">
        <v>309</v>
      </c>
      <c r="C477" s="67" t="s">
        <v>254</v>
      </c>
      <c r="D477" s="67" t="s">
        <v>310</v>
      </c>
      <c r="E477" s="67">
        <v>4</v>
      </c>
      <c r="F477" s="8">
        <v>2597</v>
      </c>
    </row>
    <row r="478" spans="1:6">
      <c r="A478" s="131">
        <v>45861</v>
      </c>
      <c r="B478" s="67" t="s">
        <v>312</v>
      </c>
      <c r="C478" s="67" t="s">
        <v>252</v>
      </c>
      <c r="D478" s="67" t="s">
        <v>310</v>
      </c>
      <c r="E478" s="67">
        <v>3</v>
      </c>
      <c r="F478" s="8">
        <v>4995</v>
      </c>
    </row>
    <row r="479" spans="1:6">
      <c r="A479" s="131">
        <v>45861</v>
      </c>
      <c r="B479" s="67" t="s">
        <v>314</v>
      </c>
      <c r="C479" s="67" t="s">
        <v>287</v>
      </c>
      <c r="D479" s="67" t="s">
        <v>315</v>
      </c>
      <c r="E479" s="67">
        <v>4</v>
      </c>
      <c r="F479" s="8">
        <v>3316</v>
      </c>
    </row>
    <row r="480" spans="1:6">
      <c r="A480" s="131">
        <v>45862</v>
      </c>
      <c r="B480" s="67" t="s">
        <v>313</v>
      </c>
      <c r="C480" s="67" t="s">
        <v>254</v>
      </c>
      <c r="D480" s="67" t="s">
        <v>308</v>
      </c>
      <c r="E480" s="67">
        <v>14</v>
      </c>
      <c r="F480" s="8">
        <v>5587</v>
      </c>
    </row>
    <row r="481" spans="1:6">
      <c r="A481" s="131">
        <v>45862</v>
      </c>
      <c r="B481" s="67" t="s">
        <v>316</v>
      </c>
      <c r="C481" s="67" t="s">
        <v>254</v>
      </c>
      <c r="D481" s="67" t="s">
        <v>302</v>
      </c>
      <c r="E481" s="67">
        <v>4</v>
      </c>
      <c r="F481" s="8">
        <v>8654</v>
      </c>
    </row>
    <row r="482" spans="1:6">
      <c r="A482" s="131">
        <v>45862</v>
      </c>
      <c r="B482" s="67" t="s">
        <v>316</v>
      </c>
      <c r="C482" s="67" t="s">
        <v>287</v>
      </c>
      <c r="D482" s="67" t="s">
        <v>315</v>
      </c>
      <c r="E482" s="67">
        <v>3</v>
      </c>
      <c r="F482" s="8">
        <v>5624</v>
      </c>
    </row>
    <row r="483" spans="1:6">
      <c r="A483" s="131">
        <v>45863</v>
      </c>
      <c r="B483" s="67" t="s">
        <v>301</v>
      </c>
      <c r="C483" s="67" t="s">
        <v>254</v>
      </c>
      <c r="D483" s="67" t="s">
        <v>302</v>
      </c>
      <c r="E483" s="67">
        <v>2</v>
      </c>
      <c r="F483" s="8">
        <v>8457</v>
      </c>
    </row>
    <row r="484" spans="1:6">
      <c r="A484" s="131">
        <v>45863</v>
      </c>
      <c r="B484" s="67" t="s">
        <v>312</v>
      </c>
      <c r="C484" s="67" t="s">
        <v>253</v>
      </c>
      <c r="D484" s="67" t="s">
        <v>302</v>
      </c>
      <c r="E484" s="67">
        <v>12</v>
      </c>
      <c r="F484" s="8">
        <v>3993</v>
      </c>
    </row>
    <row r="485" spans="1:6">
      <c r="A485" s="131">
        <v>45863</v>
      </c>
      <c r="B485" s="67" t="s">
        <v>314</v>
      </c>
      <c r="C485" s="67" t="s">
        <v>254</v>
      </c>
      <c r="D485" s="67" t="s">
        <v>315</v>
      </c>
      <c r="E485" s="67">
        <v>7</v>
      </c>
      <c r="F485" s="8">
        <v>5612</v>
      </c>
    </row>
    <row r="486" spans="1:6">
      <c r="A486" s="131">
        <v>45863</v>
      </c>
      <c r="B486" s="67" t="s">
        <v>305</v>
      </c>
      <c r="C486" s="67" t="s">
        <v>287</v>
      </c>
      <c r="D486" s="67" t="s">
        <v>308</v>
      </c>
      <c r="E486" s="67">
        <v>2</v>
      </c>
      <c r="F486" s="8">
        <v>2509</v>
      </c>
    </row>
    <row r="487" spans="1:6">
      <c r="A487" s="131">
        <v>45864</v>
      </c>
      <c r="B487" s="67" t="s">
        <v>312</v>
      </c>
      <c r="C487" s="67" t="s">
        <v>253</v>
      </c>
      <c r="D487" s="67" t="s">
        <v>310</v>
      </c>
      <c r="E487" s="67">
        <v>8</v>
      </c>
      <c r="F487" s="8">
        <v>8770</v>
      </c>
    </row>
    <row r="488" spans="1:6">
      <c r="A488" s="131">
        <v>45864</v>
      </c>
      <c r="B488" s="67" t="s">
        <v>303</v>
      </c>
      <c r="C488" s="67" t="s">
        <v>252</v>
      </c>
      <c r="D488" s="67" t="s">
        <v>315</v>
      </c>
      <c r="E488" s="67">
        <v>13</v>
      </c>
      <c r="F488" s="8">
        <v>5886</v>
      </c>
    </row>
    <row r="489" spans="1:6">
      <c r="A489" s="131">
        <v>45864</v>
      </c>
      <c r="B489" s="67" t="s">
        <v>301</v>
      </c>
      <c r="C489" s="67" t="s">
        <v>254</v>
      </c>
      <c r="D489" s="67" t="s">
        <v>308</v>
      </c>
      <c r="E489" s="67">
        <v>7</v>
      </c>
      <c r="F489" s="8">
        <v>8508</v>
      </c>
    </row>
    <row r="490" spans="1:6">
      <c r="A490" s="131">
        <v>45864</v>
      </c>
      <c r="B490" s="67" t="s">
        <v>307</v>
      </c>
      <c r="C490" s="67" t="s">
        <v>252</v>
      </c>
      <c r="D490" s="67" t="s">
        <v>302</v>
      </c>
      <c r="E490" s="67">
        <v>14</v>
      </c>
      <c r="F490" s="8">
        <v>8823</v>
      </c>
    </row>
    <row r="491" spans="1:6">
      <c r="A491" s="131">
        <v>45864</v>
      </c>
      <c r="B491" s="67" t="s">
        <v>311</v>
      </c>
      <c r="C491" s="67" t="s">
        <v>287</v>
      </c>
      <c r="D491" s="67" t="s">
        <v>315</v>
      </c>
      <c r="E491" s="67">
        <v>10</v>
      </c>
      <c r="F491" s="8">
        <v>1374</v>
      </c>
    </row>
    <row r="492" spans="1:6">
      <c r="A492" s="131">
        <v>45865</v>
      </c>
      <c r="B492" s="67" t="s">
        <v>309</v>
      </c>
      <c r="C492" s="67" t="s">
        <v>254</v>
      </c>
      <c r="D492" s="67" t="s">
        <v>315</v>
      </c>
      <c r="E492" s="67">
        <v>4</v>
      </c>
      <c r="F492" s="8">
        <v>2346</v>
      </c>
    </row>
    <row r="493" spans="1:6">
      <c r="A493" s="131">
        <v>45866</v>
      </c>
      <c r="B493" s="67" t="s">
        <v>316</v>
      </c>
      <c r="C493" s="67" t="s">
        <v>287</v>
      </c>
      <c r="D493" s="67" t="s">
        <v>310</v>
      </c>
      <c r="E493" s="67">
        <v>4</v>
      </c>
      <c r="F493" s="8">
        <v>8587</v>
      </c>
    </row>
    <row r="494" spans="1:6">
      <c r="A494" s="131">
        <v>45866</v>
      </c>
      <c r="B494" s="67" t="s">
        <v>316</v>
      </c>
      <c r="C494" s="67" t="s">
        <v>252</v>
      </c>
      <c r="D494" s="67" t="s">
        <v>315</v>
      </c>
      <c r="E494" s="67">
        <v>3</v>
      </c>
      <c r="F494" s="8">
        <v>8635</v>
      </c>
    </row>
    <row r="495" spans="1:6">
      <c r="A495" s="131">
        <v>45866</v>
      </c>
      <c r="B495" s="67" t="s">
        <v>305</v>
      </c>
      <c r="C495" s="67" t="s">
        <v>253</v>
      </c>
      <c r="D495" s="67" t="s">
        <v>302</v>
      </c>
      <c r="E495" s="67">
        <v>7</v>
      </c>
      <c r="F495" s="8">
        <v>4062</v>
      </c>
    </row>
    <row r="496" spans="1:6">
      <c r="A496" s="131">
        <v>45867</v>
      </c>
      <c r="B496" s="67" t="s">
        <v>309</v>
      </c>
      <c r="C496" s="67" t="s">
        <v>253</v>
      </c>
      <c r="D496" s="67" t="s">
        <v>315</v>
      </c>
      <c r="E496" s="67">
        <v>11</v>
      </c>
      <c r="F496" s="8">
        <v>9930</v>
      </c>
    </row>
    <row r="497" spans="1:6">
      <c r="A497" s="131">
        <v>45867</v>
      </c>
      <c r="B497" s="67" t="s">
        <v>305</v>
      </c>
      <c r="C497" s="67" t="s">
        <v>254</v>
      </c>
      <c r="D497" s="67" t="s">
        <v>315</v>
      </c>
      <c r="E497" s="67">
        <v>12</v>
      </c>
      <c r="F497" s="8">
        <v>11393</v>
      </c>
    </row>
    <row r="498" spans="1:6">
      <c r="A498" s="131">
        <v>45867</v>
      </c>
      <c r="B498" s="67" t="s">
        <v>316</v>
      </c>
      <c r="C498" s="67" t="s">
        <v>254</v>
      </c>
      <c r="D498" s="67" t="s">
        <v>310</v>
      </c>
      <c r="E498" s="67">
        <v>10</v>
      </c>
      <c r="F498" s="8">
        <v>4398</v>
      </c>
    </row>
    <row r="499" spans="1:6">
      <c r="A499" s="131">
        <v>45868</v>
      </c>
      <c r="B499" s="67" t="s">
        <v>313</v>
      </c>
      <c r="C499" s="67" t="s">
        <v>254</v>
      </c>
      <c r="D499" s="67" t="s">
        <v>315</v>
      </c>
      <c r="E499" s="67">
        <v>6</v>
      </c>
      <c r="F499" s="8">
        <v>9881</v>
      </c>
    </row>
    <row r="500" spans="1:6">
      <c r="A500" s="131">
        <v>45869</v>
      </c>
      <c r="B500" s="67" t="s">
        <v>301</v>
      </c>
      <c r="C500" s="67" t="s">
        <v>254</v>
      </c>
      <c r="D500" s="67" t="s">
        <v>315</v>
      </c>
      <c r="E500" s="67">
        <v>9</v>
      </c>
      <c r="F500" s="8">
        <v>7987</v>
      </c>
    </row>
    <row r="501" spans="1:6">
      <c r="A501" s="131">
        <v>45869</v>
      </c>
      <c r="B501" s="67" t="s">
        <v>309</v>
      </c>
      <c r="C501" s="67" t="s">
        <v>254</v>
      </c>
      <c r="D501" s="67" t="s">
        <v>308</v>
      </c>
      <c r="E501" s="67">
        <v>13</v>
      </c>
      <c r="F501" s="8">
        <v>7471</v>
      </c>
    </row>
    <row r="502" spans="1:6">
      <c r="A502" s="131">
        <v>45869</v>
      </c>
      <c r="B502" s="67" t="s">
        <v>312</v>
      </c>
      <c r="C502" s="67" t="s">
        <v>253</v>
      </c>
      <c r="D502" s="67" t="s">
        <v>302</v>
      </c>
      <c r="E502" s="67">
        <v>10</v>
      </c>
      <c r="F502" s="8">
        <v>5829</v>
      </c>
    </row>
    <row r="503" spans="1:6">
      <c r="A503" s="131">
        <v>45869</v>
      </c>
      <c r="B503" s="67" t="s">
        <v>307</v>
      </c>
      <c r="C503" s="67" t="s">
        <v>254</v>
      </c>
      <c r="D503" s="67" t="s">
        <v>306</v>
      </c>
      <c r="E503" s="67">
        <v>9</v>
      </c>
      <c r="F503" s="8">
        <v>8620</v>
      </c>
    </row>
    <row r="504" spans="1:6">
      <c r="A504" s="131">
        <v>45869</v>
      </c>
      <c r="B504" s="67" t="s">
        <v>313</v>
      </c>
      <c r="C504" s="67" t="s">
        <v>254</v>
      </c>
      <c r="D504" s="67" t="s">
        <v>315</v>
      </c>
      <c r="E504" s="67">
        <v>5</v>
      </c>
      <c r="F504" s="8">
        <v>3529</v>
      </c>
    </row>
    <row r="505" spans="1:6">
      <c r="A505" s="131">
        <v>45870</v>
      </c>
      <c r="B505" s="67" t="s">
        <v>314</v>
      </c>
      <c r="C505" s="67" t="s">
        <v>254</v>
      </c>
      <c r="D505" s="67" t="s">
        <v>308</v>
      </c>
      <c r="E505" s="67">
        <v>2</v>
      </c>
      <c r="F505" s="8">
        <v>950</v>
      </c>
    </row>
    <row r="506" spans="1:6">
      <c r="A506" s="131">
        <v>45871</v>
      </c>
      <c r="B506" s="67" t="s">
        <v>305</v>
      </c>
      <c r="C506" s="67" t="s">
        <v>287</v>
      </c>
      <c r="D506" s="67" t="s">
        <v>315</v>
      </c>
      <c r="E506" s="67">
        <v>9</v>
      </c>
      <c r="F506" s="8">
        <v>4591</v>
      </c>
    </row>
    <row r="507" spans="1:6">
      <c r="A507" s="131">
        <v>45871</v>
      </c>
      <c r="B507" s="67" t="s">
        <v>305</v>
      </c>
      <c r="C507" s="67" t="s">
        <v>287</v>
      </c>
      <c r="D507" s="67" t="s">
        <v>304</v>
      </c>
      <c r="E507" s="67">
        <v>3</v>
      </c>
      <c r="F507" s="8">
        <v>7203</v>
      </c>
    </row>
    <row r="508" spans="1:6">
      <c r="A508" s="131">
        <v>45871</v>
      </c>
      <c r="B508" s="67" t="s">
        <v>301</v>
      </c>
      <c r="C508" s="67" t="s">
        <v>253</v>
      </c>
      <c r="D508" s="67" t="s">
        <v>304</v>
      </c>
      <c r="E508" s="67">
        <v>6</v>
      </c>
      <c r="F508" s="8">
        <v>8673</v>
      </c>
    </row>
    <row r="509" spans="1:6">
      <c r="A509" s="131">
        <v>45871</v>
      </c>
      <c r="B509" s="67" t="s">
        <v>305</v>
      </c>
      <c r="C509" s="67" t="s">
        <v>287</v>
      </c>
      <c r="D509" s="67" t="s">
        <v>308</v>
      </c>
      <c r="E509" s="67">
        <v>14</v>
      </c>
      <c r="F509" s="8">
        <v>1900</v>
      </c>
    </row>
    <row r="510" spans="1:6">
      <c r="A510" s="131">
        <v>45873</v>
      </c>
      <c r="B510" s="67" t="s">
        <v>309</v>
      </c>
      <c r="C510" s="67" t="s">
        <v>253</v>
      </c>
      <c r="D510" s="67" t="s">
        <v>302</v>
      </c>
      <c r="E510" s="67">
        <v>13</v>
      </c>
      <c r="F510" s="8">
        <v>2339</v>
      </c>
    </row>
    <row r="511" spans="1:6">
      <c r="A511" s="131">
        <v>45873</v>
      </c>
      <c r="B511" s="67" t="s">
        <v>316</v>
      </c>
      <c r="C511" s="67" t="s">
        <v>252</v>
      </c>
      <c r="D511" s="67" t="s">
        <v>315</v>
      </c>
      <c r="E511" s="67">
        <v>4</v>
      </c>
      <c r="F511" s="8">
        <v>4242</v>
      </c>
    </row>
    <row r="512" spans="1:6">
      <c r="A512" s="131">
        <v>45873</v>
      </c>
      <c r="B512" s="67" t="s">
        <v>301</v>
      </c>
      <c r="C512" s="67" t="s">
        <v>254</v>
      </c>
      <c r="D512" s="67" t="s">
        <v>302</v>
      </c>
      <c r="E512" s="67">
        <v>3</v>
      </c>
      <c r="F512" s="8">
        <v>11129</v>
      </c>
    </row>
    <row r="513" spans="1:6">
      <c r="A513" s="131">
        <v>45873</v>
      </c>
      <c r="B513" s="67" t="s">
        <v>312</v>
      </c>
      <c r="C513" s="67" t="s">
        <v>252</v>
      </c>
      <c r="D513" s="67" t="s">
        <v>306</v>
      </c>
      <c r="E513" s="67">
        <v>3</v>
      </c>
      <c r="F513" s="8">
        <v>2366</v>
      </c>
    </row>
    <row r="514" spans="1:6">
      <c r="A514" s="131">
        <v>45873</v>
      </c>
      <c r="B514" s="67" t="s">
        <v>311</v>
      </c>
      <c r="C514" s="67" t="s">
        <v>254</v>
      </c>
      <c r="D514" s="67" t="s">
        <v>315</v>
      </c>
      <c r="E514" s="67">
        <v>6</v>
      </c>
      <c r="F514" s="8">
        <v>10882</v>
      </c>
    </row>
    <row r="515" spans="1:6">
      <c r="A515" s="131">
        <v>45873</v>
      </c>
      <c r="B515" s="67" t="s">
        <v>305</v>
      </c>
      <c r="C515" s="67" t="s">
        <v>252</v>
      </c>
      <c r="D515" s="67" t="s">
        <v>302</v>
      </c>
      <c r="E515" s="67">
        <v>14</v>
      </c>
      <c r="F515" s="8">
        <v>7025</v>
      </c>
    </row>
    <row r="516" spans="1:6">
      <c r="A516" s="131">
        <v>45874</v>
      </c>
      <c r="B516" s="67" t="s">
        <v>316</v>
      </c>
      <c r="C516" s="67" t="s">
        <v>254</v>
      </c>
      <c r="D516" s="67" t="s">
        <v>306</v>
      </c>
      <c r="E516" s="67">
        <v>3</v>
      </c>
      <c r="F516" s="8">
        <v>4959</v>
      </c>
    </row>
    <row r="517" spans="1:6">
      <c r="A517" s="131">
        <v>45874</v>
      </c>
      <c r="B517" s="67" t="s">
        <v>309</v>
      </c>
      <c r="C517" s="67" t="s">
        <v>254</v>
      </c>
      <c r="D517" s="67" t="s">
        <v>310</v>
      </c>
      <c r="E517" s="67">
        <v>8</v>
      </c>
      <c r="F517" s="8">
        <v>9376</v>
      </c>
    </row>
    <row r="518" spans="1:6">
      <c r="A518" s="131">
        <v>45874</v>
      </c>
      <c r="B518" s="67" t="s">
        <v>316</v>
      </c>
      <c r="C518" s="67" t="s">
        <v>287</v>
      </c>
      <c r="D518" s="67" t="s">
        <v>302</v>
      </c>
      <c r="E518" s="67">
        <v>2</v>
      </c>
      <c r="F518" s="8">
        <v>9466</v>
      </c>
    </row>
    <row r="519" spans="1:6">
      <c r="A519" s="131">
        <v>45875</v>
      </c>
      <c r="B519" s="67" t="s">
        <v>307</v>
      </c>
      <c r="C519" s="67" t="s">
        <v>252</v>
      </c>
      <c r="D519" s="67" t="s">
        <v>315</v>
      </c>
      <c r="E519" s="67">
        <v>7</v>
      </c>
      <c r="F519" s="8">
        <v>9049</v>
      </c>
    </row>
    <row r="520" spans="1:6">
      <c r="A520" s="131">
        <v>45876</v>
      </c>
      <c r="B520" s="67" t="s">
        <v>307</v>
      </c>
      <c r="C520" s="67" t="s">
        <v>254</v>
      </c>
      <c r="D520" s="67" t="s">
        <v>302</v>
      </c>
      <c r="E520" s="67">
        <v>14</v>
      </c>
      <c r="F520" s="8">
        <v>2499</v>
      </c>
    </row>
    <row r="521" spans="1:6">
      <c r="A521" s="131">
        <v>45876</v>
      </c>
      <c r="B521" s="67" t="s">
        <v>309</v>
      </c>
      <c r="C521" s="67" t="s">
        <v>254</v>
      </c>
      <c r="D521" s="67" t="s">
        <v>310</v>
      </c>
      <c r="E521" s="67">
        <v>2</v>
      </c>
      <c r="F521" s="8">
        <v>10104</v>
      </c>
    </row>
    <row r="522" spans="1:6">
      <c r="A522" s="131">
        <v>45877</v>
      </c>
      <c r="B522" s="67" t="s">
        <v>303</v>
      </c>
      <c r="C522" s="67" t="s">
        <v>253</v>
      </c>
      <c r="D522" s="67" t="s">
        <v>315</v>
      </c>
      <c r="E522" s="67">
        <v>5</v>
      </c>
      <c r="F522" s="8">
        <v>6479</v>
      </c>
    </row>
    <row r="523" spans="1:6">
      <c r="A523" s="131">
        <v>45877</v>
      </c>
      <c r="B523" s="67" t="s">
        <v>316</v>
      </c>
      <c r="C523" s="67" t="s">
        <v>253</v>
      </c>
      <c r="D523" s="67" t="s">
        <v>306</v>
      </c>
      <c r="E523" s="67">
        <v>12</v>
      </c>
      <c r="F523" s="8">
        <v>6204</v>
      </c>
    </row>
    <row r="524" spans="1:6">
      <c r="A524" s="131">
        <v>45877</v>
      </c>
      <c r="B524" s="67" t="s">
        <v>301</v>
      </c>
      <c r="C524" s="67" t="s">
        <v>254</v>
      </c>
      <c r="D524" s="67" t="s">
        <v>306</v>
      </c>
      <c r="E524" s="67">
        <v>7</v>
      </c>
      <c r="F524" s="8">
        <v>4900</v>
      </c>
    </row>
    <row r="525" spans="1:6">
      <c r="A525" s="131">
        <v>45878</v>
      </c>
      <c r="B525" s="67" t="s">
        <v>301</v>
      </c>
      <c r="C525" s="67" t="s">
        <v>252</v>
      </c>
      <c r="D525" s="67" t="s">
        <v>315</v>
      </c>
      <c r="E525" s="67">
        <v>3</v>
      </c>
      <c r="F525" s="8">
        <v>7772</v>
      </c>
    </row>
    <row r="526" spans="1:6">
      <c r="A526" s="131">
        <v>45879</v>
      </c>
      <c r="B526" s="67" t="s">
        <v>312</v>
      </c>
      <c r="C526" s="67" t="s">
        <v>253</v>
      </c>
      <c r="D526" s="67" t="s">
        <v>308</v>
      </c>
      <c r="E526" s="67">
        <v>12</v>
      </c>
      <c r="F526" s="8">
        <v>3482</v>
      </c>
    </row>
    <row r="527" spans="1:6">
      <c r="A527" s="131">
        <v>45880</v>
      </c>
      <c r="B527" s="67" t="s">
        <v>313</v>
      </c>
      <c r="C527" s="67" t="s">
        <v>252</v>
      </c>
      <c r="D527" s="67" t="s">
        <v>310</v>
      </c>
      <c r="E527" s="67">
        <v>9</v>
      </c>
      <c r="F527" s="8">
        <v>7478</v>
      </c>
    </row>
    <row r="528" spans="1:6">
      <c r="A528" s="131">
        <v>45880</v>
      </c>
      <c r="B528" s="67" t="s">
        <v>303</v>
      </c>
      <c r="C528" s="67" t="s">
        <v>252</v>
      </c>
      <c r="D528" s="67" t="s">
        <v>302</v>
      </c>
      <c r="E528" s="67">
        <v>9</v>
      </c>
      <c r="F528" s="8">
        <v>1504</v>
      </c>
    </row>
    <row r="529" spans="1:6">
      <c r="A529" s="131">
        <v>45881</v>
      </c>
      <c r="B529" s="67" t="s">
        <v>313</v>
      </c>
      <c r="C529" s="67" t="s">
        <v>287</v>
      </c>
      <c r="D529" s="67" t="s">
        <v>310</v>
      </c>
      <c r="E529" s="67">
        <v>14</v>
      </c>
      <c r="F529" s="8">
        <v>1009</v>
      </c>
    </row>
    <row r="530" spans="1:6">
      <c r="A530" s="131">
        <v>45882</v>
      </c>
      <c r="B530" s="67" t="s">
        <v>314</v>
      </c>
      <c r="C530" s="67" t="s">
        <v>254</v>
      </c>
      <c r="D530" s="67" t="s">
        <v>306</v>
      </c>
      <c r="E530" s="67">
        <v>2</v>
      </c>
      <c r="F530" s="8">
        <v>5979</v>
      </c>
    </row>
    <row r="531" spans="1:6">
      <c r="A531" s="131">
        <v>45882</v>
      </c>
      <c r="B531" s="67" t="s">
        <v>309</v>
      </c>
      <c r="C531" s="67" t="s">
        <v>253</v>
      </c>
      <c r="D531" s="67" t="s">
        <v>304</v>
      </c>
      <c r="E531" s="67">
        <v>8</v>
      </c>
      <c r="F531" s="8">
        <v>1649</v>
      </c>
    </row>
    <row r="532" spans="1:6">
      <c r="A532" s="131">
        <v>45883</v>
      </c>
      <c r="B532" s="67" t="s">
        <v>311</v>
      </c>
      <c r="C532" s="67" t="s">
        <v>252</v>
      </c>
      <c r="D532" s="67" t="s">
        <v>315</v>
      </c>
      <c r="E532" s="67">
        <v>10</v>
      </c>
      <c r="F532" s="8">
        <v>6882</v>
      </c>
    </row>
    <row r="533" spans="1:6">
      <c r="A533" s="131">
        <v>45883</v>
      </c>
      <c r="B533" s="67" t="s">
        <v>313</v>
      </c>
      <c r="C533" s="67" t="s">
        <v>254</v>
      </c>
      <c r="D533" s="67" t="s">
        <v>302</v>
      </c>
      <c r="E533" s="67">
        <v>6</v>
      </c>
      <c r="F533" s="8">
        <v>3120</v>
      </c>
    </row>
    <row r="534" spans="1:6">
      <c r="A534" s="131">
        <v>45883</v>
      </c>
      <c r="B534" s="67" t="s">
        <v>303</v>
      </c>
      <c r="C534" s="67" t="s">
        <v>252</v>
      </c>
      <c r="D534" s="67" t="s">
        <v>310</v>
      </c>
      <c r="E534" s="67">
        <v>8</v>
      </c>
      <c r="F534" s="8">
        <v>6901</v>
      </c>
    </row>
    <row r="535" spans="1:6">
      <c r="A535" s="131">
        <v>45883</v>
      </c>
      <c r="B535" s="67" t="s">
        <v>301</v>
      </c>
      <c r="C535" s="67" t="s">
        <v>253</v>
      </c>
      <c r="D535" s="67" t="s">
        <v>306</v>
      </c>
      <c r="E535" s="67">
        <v>9</v>
      </c>
      <c r="F535" s="8">
        <v>7278</v>
      </c>
    </row>
    <row r="536" spans="1:6">
      <c r="A536" s="131">
        <v>45883</v>
      </c>
      <c r="B536" s="67" t="s">
        <v>311</v>
      </c>
      <c r="C536" s="67" t="s">
        <v>254</v>
      </c>
      <c r="D536" s="67" t="s">
        <v>306</v>
      </c>
      <c r="E536" s="67">
        <v>11</v>
      </c>
      <c r="F536" s="8">
        <v>10721</v>
      </c>
    </row>
    <row r="537" spans="1:6">
      <c r="A537" s="131">
        <v>45884</v>
      </c>
      <c r="B537" s="67" t="s">
        <v>303</v>
      </c>
      <c r="C537" s="67" t="s">
        <v>287</v>
      </c>
      <c r="D537" s="67" t="s">
        <v>306</v>
      </c>
      <c r="E537" s="67">
        <v>7</v>
      </c>
      <c r="F537" s="8">
        <v>5705</v>
      </c>
    </row>
    <row r="538" spans="1:6">
      <c r="A538" s="131">
        <v>45884</v>
      </c>
      <c r="B538" s="67" t="s">
        <v>309</v>
      </c>
      <c r="C538" s="67" t="s">
        <v>253</v>
      </c>
      <c r="D538" s="67" t="s">
        <v>304</v>
      </c>
      <c r="E538" s="67">
        <v>4</v>
      </c>
      <c r="F538" s="8">
        <v>7002</v>
      </c>
    </row>
    <row r="539" spans="1:6">
      <c r="A539" s="131">
        <v>45884</v>
      </c>
      <c r="B539" s="67" t="s">
        <v>316</v>
      </c>
      <c r="C539" s="67" t="s">
        <v>287</v>
      </c>
      <c r="D539" s="67" t="s">
        <v>306</v>
      </c>
      <c r="E539" s="67">
        <v>4</v>
      </c>
      <c r="F539" s="8">
        <v>2163</v>
      </c>
    </row>
    <row r="540" spans="1:6">
      <c r="A540" s="131">
        <v>45885</v>
      </c>
      <c r="B540" s="67" t="s">
        <v>313</v>
      </c>
      <c r="C540" s="67" t="s">
        <v>254</v>
      </c>
      <c r="D540" s="67" t="s">
        <v>302</v>
      </c>
      <c r="E540" s="67">
        <v>10</v>
      </c>
      <c r="F540" s="8">
        <v>2043</v>
      </c>
    </row>
    <row r="541" spans="1:6">
      <c r="A541" s="131">
        <v>45885</v>
      </c>
      <c r="B541" s="67" t="s">
        <v>307</v>
      </c>
      <c r="C541" s="67" t="s">
        <v>254</v>
      </c>
      <c r="D541" s="67" t="s">
        <v>315</v>
      </c>
      <c r="E541" s="67">
        <v>6</v>
      </c>
      <c r="F541" s="8">
        <v>2301</v>
      </c>
    </row>
    <row r="542" spans="1:6">
      <c r="A542" s="131">
        <v>45885</v>
      </c>
      <c r="B542" s="67" t="s">
        <v>312</v>
      </c>
      <c r="C542" s="67" t="s">
        <v>254</v>
      </c>
      <c r="D542" s="67" t="s">
        <v>304</v>
      </c>
      <c r="E542" s="67">
        <v>1</v>
      </c>
      <c r="F542" s="8">
        <v>1740</v>
      </c>
    </row>
    <row r="543" spans="1:6">
      <c r="A543" s="131">
        <v>45885</v>
      </c>
      <c r="B543" s="67" t="s">
        <v>305</v>
      </c>
      <c r="C543" s="67" t="s">
        <v>287</v>
      </c>
      <c r="D543" s="67" t="s">
        <v>308</v>
      </c>
      <c r="E543" s="67">
        <v>1</v>
      </c>
      <c r="F543" s="8">
        <v>9386</v>
      </c>
    </row>
    <row r="544" spans="1:6">
      <c r="A544" s="131">
        <v>45886</v>
      </c>
      <c r="B544" s="67" t="s">
        <v>313</v>
      </c>
      <c r="C544" s="67" t="s">
        <v>253</v>
      </c>
      <c r="D544" s="67" t="s">
        <v>308</v>
      </c>
      <c r="E544" s="67">
        <v>5</v>
      </c>
      <c r="F544" s="8">
        <v>9570</v>
      </c>
    </row>
    <row r="545" spans="1:6">
      <c r="A545" s="131">
        <v>45886</v>
      </c>
      <c r="B545" s="67" t="s">
        <v>313</v>
      </c>
      <c r="C545" s="67" t="s">
        <v>287</v>
      </c>
      <c r="D545" s="67" t="s">
        <v>302</v>
      </c>
      <c r="E545" s="67">
        <v>1</v>
      </c>
      <c r="F545" s="8">
        <v>9720</v>
      </c>
    </row>
    <row r="546" spans="1:6">
      <c r="A546" s="131">
        <v>45886</v>
      </c>
      <c r="B546" s="67" t="s">
        <v>312</v>
      </c>
      <c r="C546" s="67" t="s">
        <v>253</v>
      </c>
      <c r="D546" s="67" t="s">
        <v>304</v>
      </c>
      <c r="E546" s="67">
        <v>10</v>
      </c>
      <c r="F546" s="8">
        <v>1648</v>
      </c>
    </row>
    <row r="547" spans="1:6">
      <c r="A547" s="131">
        <v>45886</v>
      </c>
      <c r="B547" s="67" t="s">
        <v>316</v>
      </c>
      <c r="C547" s="67" t="s">
        <v>252</v>
      </c>
      <c r="D547" s="67" t="s">
        <v>308</v>
      </c>
      <c r="E547" s="67">
        <v>10</v>
      </c>
      <c r="F547" s="8">
        <v>8076</v>
      </c>
    </row>
    <row r="548" spans="1:6">
      <c r="A548" s="131">
        <v>45886</v>
      </c>
      <c r="B548" s="67" t="s">
        <v>309</v>
      </c>
      <c r="C548" s="67" t="s">
        <v>254</v>
      </c>
      <c r="D548" s="67" t="s">
        <v>306</v>
      </c>
      <c r="E548" s="67">
        <v>14</v>
      </c>
      <c r="F548" s="8">
        <v>9802</v>
      </c>
    </row>
    <row r="549" spans="1:6">
      <c r="A549" s="131">
        <v>45887</v>
      </c>
      <c r="B549" s="67" t="s">
        <v>316</v>
      </c>
      <c r="C549" s="67" t="s">
        <v>254</v>
      </c>
      <c r="D549" s="67" t="s">
        <v>306</v>
      </c>
      <c r="E549" s="67">
        <v>1</v>
      </c>
      <c r="F549" s="8">
        <v>10136</v>
      </c>
    </row>
    <row r="550" spans="1:6">
      <c r="A550" s="131">
        <v>45887</v>
      </c>
      <c r="B550" s="67" t="s">
        <v>312</v>
      </c>
      <c r="C550" s="67" t="s">
        <v>287</v>
      </c>
      <c r="D550" s="67" t="s">
        <v>306</v>
      </c>
      <c r="E550" s="67">
        <v>1</v>
      </c>
      <c r="F550" s="8">
        <v>2387</v>
      </c>
    </row>
    <row r="551" spans="1:6">
      <c r="A551" s="131">
        <v>45887</v>
      </c>
      <c r="B551" s="67" t="s">
        <v>311</v>
      </c>
      <c r="C551" s="67" t="s">
        <v>287</v>
      </c>
      <c r="D551" s="67" t="s">
        <v>310</v>
      </c>
      <c r="E551" s="67">
        <v>5</v>
      </c>
      <c r="F551" s="8">
        <v>7179</v>
      </c>
    </row>
    <row r="552" spans="1:6">
      <c r="A552" s="131">
        <v>45888</v>
      </c>
      <c r="B552" s="67" t="s">
        <v>313</v>
      </c>
      <c r="C552" s="67" t="s">
        <v>253</v>
      </c>
      <c r="D552" s="67" t="s">
        <v>302</v>
      </c>
      <c r="E552" s="67">
        <v>6</v>
      </c>
      <c r="F552" s="8">
        <v>5648</v>
      </c>
    </row>
    <row r="553" spans="1:6">
      <c r="A553" s="131">
        <v>45889</v>
      </c>
      <c r="B553" s="67" t="s">
        <v>311</v>
      </c>
      <c r="C553" s="67" t="s">
        <v>254</v>
      </c>
      <c r="D553" s="67" t="s">
        <v>310</v>
      </c>
      <c r="E553" s="67">
        <v>4</v>
      </c>
      <c r="F553" s="8">
        <v>5005</v>
      </c>
    </row>
    <row r="554" spans="1:6">
      <c r="A554" s="131">
        <v>45889</v>
      </c>
      <c r="B554" s="67" t="s">
        <v>313</v>
      </c>
      <c r="C554" s="67" t="s">
        <v>287</v>
      </c>
      <c r="D554" s="67" t="s">
        <v>302</v>
      </c>
      <c r="E554" s="67">
        <v>6</v>
      </c>
      <c r="F554" s="8">
        <v>3574</v>
      </c>
    </row>
    <row r="555" spans="1:6">
      <c r="A555" s="131">
        <v>45889</v>
      </c>
      <c r="B555" s="67" t="s">
        <v>309</v>
      </c>
      <c r="C555" s="67" t="s">
        <v>253</v>
      </c>
      <c r="D555" s="67" t="s">
        <v>315</v>
      </c>
      <c r="E555" s="67">
        <v>13</v>
      </c>
      <c r="F555" s="8">
        <v>1786</v>
      </c>
    </row>
    <row r="556" spans="1:6">
      <c r="A556" s="131">
        <v>45890</v>
      </c>
      <c r="B556" s="67" t="s">
        <v>314</v>
      </c>
      <c r="C556" s="67" t="s">
        <v>287</v>
      </c>
      <c r="D556" s="67" t="s">
        <v>302</v>
      </c>
      <c r="E556" s="67">
        <v>12</v>
      </c>
      <c r="F556" s="8">
        <v>11321</v>
      </c>
    </row>
    <row r="557" spans="1:6">
      <c r="A557" s="131">
        <v>45891</v>
      </c>
      <c r="B557" s="67" t="s">
        <v>303</v>
      </c>
      <c r="C557" s="67" t="s">
        <v>252</v>
      </c>
      <c r="D557" s="67" t="s">
        <v>308</v>
      </c>
      <c r="E557" s="67">
        <v>5</v>
      </c>
      <c r="F557" s="8">
        <v>10950</v>
      </c>
    </row>
    <row r="558" spans="1:6">
      <c r="A558" s="131">
        <v>45891</v>
      </c>
      <c r="B558" s="67" t="s">
        <v>305</v>
      </c>
      <c r="C558" s="67" t="s">
        <v>253</v>
      </c>
      <c r="D558" s="67" t="s">
        <v>302</v>
      </c>
      <c r="E558" s="67">
        <v>12</v>
      </c>
      <c r="F558" s="8">
        <v>5679</v>
      </c>
    </row>
    <row r="559" spans="1:6">
      <c r="A559" s="131">
        <v>45891</v>
      </c>
      <c r="B559" s="67" t="s">
        <v>309</v>
      </c>
      <c r="C559" s="67" t="s">
        <v>252</v>
      </c>
      <c r="D559" s="67" t="s">
        <v>306</v>
      </c>
      <c r="E559" s="67">
        <v>14</v>
      </c>
      <c r="F559" s="8">
        <v>3349</v>
      </c>
    </row>
    <row r="560" spans="1:6">
      <c r="A560" s="131">
        <v>45891</v>
      </c>
      <c r="B560" s="67" t="s">
        <v>303</v>
      </c>
      <c r="C560" s="67" t="s">
        <v>253</v>
      </c>
      <c r="D560" s="67" t="s">
        <v>315</v>
      </c>
      <c r="E560" s="67">
        <v>10</v>
      </c>
      <c r="F560" s="8">
        <v>6921</v>
      </c>
    </row>
    <row r="561" spans="1:6">
      <c r="A561" s="131">
        <v>45891</v>
      </c>
      <c r="B561" s="67" t="s">
        <v>312</v>
      </c>
      <c r="C561" s="67" t="s">
        <v>287</v>
      </c>
      <c r="D561" s="67" t="s">
        <v>306</v>
      </c>
      <c r="E561" s="67">
        <v>6</v>
      </c>
      <c r="F561" s="8">
        <v>9568</v>
      </c>
    </row>
    <row r="562" spans="1:6">
      <c r="A562" s="131">
        <v>45892</v>
      </c>
      <c r="B562" s="67" t="s">
        <v>307</v>
      </c>
      <c r="C562" s="67" t="s">
        <v>254</v>
      </c>
      <c r="D562" s="67" t="s">
        <v>315</v>
      </c>
      <c r="E562" s="67">
        <v>3</v>
      </c>
      <c r="F562" s="8">
        <v>1166</v>
      </c>
    </row>
    <row r="563" spans="1:6">
      <c r="A563" s="131">
        <v>45892</v>
      </c>
      <c r="B563" s="67" t="s">
        <v>307</v>
      </c>
      <c r="C563" s="67" t="s">
        <v>287</v>
      </c>
      <c r="D563" s="67" t="s">
        <v>308</v>
      </c>
      <c r="E563" s="67">
        <v>3</v>
      </c>
      <c r="F563" s="8">
        <v>4043</v>
      </c>
    </row>
    <row r="564" spans="1:6">
      <c r="A564" s="131">
        <v>45892</v>
      </c>
      <c r="B564" s="67" t="s">
        <v>316</v>
      </c>
      <c r="C564" s="67" t="s">
        <v>253</v>
      </c>
      <c r="D564" s="67" t="s">
        <v>308</v>
      </c>
      <c r="E564" s="67">
        <v>8</v>
      </c>
      <c r="F564" s="8">
        <v>2089</v>
      </c>
    </row>
    <row r="565" spans="1:6">
      <c r="A565" s="131">
        <v>45892</v>
      </c>
      <c r="B565" s="67" t="s">
        <v>303</v>
      </c>
      <c r="C565" s="67" t="s">
        <v>287</v>
      </c>
      <c r="D565" s="67" t="s">
        <v>315</v>
      </c>
      <c r="E565" s="67">
        <v>8</v>
      </c>
      <c r="F565" s="8">
        <v>1830</v>
      </c>
    </row>
    <row r="566" spans="1:6">
      <c r="A566" s="131">
        <v>45893</v>
      </c>
      <c r="B566" s="67" t="s">
        <v>314</v>
      </c>
      <c r="C566" s="67" t="s">
        <v>287</v>
      </c>
      <c r="D566" s="67" t="s">
        <v>302</v>
      </c>
      <c r="E566" s="67">
        <v>8</v>
      </c>
      <c r="F566" s="8">
        <v>966</v>
      </c>
    </row>
    <row r="567" spans="1:6">
      <c r="A567" s="131">
        <v>45893</v>
      </c>
      <c r="B567" s="67" t="s">
        <v>307</v>
      </c>
      <c r="C567" s="67" t="s">
        <v>254</v>
      </c>
      <c r="D567" s="67" t="s">
        <v>302</v>
      </c>
      <c r="E567" s="67">
        <v>4</v>
      </c>
      <c r="F567" s="8">
        <v>3168</v>
      </c>
    </row>
    <row r="568" spans="1:6">
      <c r="A568" s="131">
        <v>45893</v>
      </c>
      <c r="B568" s="67" t="s">
        <v>307</v>
      </c>
      <c r="C568" s="67" t="s">
        <v>253</v>
      </c>
      <c r="D568" s="67" t="s">
        <v>308</v>
      </c>
      <c r="E568" s="67">
        <v>7</v>
      </c>
      <c r="F568" s="8">
        <v>5383</v>
      </c>
    </row>
    <row r="569" spans="1:6">
      <c r="A569" s="131">
        <v>45893</v>
      </c>
      <c r="B569" s="67" t="s">
        <v>301</v>
      </c>
      <c r="C569" s="67" t="s">
        <v>254</v>
      </c>
      <c r="D569" s="67" t="s">
        <v>315</v>
      </c>
      <c r="E569" s="67">
        <v>7</v>
      </c>
      <c r="F569" s="8">
        <v>10688</v>
      </c>
    </row>
    <row r="570" spans="1:6">
      <c r="A570" s="131">
        <v>45894</v>
      </c>
      <c r="B570" s="67" t="s">
        <v>303</v>
      </c>
      <c r="C570" s="67" t="s">
        <v>254</v>
      </c>
      <c r="D570" s="67" t="s">
        <v>308</v>
      </c>
      <c r="E570" s="67">
        <v>6</v>
      </c>
      <c r="F570" s="8">
        <v>6972</v>
      </c>
    </row>
    <row r="571" spans="1:6">
      <c r="A571" s="131">
        <v>45894</v>
      </c>
      <c r="B571" s="67" t="s">
        <v>314</v>
      </c>
      <c r="C571" s="67" t="s">
        <v>253</v>
      </c>
      <c r="D571" s="67" t="s">
        <v>306</v>
      </c>
      <c r="E571" s="67">
        <v>11</v>
      </c>
      <c r="F571" s="8">
        <v>7074</v>
      </c>
    </row>
    <row r="572" spans="1:6">
      <c r="A572" s="131">
        <v>45894</v>
      </c>
      <c r="B572" s="67" t="s">
        <v>313</v>
      </c>
      <c r="C572" s="67" t="s">
        <v>253</v>
      </c>
      <c r="D572" s="67" t="s">
        <v>304</v>
      </c>
      <c r="E572" s="67">
        <v>3</v>
      </c>
      <c r="F572" s="8">
        <v>9159</v>
      </c>
    </row>
    <row r="573" spans="1:6">
      <c r="A573" s="131">
        <v>45895</v>
      </c>
      <c r="B573" s="67" t="s">
        <v>314</v>
      </c>
      <c r="C573" s="67" t="s">
        <v>287</v>
      </c>
      <c r="D573" s="67" t="s">
        <v>306</v>
      </c>
      <c r="E573" s="67">
        <v>12</v>
      </c>
      <c r="F573" s="8">
        <v>7223</v>
      </c>
    </row>
    <row r="574" spans="1:6">
      <c r="A574" s="131">
        <v>45895</v>
      </c>
      <c r="B574" s="67" t="s">
        <v>301</v>
      </c>
      <c r="C574" s="67" t="s">
        <v>254</v>
      </c>
      <c r="D574" s="67" t="s">
        <v>308</v>
      </c>
      <c r="E574" s="67">
        <v>1</v>
      </c>
      <c r="F574" s="8">
        <v>9197</v>
      </c>
    </row>
    <row r="575" spans="1:6">
      <c r="A575" s="131">
        <v>45896</v>
      </c>
      <c r="B575" s="67" t="s">
        <v>309</v>
      </c>
      <c r="C575" s="67" t="s">
        <v>253</v>
      </c>
      <c r="D575" s="67" t="s">
        <v>302</v>
      </c>
      <c r="E575" s="67">
        <v>11</v>
      </c>
      <c r="F575" s="8">
        <v>9183</v>
      </c>
    </row>
    <row r="576" spans="1:6">
      <c r="A576" s="131">
        <v>45896</v>
      </c>
      <c r="B576" s="67" t="s">
        <v>314</v>
      </c>
      <c r="C576" s="67" t="s">
        <v>252</v>
      </c>
      <c r="D576" s="67" t="s">
        <v>304</v>
      </c>
      <c r="E576" s="67">
        <v>4</v>
      </c>
      <c r="F576" s="8">
        <v>1525</v>
      </c>
    </row>
    <row r="577" spans="1:6">
      <c r="A577" s="131">
        <v>45896</v>
      </c>
      <c r="B577" s="67" t="s">
        <v>301</v>
      </c>
      <c r="C577" s="67" t="s">
        <v>252</v>
      </c>
      <c r="D577" s="67" t="s">
        <v>310</v>
      </c>
      <c r="E577" s="67">
        <v>14</v>
      </c>
      <c r="F577" s="8">
        <v>10438</v>
      </c>
    </row>
    <row r="578" spans="1:6">
      <c r="A578" s="131">
        <v>45896</v>
      </c>
      <c r="B578" s="67" t="s">
        <v>316</v>
      </c>
      <c r="C578" s="67" t="s">
        <v>253</v>
      </c>
      <c r="D578" s="67" t="s">
        <v>310</v>
      </c>
      <c r="E578" s="67">
        <v>3</v>
      </c>
      <c r="F578" s="8">
        <v>2942</v>
      </c>
    </row>
    <row r="579" spans="1:6">
      <c r="A579" s="131">
        <v>45896</v>
      </c>
      <c r="B579" s="67" t="s">
        <v>314</v>
      </c>
      <c r="C579" s="67" t="s">
        <v>254</v>
      </c>
      <c r="D579" s="67" t="s">
        <v>308</v>
      </c>
      <c r="E579" s="67">
        <v>9</v>
      </c>
      <c r="F579" s="8">
        <v>2618</v>
      </c>
    </row>
    <row r="580" spans="1:6">
      <c r="A580" s="131">
        <v>45898</v>
      </c>
      <c r="B580" s="67" t="s">
        <v>314</v>
      </c>
      <c r="C580" s="67" t="s">
        <v>253</v>
      </c>
      <c r="D580" s="67" t="s">
        <v>308</v>
      </c>
      <c r="E580" s="67">
        <v>10</v>
      </c>
      <c r="F580" s="8">
        <v>10758</v>
      </c>
    </row>
    <row r="581" spans="1:6">
      <c r="A581" s="131">
        <v>45898</v>
      </c>
      <c r="B581" s="67" t="s">
        <v>313</v>
      </c>
      <c r="C581" s="67" t="s">
        <v>254</v>
      </c>
      <c r="D581" s="67" t="s">
        <v>308</v>
      </c>
      <c r="E581" s="67">
        <v>14</v>
      </c>
      <c r="F581" s="8">
        <v>2689</v>
      </c>
    </row>
    <row r="582" spans="1:6">
      <c r="A582" s="131">
        <v>45899</v>
      </c>
      <c r="B582" s="67" t="s">
        <v>301</v>
      </c>
      <c r="C582" s="67" t="s">
        <v>252</v>
      </c>
      <c r="D582" s="67" t="s">
        <v>306</v>
      </c>
      <c r="E582" s="67">
        <v>8</v>
      </c>
      <c r="F582" s="8">
        <v>5944</v>
      </c>
    </row>
    <row r="583" spans="1:6">
      <c r="A583" s="131">
        <v>45899</v>
      </c>
      <c r="B583" s="67" t="s">
        <v>314</v>
      </c>
      <c r="C583" s="67" t="s">
        <v>287</v>
      </c>
      <c r="D583" s="67" t="s">
        <v>315</v>
      </c>
      <c r="E583" s="67">
        <v>14</v>
      </c>
      <c r="F583" s="8">
        <v>5466</v>
      </c>
    </row>
    <row r="584" spans="1:6">
      <c r="A584" s="131">
        <v>45899</v>
      </c>
      <c r="B584" s="67" t="s">
        <v>303</v>
      </c>
      <c r="C584" s="67" t="s">
        <v>253</v>
      </c>
      <c r="D584" s="67" t="s">
        <v>306</v>
      </c>
      <c r="E584" s="67">
        <v>1</v>
      </c>
      <c r="F584" s="8">
        <v>11985</v>
      </c>
    </row>
    <row r="585" spans="1:6">
      <c r="A585" s="131">
        <v>45899</v>
      </c>
      <c r="B585" s="67" t="s">
        <v>301</v>
      </c>
      <c r="C585" s="67" t="s">
        <v>287</v>
      </c>
      <c r="D585" s="67" t="s">
        <v>302</v>
      </c>
      <c r="E585" s="67">
        <v>1</v>
      </c>
      <c r="F585" s="8">
        <v>10713</v>
      </c>
    </row>
    <row r="586" spans="1:6">
      <c r="A586" s="131">
        <v>45899</v>
      </c>
      <c r="B586" s="67" t="s">
        <v>313</v>
      </c>
      <c r="C586" s="67" t="s">
        <v>253</v>
      </c>
      <c r="D586" s="67" t="s">
        <v>304</v>
      </c>
      <c r="E586" s="67">
        <v>12</v>
      </c>
      <c r="F586" s="8">
        <v>8052</v>
      </c>
    </row>
    <row r="587" spans="1:6">
      <c r="A587" s="131">
        <v>45899</v>
      </c>
      <c r="B587" s="67" t="s">
        <v>312</v>
      </c>
      <c r="C587" s="67" t="s">
        <v>254</v>
      </c>
      <c r="D587" s="67" t="s">
        <v>308</v>
      </c>
      <c r="E587" s="67">
        <v>8</v>
      </c>
      <c r="F587" s="8">
        <v>1680</v>
      </c>
    </row>
    <row r="588" spans="1:6">
      <c r="A588" s="131">
        <v>45900</v>
      </c>
      <c r="B588" s="67" t="s">
        <v>309</v>
      </c>
      <c r="C588" s="67" t="s">
        <v>287</v>
      </c>
      <c r="D588" s="67" t="s">
        <v>310</v>
      </c>
      <c r="E588" s="67">
        <v>10</v>
      </c>
      <c r="F588" s="8">
        <v>4538</v>
      </c>
    </row>
    <row r="589" spans="1:6">
      <c r="A589" s="131">
        <v>45902</v>
      </c>
      <c r="B589" s="67" t="s">
        <v>303</v>
      </c>
      <c r="C589" s="67" t="s">
        <v>287</v>
      </c>
      <c r="D589" s="67" t="s">
        <v>302</v>
      </c>
      <c r="E589" s="67">
        <v>8</v>
      </c>
      <c r="F589" s="8">
        <v>6410</v>
      </c>
    </row>
    <row r="590" spans="1:6">
      <c r="A590" s="131">
        <v>45902</v>
      </c>
      <c r="B590" s="67" t="s">
        <v>311</v>
      </c>
      <c r="C590" s="67" t="s">
        <v>287</v>
      </c>
      <c r="D590" s="67" t="s">
        <v>308</v>
      </c>
      <c r="E590" s="67">
        <v>6</v>
      </c>
      <c r="F590" s="8">
        <v>1366</v>
      </c>
    </row>
    <row r="591" spans="1:6">
      <c r="A591" s="131">
        <v>45902</v>
      </c>
      <c r="B591" s="67" t="s">
        <v>309</v>
      </c>
      <c r="C591" s="67" t="s">
        <v>252</v>
      </c>
      <c r="D591" s="67" t="s">
        <v>315</v>
      </c>
      <c r="E591" s="67">
        <v>10</v>
      </c>
      <c r="F591" s="8">
        <v>8060</v>
      </c>
    </row>
    <row r="592" spans="1:6">
      <c r="A592" s="131">
        <v>45902</v>
      </c>
      <c r="B592" s="67" t="s">
        <v>313</v>
      </c>
      <c r="C592" s="67" t="s">
        <v>253</v>
      </c>
      <c r="D592" s="67" t="s">
        <v>302</v>
      </c>
      <c r="E592" s="67">
        <v>8</v>
      </c>
      <c r="F592" s="8">
        <v>10635</v>
      </c>
    </row>
    <row r="593" spans="1:6">
      <c r="A593" s="131">
        <v>45903</v>
      </c>
      <c r="B593" s="67" t="s">
        <v>307</v>
      </c>
      <c r="C593" s="67" t="s">
        <v>254</v>
      </c>
      <c r="D593" s="67" t="s">
        <v>315</v>
      </c>
      <c r="E593" s="67">
        <v>7</v>
      </c>
      <c r="F593" s="8">
        <v>3703</v>
      </c>
    </row>
    <row r="594" spans="1:6">
      <c r="A594" s="131">
        <v>45903</v>
      </c>
      <c r="B594" s="67" t="s">
        <v>301</v>
      </c>
      <c r="C594" s="67" t="s">
        <v>253</v>
      </c>
      <c r="D594" s="67" t="s">
        <v>302</v>
      </c>
      <c r="E594" s="67">
        <v>7</v>
      </c>
      <c r="F594" s="8">
        <v>2307</v>
      </c>
    </row>
    <row r="595" spans="1:6">
      <c r="A595" s="131">
        <v>45904</v>
      </c>
      <c r="B595" s="67" t="s">
        <v>313</v>
      </c>
      <c r="C595" s="67" t="s">
        <v>254</v>
      </c>
      <c r="D595" s="67" t="s">
        <v>310</v>
      </c>
      <c r="E595" s="67">
        <v>12</v>
      </c>
      <c r="F595" s="8">
        <v>3034</v>
      </c>
    </row>
    <row r="596" spans="1:6">
      <c r="A596" s="131">
        <v>45904</v>
      </c>
      <c r="B596" s="67" t="s">
        <v>314</v>
      </c>
      <c r="C596" s="67" t="s">
        <v>287</v>
      </c>
      <c r="D596" s="67" t="s">
        <v>302</v>
      </c>
      <c r="E596" s="67">
        <v>2</v>
      </c>
      <c r="F596" s="8">
        <v>3845</v>
      </c>
    </row>
    <row r="597" spans="1:6">
      <c r="A597" s="131">
        <v>45904</v>
      </c>
      <c r="B597" s="67" t="s">
        <v>312</v>
      </c>
      <c r="C597" s="67" t="s">
        <v>253</v>
      </c>
      <c r="D597" s="67" t="s">
        <v>315</v>
      </c>
      <c r="E597" s="67">
        <v>11</v>
      </c>
      <c r="F597" s="8">
        <v>814</v>
      </c>
    </row>
    <row r="598" spans="1:6">
      <c r="A598" s="131">
        <v>45904</v>
      </c>
      <c r="B598" s="67" t="s">
        <v>313</v>
      </c>
      <c r="C598" s="67" t="s">
        <v>253</v>
      </c>
      <c r="D598" s="67" t="s">
        <v>308</v>
      </c>
      <c r="E598" s="67">
        <v>9</v>
      </c>
      <c r="F598" s="8">
        <v>3659</v>
      </c>
    </row>
    <row r="599" spans="1:6">
      <c r="A599" s="131">
        <v>45905</v>
      </c>
      <c r="B599" s="67" t="s">
        <v>301</v>
      </c>
      <c r="C599" s="67" t="s">
        <v>287</v>
      </c>
      <c r="D599" s="67" t="s">
        <v>304</v>
      </c>
      <c r="E599" s="67">
        <v>12</v>
      </c>
      <c r="F599" s="8">
        <v>10082</v>
      </c>
    </row>
    <row r="600" spans="1:6">
      <c r="A600" s="131">
        <v>45906</v>
      </c>
      <c r="B600" s="67" t="s">
        <v>301</v>
      </c>
      <c r="C600" s="67" t="s">
        <v>253</v>
      </c>
      <c r="D600" s="67" t="s">
        <v>306</v>
      </c>
      <c r="E600" s="67">
        <v>14</v>
      </c>
      <c r="F600" s="8">
        <v>2316</v>
      </c>
    </row>
    <row r="601" spans="1:6">
      <c r="A601" s="131">
        <v>45906</v>
      </c>
      <c r="B601" s="67" t="s">
        <v>305</v>
      </c>
      <c r="C601" s="67" t="s">
        <v>252</v>
      </c>
      <c r="D601" s="67" t="s">
        <v>306</v>
      </c>
      <c r="E601" s="67">
        <v>3</v>
      </c>
      <c r="F601" s="8">
        <v>1417</v>
      </c>
    </row>
    <row r="602" spans="1:6">
      <c r="A602" s="131">
        <v>45906</v>
      </c>
      <c r="B602" s="67" t="s">
        <v>312</v>
      </c>
      <c r="C602" s="67" t="s">
        <v>254</v>
      </c>
      <c r="D602" s="67" t="s">
        <v>302</v>
      </c>
      <c r="E602" s="67">
        <v>4</v>
      </c>
      <c r="F602" s="8">
        <v>7931</v>
      </c>
    </row>
    <row r="603" spans="1:6">
      <c r="A603" s="131">
        <v>45906</v>
      </c>
      <c r="B603" s="67" t="s">
        <v>303</v>
      </c>
      <c r="C603" s="67" t="s">
        <v>252</v>
      </c>
      <c r="D603" s="67" t="s">
        <v>315</v>
      </c>
      <c r="E603" s="67">
        <v>12</v>
      </c>
      <c r="F603" s="8">
        <v>1640</v>
      </c>
    </row>
    <row r="604" spans="1:6">
      <c r="A604" s="131">
        <v>45906</v>
      </c>
      <c r="B604" s="67" t="s">
        <v>311</v>
      </c>
      <c r="C604" s="67" t="s">
        <v>287</v>
      </c>
      <c r="D604" s="67" t="s">
        <v>304</v>
      </c>
      <c r="E604" s="67">
        <v>6</v>
      </c>
      <c r="F604" s="8">
        <v>6510</v>
      </c>
    </row>
    <row r="605" spans="1:6">
      <c r="A605" s="131">
        <v>45907</v>
      </c>
      <c r="B605" s="67" t="s">
        <v>311</v>
      </c>
      <c r="C605" s="67" t="s">
        <v>254</v>
      </c>
      <c r="D605" s="67" t="s">
        <v>302</v>
      </c>
      <c r="E605" s="67">
        <v>11</v>
      </c>
      <c r="F605" s="8">
        <v>4620</v>
      </c>
    </row>
    <row r="606" spans="1:6">
      <c r="A606" s="131">
        <v>45907</v>
      </c>
      <c r="B606" s="67" t="s">
        <v>307</v>
      </c>
      <c r="C606" s="67" t="s">
        <v>287</v>
      </c>
      <c r="D606" s="67" t="s">
        <v>304</v>
      </c>
      <c r="E606" s="67">
        <v>14</v>
      </c>
      <c r="F606" s="8">
        <v>8566</v>
      </c>
    </row>
    <row r="607" spans="1:6">
      <c r="A607" s="131">
        <v>45907</v>
      </c>
      <c r="B607" s="67" t="s">
        <v>311</v>
      </c>
      <c r="C607" s="67" t="s">
        <v>252</v>
      </c>
      <c r="D607" s="67" t="s">
        <v>315</v>
      </c>
      <c r="E607" s="67">
        <v>12</v>
      </c>
      <c r="F607" s="8">
        <v>11273</v>
      </c>
    </row>
    <row r="608" spans="1:6">
      <c r="A608" s="131">
        <v>45909</v>
      </c>
      <c r="B608" s="67" t="s">
        <v>316</v>
      </c>
      <c r="C608" s="67" t="s">
        <v>287</v>
      </c>
      <c r="D608" s="67" t="s">
        <v>304</v>
      </c>
      <c r="E608" s="67">
        <v>7</v>
      </c>
      <c r="F608" s="8">
        <v>7187</v>
      </c>
    </row>
    <row r="609" spans="1:6">
      <c r="A609" s="131">
        <v>45909</v>
      </c>
      <c r="B609" s="67" t="s">
        <v>312</v>
      </c>
      <c r="C609" s="67" t="s">
        <v>287</v>
      </c>
      <c r="D609" s="67" t="s">
        <v>308</v>
      </c>
      <c r="E609" s="67">
        <v>9</v>
      </c>
      <c r="F609" s="8">
        <v>2380</v>
      </c>
    </row>
    <row r="610" spans="1:6">
      <c r="A610" s="131">
        <v>45910</v>
      </c>
      <c r="B610" s="67" t="s">
        <v>316</v>
      </c>
      <c r="C610" s="67" t="s">
        <v>253</v>
      </c>
      <c r="D610" s="67" t="s">
        <v>315</v>
      </c>
      <c r="E610" s="67">
        <v>5</v>
      </c>
      <c r="F610" s="8">
        <v>10527</v>
      </c>
    </row>
    <row r="611" spans="1:6">
      <c r="A611" s="131">
        <v>45910</v>
      </c>
      <c r="B611" s="67" t="s">
        <v>301</v>
      </c>
      <c r="C611" s="67" t="s">
        <v>254</v>
      </c>
      <c r="D611" s="67" t="s">
        <v>302</v>
      </c>
      <c r="E611" s="67">
        <v>2</v>
      </c>
      <c r="F611" s="8">
        <v>8423</v>
      </c>
    </row>
    <row r="612" spans="1:6">
      <c r="A612" s="131">
        <v>45910</v>
      </c>
      <c r="B612" s="67" t="s">
        <v>309</v>
      </c>
      <c r="C612" s="67" t="s">
        <v>254</v>
      </c>
      <c r="D612" s="67" t="s">
        <v>308</v>
      </c>
      <c r="E612" s="67">
        <v>4</v>
      </c>
      <c r="F612" s="8">
        <v>5974</v>
      </c>
    </row>
    <row r="613" spans="1:6">
      <c r="A613" s="131">
        <v>45910</v>
      </c>
      <c r="B613" s="67" t="s">
        <v>313</v>
      </c>
      <c r="C613" s="67" t="s">
        <v>253</v>
      </c>
      <c r="D613" s="67" t="s">
        <v>306</v>
      </c>
      <c r="E613" s="67">
        <v>7</v>
      </c>
      <c r="F613" s="8">
        <v>10703</v>
      </c>
    </row>
    <row r="614" spans="1:6">
      <c r="A614" s="131">
        <v>45911</v>
      </c>
      <c r="B614" s="67" t="s">
        <v>316</v>
      </c>
      <c r="C614" s="67" t="s">
        <v>252</v>
      </c>
      <c r="D614" s="67" t="s">
        <v>310</v>
      </c>
      <c r="E614" s="67">
        <v>9</v>
      </c>
      <c r="F614" s="8">
        <v>11791</v>
      </c>
    </row>
    <row r="615" spans="1:6">
      <c r="A615" s="131">
        <v>45911</v>
      </c>
      <c r="B615" s="67" t="s">
        <v>312</v>
      </c>
      <c r="C615" s="67" t="s">
        <v>253</v>
      </c>
      <c r="D615" s="67" t="s">
        <v>306</v>
      </c>
      <c r="E615" s="67">
        <v>13</v>
      </c>
      <c r="F615" s="8">
        <v>9115</v>
      </c>
    </row>
    <row r="616" spans="1:6">
      <c r="A616" s="131">
        <v>45912</v>
      </c>
      <c r="B616" s="67" t="s">
        <v>312</v>
      </c>
      <c r="C616" s="67" t="s">
        <v>287</v>
      </c>
      <c r="D616" s="67" t="s">
        <v>310</v>
      </c>
      <c r="E616" s="67">
        <v>5</v>
      </c>
      <c r="F616" s="8">
        <v>3961</v>
      </c>
    </row>
    <row r="617" spans="1:6">
      <c r="A617" s="131">
        <v>45912</v>
      </c>
      <c r="B617" s="67" t="s">
        <v>301</v>
      </c>
      <c r="C617" s="67" t="s">
        <v>254</v>
      </c>
      <c r="D617" s="67" t="s">
        <v>304</v>
      </c>
      <c r="E617" s="67">
        <v>1</v>
      </c>
      <c r="F617" s="8">
        <v>3006</v>
      </c>
    </row>
    <row r="618" spans="1:6">
      <c r="A618" s="131">
        <v>45914</v>
      </c>
      <c r="B618" s="67" t="s">
        <v>316</v>
      </c>
      <c r="C618" s="67" t="s">
        <v>254</v>
      </c>
      <c r="D618" s="67" t="s">
        <v>315</v>
      </c>
      <c r="E618" s="67">
        <v>1</v>
      </c>
      <c r="F618" s="8">
        <v>6634</v>
      </c>
    </row>
    <row r="619" spans="1:6">
      <c r="A619" s="131">
        <v>45914</v>
      </c>
      <c r="B619" s="67" t="s">
        <v>305</v>
      </c>
      <c r="C619" s="67" t="s">
        <v>252</v>
      </c>
      <c r="D619" s="67" t="s">
        <v>306</v>
      </c>
      <c r="E619" s="67">
        <v>8</v>
      </c>
      <c r="F619" s="8">
        <v>11035</v>
      </c>
    </row>
    <row r="620" spans="1:6">
      <c r="A620" s="131">
        <v>45914</v>
      </c>
      <c r="B620" s="67" t="s">
        <v>314</v>
      </c>
      <c r="C620" s="67" t="s">
        <v>253</v>
      </c>
      <c r="D620" s="67" t="s">
        <v>308</v>
      </c>
      <c r="E620" s="67">
        <v>5</v>
      </c>
      <c r="F620" s="8">
        <v>5276</v>
      </c>
    </row>
    <row r="621" spans="1:6">
      <c r="A621" s="131">
        <v>45915</v>
      </c>
      <c r="B621" s="67" t="s">
        <v>303</v>
      </c>
      <c r="C621" s="67" t="s">
        <v>253</v>
      </c>
      <c r="D621" s="67" t="s">
        <v>310</v>
      </c>
      <c r="E621" s="67">
        <v>7</v>
      </c>
      <c r="F621" s="8">
        <v>9581</v>
      </c>
    </row>
    <row r="622" spans="1:6">
      <c r="A622" s="131">
        <v>45915</v>
      </c>
      <c r="B622" s="67" t="s">
        <v>307</v>
      </c>
      <c r="C622" s="67" t="s">
        <v>254</v>
      </c>
      <c r="D622" s="67" t="s">
        <v>302</v>
      </c>
      <c r="E622" s="67">
        <v>12</v>
      </c>
      <c r="F622" s="8">
        <v>11063</v>
      </c>
    </row>
    <row r="623" spans="1:6">
      <c r="A623" s="131">
        <v>45916</v>
      </c>
      <c r="B623" s="67" t="s">
        <v>311</v>
      </c>
      <c r="C623" s="67" t="s">
        <v>253</v>
      </c>
      <c r="D623" s="67" t="s">
        <v>306</v>
      </c>
      <c r="E623" s="67">
        <v>9</v>
      </c>
      <c r="F623" s="8">
        <v>5279</v>
      </c>
    </row>
    <row r="624" spans="1:6">
      <c r="A624" s="131">
        <v>45916</v>
      </c>
      <c r="B624" s="67" t="s">
        <v>312</v>
      </c>
      <c r="C624" s="67" t="s">
        <v>287</v>
      </c>
      <c r="D624" s="67" t="s">
        <v>310</v>
      </c>
      <c r="E624" s="67">
        <v>14</v>
      </c>
      <c r="F624" s="8">
        <v>1694</v>
      </c>
    </row>
    <row r="625" spans="1:6">
      <c r="A625" s="131">
        <v>45916</v>
      </c>
      <c r="B625" s="67" t="s">
        <v>307</v>
      </c>
      <c r="C625" s="67" t="s">
        <v>253</v>
      </c>
      <c r="D625" s="67" t="s">
        <v>306</v>
      </c>
      <c r="E625" s="67">
        <v>5</v>
      </c>
      <c r="F625" s="8">
        <v>1591</v>
      </c>
    </row>
    <row r="626" spans="1:6">
      <c r="A626" s="131">
        <v>45918</v>
      </c>
      <c r="B626" s="67" t="s">
        <v>307</v>
      </c>
      <c r="C626" s="67" t="s">
        <v>253</v>
      </c>
      <c r="D626" s="67" t="s">
        <v>310</v>
      </c>
      <c r="E626" s="67">
        <v>1</v>
      </c>
      <c r="F626" s="8">
        <v>9088</v>
      </c>
    </row>
    <row r="627" spans="1:6">
      <c r="A627" s="131">
        <v>45918</v>
      </c>
      <c r="B627" s="67" t="s">
        <v>311</v>
      </c>
      <c r="C627" s="67" t="s">
        <v>253</v>
      </c>
      <c r="D627" s="67" t="s">
        <v>310</v>
      </c>
      <c r="E627" s="67">
        <v>8</v>
      </c>
      <c r="F627" s="8">
        <v>4938</v>
      </c>
    </row>
    <row r="628" spans="1:6">
      <c r="A628" s="131">
        <v>45919</v>
      </c>
      <c r="B628" s="67" t="s">
        <v>311</v>
      </c>
      <c r="C628" s="67" t="s">
        <v>254</v>
      </c>
      <c r="D628" s="67" t="s">
        <v>308</v>
      </c>
      <c r="E628" s="67">
        <v>8</v>
      </c>
      <c r="F628" s="8">
        <v>3467</v>
      </c>
    </row>
    <row r="629" spans="1:6">
      <c r="A629" s="131">
        <v>45919</v>
      </c>
      <c r="B629" s="67" t="s">
        <v>309</v>
      </c>
      <c r="C629" s="67" t="s">
        <v>252</v>
      </c>
      <c r="D629" s="67" t="s">
        <v>302</v>
      </c>
      <c r="E629" s="67">
        <v>2</v>
      </c>
      <c r="F629" s="8">
        <v>10622</v>
      </c>
    </row>
    <row r="630" spans="1:6">
      <c r="A630" s="131">
        <v>45919</v>
      </c>
      <c r="B630" s="67" t="s">
        <v>311</v>
      </c>
      <c r="C630" s="67" t="s">
        <v>253</v>
      </c>
      <c r="D630" s="67" t="s">
        <v>310</v>
      </c>
      <c r="E630" s="67">
        <v>7</v>
      </c>
      <c r="F630" s="8">
        <v>771</v>
      </c>
    </row>
    <row r="631" spans="1:6">
      <c r="A631" s="131">
        <v>45919</v>
      </c>
      <c r="B631" s="67" t="s">
        <v>313</v>
      </c>
      <c r="C631" s="67" t="s">
        <v>253</v>
      </c>
      <c r="D631" s="67" t="s">
        <v>315</v>
      </c>
      <c r="E631" s="67">
        <v>14</v>
      </c>
      <c r="F631" s="8">
        <v>3641</v>
      </c>
    </row>
    <row r="632" spans="1:6">
      <c r="A632" s="131">
        <v>45919</v>
      </c>
      <c r="B632" s="67" t="s">
        <v>307</v>
      </c>
      <c r="C632" s="67" t="s">
        <v>287</v>
      </c>
      <c r="D632" s="67" t="s">
        <v>308</v>
      </c>
      <c r="E632" s="67">
        <v>6</v>
      </c>
      <c r="F632" s="8">
        <v>3712</v>
      </c>
    </row>
    <row r="633" spans="1:6">
      <c r="A633" s="131">
        <v>45920</v>
      </c>
      <c r="B633" s="67" t="s">
        <v>314</v>
      </c>
      <c r="C633" s="67" t="s">
        <v>253</v>
      </c>
      <c r="D633" s="67" t="s">
        <v>315</v>
      </c>
      <c r="E633" s="67">
        <v>9</v>
      </c>
      <c r="F633" s="8">
        <v>5405</v>
      </c>
    </row>
    <row r="634" spans="1:6">
      <c r="A634" s="131">
        <v>45920</v>
      </c>
      <c r="B634" s="67" t="s">
        <v>303</v>
      </c>
      <c r="C634" s="67" t="s">
        <v>254</v>
      </c>
      <c r="D634" s="67" t="s">
        <v>306</v>
      </c>
      <c r="E634" s="67">
        <v>7</v>
      </c>
      <c r="F634" s="8">
        <v>8699</v>
      </c>
    </row>
    <row r="635" spans="1:6">
      <c r="A635" s="131">
        <v>45921</v>
      </c>
      <c r="B635" s="67" t="s">
        <v>316</v>
      </c>
      <c r="C635" s="67" t="s">
        <v>287</v>
      </c>
      <c r="D635" s="67" t="s">
        <v>304</v>
      </c>
      <c r="E635" s="67">
        <v>12</v>
      </c>
      <c r="F635" s="8">
        <v>4059</v>
      </c>
    </row>
    <row r="636" spans="1:6">
      <c r="A636" s="131">
        <v>45921</v>
      </c>
      <c r="B636" s="67" t="s">
        <v>305</v>
      </c>
      <c r="C636" s="67" t="s">
        <v>252</v>
      </c>
      <c r="D636" s="67" t="s">
        <v>304</v>
      </c>
      <c r="E636" s="67">
        <v>2</v>
      </c>
      <c r="F636" s="8">
        <v>3575</v>
      </c>
    </row>
    <row r="637" spans="1:6">
      <c r="A637" s="131">
        <v>45922</v>
      </c>
      <c r="B637" s="67" t="s">
        <v>316</v>
      </c>
      <c r="C637" s="67" t="s">
        <v>287</v>
      </c>
      <c r="D637" s="67" t="s">
        <v>310</v>
      </c>
      <c r="E637" s="67">
        <v>2</v>
      </c>
      <c r="F637" s="8">
        <v>8559</v>
      </c>
    </row>
    <row r="638" spans="1:6">
      <c r="A638" s="131">
        <v>45923</v>
      </c>
      <c r="B638" s="67" t="s">
        <v>305</v>
      </c>
      <c r="C638" s="67" t="s">
        <v>287</v>
      </c>
      <c r="D638" s="67" t="s">
        <v>310</v>
      </c>
      <c r="E638" s="67">
        <v>8</v>
      </c>
      <c r="F638" s="8">
        <v>2323</v>
      </c>
    </row>
    <row r="639" spans="1:6">
      <c r="A639" s="131">
        <v>45923</v>
      </c>
      <c r="B639" s="67" t="s">
        <v>316</v>
      </c>
      <c r="C639" s="67" t="s">
        <v>253</v>
      </c>
      <c r="D639" s="67" t="s">
        <v>315</v>
      </c>
      <c r="E639" s="67">
        <v>7</v>
      </c>
      <c r="F639" s="8">
        <v>10939</v>
      </c>
    </row>
    <row r="640" spans="1:6">
      <c r="A640" s="131">
        <v>45923</v>
      </c>
      <c r="B640" s="67" t="s">
        <v>311</v>
      </c>
      <c r="C640" s="67" t="s">
        <v>254</v>
      </c>
      <c r="D640" s="67" t="s">
        <v>315</v>
      </c>
      <c r="E640" s="67">
        <v>14</v>
      </c>
      <c r="F640" s="8">
        <v>8862</v>
      </c>
    </row>
    <row r="641" spans="1:6">
      <c r="A641" s="131">
        <v>45924</v>
      </c>
      <c r="B641" s="67" t="s">
        <v>312</v>
      </c>
      <c r="C641" s="67" t="s">
        <v>253</v>
      </c>
      <c r="D641" s="67" t="s">
        <v>315</v>
      </c>
      <c r="E641" s="67">
        <v>8</v>
      </c>
      <c r="F641" s="8">
        <v>4195</v>
      </c>
    </row>
    <row r="642" spans="1:6">
      <c r="A642" s="131">
        <v>45924</v>
      </c>
      <c r="B642" s="67" t="s">
        <v>313</v>
      </c>
      <c r="C642" s="67" t="s">
        <v>287</v>
      </c>
      <c r="D642" s="67" t="s">
        <v>315</v>
      </c>
      <c r="E642" s="67">
        <v>13</v>
      </c>
      <c r="F642" s="8">
        <v>7327</v>
      </c>
    </row>
    <row r="643" spans="1:6">
      <c r="A643" s="131">
        <v>45924</v>
      </c>
      <c r="B643" s="67" t="s">
        <v>316</v>
      </c>
      <c r="C643" s="67" t="s">
        <v>253</v>
      </c>
      <c r="D643" s="67" t="s">
        <v>304</v>
      </c>
      <c r="E643" s="67">
        <v>6</v>
      </c>
      <c r="F643" s="8">
        <v>8918</v>
      </c>
    </row>
    <row r="644" spans="1:6">
      <c r="A644" s="131">
        <v>45925</v>
      </c>
      <c r="B644" s="67" t="s">
        <v>301</v>
      </c>
      <c r="C644" s="67" t="s">
        <v>287</v>
      </c>
      <c r="D644" s="67" t="s">
        <v>308</v>
      </c>
      <c r="E644" s="67">
        <v>9</v>
      </c>
      <c r="F644" s="8">
        <v>4155</v>
      </c>
    </row>
    <row r="645" spans="1:6">
      <c r="A645" s="131">
        <v>45925</v>
      </c>
      <c r="B645" s="67" t="s">
        <v>311</v>
      </c>
      <c r="C645" s="67" t="s">
        <v>254</v>
      </c>
      <c r="D645" s="67" t="s">
        <v>302</v>
      </c>
      <c r="E645" s="67">
        <v>7</v>
      </c>
      <c r="F645" s="8">
        <v>9574</v>
      </c>
    </row>
    <row r="646" spans="1:6">
      <c r="A646" s="131">
        <v>45925</v>
      </c>
      <c r="B646" s="67" t="s">
        <v>305</v>
      </c>
      <c r="C646" s="67" t="s">
        <v>252</v>
      </c>
      <c r="D646" s="67" t="s">
        <v>310</v>
      </c>
      <c r="E646" s="67">
        <v>5</v>
      </c>
      <c r="F646" s="8">
        <v>10986</v>
      </c>
    </row>
    <row r="647" spans="1:6">
      <c r="A647" s="131">
        <v>45925</v>
      </c>
      <c r="B647" s="67" t="s">
        <v>309</v>
      </c>
      <c r="C647" s="67" t="s">
        <v>253</v>
      </c>
      <c r="D647" s="67" t="s">
        <v>308</v>
      </c>
      <c r="E647" s="67">
        <v>12</v>
      </c>
      <c r="F647" s="8">
        <v>9008</v>
      </c>
    </row>
    <row r="648" spans="1:6">
      <c r="A648" s="131">
        <v>45926</v>
      </c>
      <c r="B648" s="67" t="s">
        <v>301</v>
      </c>
      <c r="C648" s="67" t="s">
        <v>287</v>
      </c>
      <c r="D648" s="67" t="s">
        <v>315</v>
      </c>
      <c r="E648" s="67">
        <v>12</v>
      </c>
      <c r="F648" s="8">
        <v>9402</v>
      </c>
    </row>
    <row r="649" spans="1:6">
      <c r="A649" s="131">
        <v>45927</v>
      </c>
      <c r="B649" s="67" t="s">
        <v>316</v>
      </c>
      <c r="C649" s="67" t="s">
        <v>287</v>
      </c>
      <c r="D649" s="67" t="s">
        <v>306</v>
      </c>
      <c r="E649" s="67">
        <v>14</v>
      </c>
      <c r="F649" s="8">
        <v>6062</v>
      </c>
    </row>
    <row r="650" spans="1:6">
      <c r="A650" s="131">
        <v>45928</v>
      </c>
      <c r="B650" s="67" t="s">
        <v>301</v>
      </c>
      <c r="C650" s="67" t="s">
        <v>252</v>
      </c>
      <c r="D650" s="67" t="s">
        <v>315</v>
      </c>
      <c r="E650" s="67">
        <v>14</v>
      </c>
      <c r="F650" s="8">
        <v>4307</v>
      </c>
    </row>
    <row r="651" spans="1:6">
      <c r="A651" s="131">
        <v>45928</v>
      </c>
      <c r="B651" s="67" t="s">
        <v>316</v>
      </c>
      <c r="C651" s="67" t="s">
        <v>287</v>
      </c>
      <c r="D651" s="67" t="s">
        <v>304</v>
      </c>
      <c r="E651" s="67">
        <v>1</v>
      </c>
      <c r="F651" s="8">
        <v>1061</v>
      </c>
    </row>
    <row r="652" spans="1:6">
      <c r="A652" s="131">
        <v>45931</v>
      </c>
      <c r="B652" s="67" t="s">
        <v>311</v>
      </c>
      <c r="C652" s="67" t="s">
        <v>254</v>
      </c>
      <c r="D652" s="67" t="s">
        <v>315</v>
      </c>
      <c r="E652" s="67">
        <v>10</v>
      </c>
      <c r="F652" s="8">
        <v>9999</v>
      </c>
    </row>
    <row r="653" spans="1:6">
      <c r="A653" s="131">
        <v>45931</v>
      </c>
      <c r="B653" s="67" t="s">
        <v>309</v>
      </c>
      <c r="C653" s="67" t="s">
        <v>252</v>
      </c>
      <c r="D653" s="67" t="s">
        <v>306</v>
      </c>
      <c r="E653" s="67">
        <v>7</v>
      </c>
      <c r="F653" s="8">
        <v>1955</v>
      </c>
    </row>
    <row r="654" spans="1:6">
      <c r="A654" s="131">
        <v>45933</v>
      </c>
      <c r="B654" s="67" t="s">
        <v>313</v>
      </c>
      <c r="C654" s="67" t="s">
        <v>254</v>
      </c>
      <c r="D654" s="67" t="s">
        <v>306</v>
      </c>
      <c r="E654" s="67">
        <v>4</v>
      </c>
      <c r="F654" s="8">
        <v>2905</v>
      </c>
    </row>
    <row r="655" spans="1:6">
      <c r="A655" s="131">
        <v>45933</v>
      </c>
      <c r="B655" s="67" t="s">
        <v>307</v>
      </c>
      <c r="C655" s="67" t="s">
        <v>254</v>
      </c>
      <c r="D655" s="67" t="s">
        <v>308</v>
      </c>
      <c r="E655" s="67">
        <v>9</v>
      </c>
      <c r="F655" s="8">
        <v>1571</v>
      </c>
    </row>
    <row r="656" spans="1:6">
      <c r="A656" s="131">
        <v>45934</v>
      </c>
      <c r="B656" s="67" t="s">
        <v>311</v>
      </c>
      <c r="C656" s="67" t="s">
        <v>253</v>
      </c>
      <c r="D656" s="67" t="s">
        <v>310</v>
      </c>
      <c r="E656" s="67">
        <v>10</v>
      </c>
      <c r="F656" s="8">
        <v>9046</v>
      </c>
    </row>
    <row r="657" spans="1:6">
      <c r="A657" s="131">
        <v>45935</v>
      </c>
      <c r="B657" s="67" t="s">
        <v>312</v>
      </c>
      <c r="C657" s="67" t="s">
        <v>254</v>
      </c>
      <c r="D657" s="67" t="s">
        <v>302</v>
      </c>
      <c r="E657" s="67">
        <v>3</v>
      </c>
      <c r="F657" s="8">
        <v>4173</v>
      </c>
    </row>
    <row r="658" spans="1:6">
      <c r="A658" s="131">
        <v>45936</v>
      </c>
      <c r="B658" s="67" t="s">
        <v>307</v>
      </c>
      <c r="C658" s="67" t="s">
        <v>254</v>
      </c>
      <c r="D658" s="67" t="s">
        <v>306</v>
      </c>
      <c r="E658" s="67">
        <v>10</v>
      </c>
      <c r="F658" s="8">
        <v>4157</v>
      </c>
    </row>
    <row r="659" spans="1:6">
      <c r="A659" s="131">
        <v>45937</v>
      </c>
      <c r="B659" s="67" t="s">
        <v>305</v>
      </c>
      <c r="C659" s="67" t="s">
        <v>254</v>
      </c>
      <c r="D659" s="67" t="s">
        <v>304</v>
      </c>
      <c r="E659" s="67">
        <v>8</v>
      </c>
      <c r="F659" s="8">
        <v>8629</v>
      </c>
    </row>
    <row r="660" spans="1:6">
      <c r="A660" s="131">
        <v>45937</v>
      </c>
      <c r="B660" s="67" t="s">
        <v>312</v>
      </c>
      <c r="C660" s="67" t="s">
        <v>254</v>
      </c>
      <c r="D660" s="67" t="s">
        <v>310</v>
      </c>
      <c r="E660" s="67">
        <v>10</v>
      </c>
      <c r="F660" s="8">
        <v>9721</v>
      </c>
    </row>
    <row r="661" spans="1:6">
      <c r="A661" s="131">
        <v>45938</v>
      </c>
      <c r="B661" s="67" t="s">
        <v>316</v>
      </c>
      <c r="C661" s="67" t="s">
        <v>254</v>
      </c>
      <c r="D661" s="67" t="s">
        <v>315</v>
      </c>
      <c r="E661" s="67">
        <v>6</v>
      </c>
      <c r="F661" s="8">
        <v>11031</v>
      </c>
    </row>
    <row r="662" spans="1:6">
      <c r="A662" s="131">
        <v>45939</v>
      </c>
      <c r="B662" s="67" t="s">
        <v>316</v>
      </c>
      <c r="C662" s="67" t="s">
        <v>252</v>
      </c>
      <c r="D662" s="67" t="s">
        <v>306</v>
      </c>
      <c r="E662" s="67">
        <v>5</v>
      </c>
      <c r="F662" s="8">
        <v>5262</v>
      </c>
    </row>
    <row r="663" spans="1:6">
      <c r="A663" s="131">
        <v>45939</v>
      </c>
      <c r="B663" s="67" t="s">
        <v>303</v>
      </c>
      <c r="C663" s="67" t="s">
        <v>287</v>
      </c>
      <c r="D663" s="67" t="s">
        <v>306</v>
      </c>
      <c r="E663" s="67">
        <v>14</v>
      </c>
      <c r="F663" s="8">
        <v>11312</v>
      </c>
    </row>
    <row r="664" spans="1:6">
      <c r="A664" s="131">
        <v>45940</v>
      </c>
      <c r="B664" s="67" t="s">
        <v>311</v>
      </c>
      <c r="C664" s="67" t="s">
        <v>253</v>
      </c>
      <c r="D664" s="67" t="s">
        <v>306</v>
      </c>
      <c r="E664" s="67">
        <v>7</v>
      </c>
      <c r="F664" s="8">
        <v>11601</v>
      </c>
    </row>
    <row r="665" spans="1:6">
      <c r="A665" s="131">
        <v>45940</v>
      </c>
      <c r="B665" s="67" t="s">
        <v>305</v>
      </c>
      <c r="C665" s="67" t="s">
        <v>252</v>
      </c>
      <c r="D665" s="67" t="s">
        <v>304</v>
      </c>
      <c r="E665" s="67">
        <v>1</v>
      </c>
      <c r="F665" s="8">
        <v>1504</v>
      </c>
    </row>
    <row r="666" spans="1:6">
      <c r="A666" s="131">
        <v>45941</v>
      </c>
      <c r="B666" s="67" t="s">
        <v>313</v>
      </c>
      <c r="C666" s="67" t="s">
        <v>252</v>
      </c>
      <c r="D666" s="67" t="s">
        <v>304</v>
      </c>
      <c r="E666" s="67">
        <v>14</v>
      </c>
      <c r="F666" s="8">
        <v>4551</v>
      </c>
    </row>
    <row r="667" spans="1:6">
      <c r="A667" s="131">
        <v>45941</v>
      </c>
      <c r="B667" s="67" t="s">
        <v>305</v>
      </c>
      <c r="C667" s="67" t="s">
        <v>253</v>
      </c>
      <c r="D667" s="67" t="s">
        <v>315</v>
      </c>
      <c r="E667" s="67">
        <v>8</v>
      </c>
      <c r="F667" s="8">
        <v>4182</v>
      </c>
    </row>
    <row r="668" spans="1:6">
      <c r="A668" s="131">
        <v>45942</v>
      </c>
      <c r="B668" s="67" t="s">
        <v>301</v>
      </c>
      <c r="C668" s="67" t="s">
        <v>254</v>
      </c>
      <c r="D668" s="67" t="s">
        <v>306</v>
      </c>
      <c r="E668" s="67">
        <v>7</v>
      </c>
      <c r="F668" s="8">
        <v>11836</v>
      </c>
    </row>
    <row r="669" spans="1:6">
      <c r="A669" s="131">
        <v>45942</v>
      </c>
      <c r="B669" s="67" t="s">
        <v>312</v>
      </c>
      <c r="C669" s="67" t="s">
        <v>254</v>
      </c>
      <c r="D669" s="67" t="s">
        <v>308</v>
      </c>
      <c r="E669" s="67">
        <v>1</v>
      </c>
      <c r="F669" s="8">
        <v>2312</v>
      </c>
    </row>
    <row r="670" spans="1:6">
      <c r="A670" s="131">
        <v>45943</v>
      </c>
      <c r="B670" s="67" t="s">
        <v>305</v>
      </c>
      <c r="C670" s="67" t="s">
        <v>252</v>
      </c>
      <c r="D670" s="67" t="s">
        <v>304</v>
      </c>
      <c r="E670" s="67">
        <v>10</v>
      </c>
      <c r="F670" s="8">
        <v>11059</v>
      </c>
    </row>
    <row r="671" spans="1:6">
      <c r="A671" s="131">
        <v>45943</v>
      </c>
      <c r="B671" s="67" t="s">
        <v>312</v>
      </c>
      <c r="C671" s="67" t="s">
        <v>252</v>
      </c>
      <c r="D671" s="67" t="s">
        <v>308</v>
      </c>
      <c r="E671" s="67">
        <v>9</v>
      </c>
      <c r="F671" s="8">
        <v>3201</v>
      </c>
    </row>
    <row r="672" spans="1:6">
      <c r="A672" s="131">
        <v>45943</v>
      </c>
      <c r="B672" s="67" t="s">
        <v>307</v>
      </c>
      <c r="C672" s="67" t="s">
        <v>253</v>
      </c>
      <c r="D672" s="67" t="s">
        <v>308</v>
      </c>
      <c r="E672" s="67">
        <v>4</v>
      </c>
      <c r="F672" s="8">
        <v>9907</v>
      </c>
    </row>
    <row r="673" spans="1:6">
      <c r="A673" s="131">
        <v>45943</v>
      </c>
      <c r="B673" s="67" t="s">
        <v>307</v>
      </c>
      <c r="C673" s="67" t="s">
        <v>252</v>
      </c>
      <c r="D673" s="67" t="s">
        <v>315</v>
      </c>
      <c r="E673" s="67">
        <v>7</v>
      </c>
      <c r="F673" s="8">
        <v>9089</v>
      </c>
    </row>
    <row r="674" spans="1:6">
      <c r="A674" s="131">
        <v>45943</v>
      </c>
      <c r="B674" s="67" t="s">
        <v>303</v>
      </c>
      <c r="C674" s="67" t="s">
        <v>254</v>
      </c>
      <c r="D674" s="67" t="s">
        <v>306</v>
      </c>
      <c r="E674" s="67">
        <v>7</v>
      </c>
      <c r="F674" s="8">
        <v>6705</v>
      </c>
    </row>
    <row r="675" spans="1:6">
      <c r="A675" s="131">
        <v>45944</v>
      </c>
      <c r="B675" s="67" t="s">
        <v>313</v>
      </c>
      <c r="C675" s="67" t="s">
        <v>254</v>
      </c>
      <c r="D675" s="67" t="s">
        <v>308</v>
      </c>
      <c r="E675" s="67">
        <v>8</v>
      </c>
      <c r="F675" s="8">
        <v>2119</v>
      </c>
    </row>
    <row r="676" spans="1:6">
      <c r="A676" s="131">
        <v>45944</v>
      </c>
      <c r="B676" s="67" t="s">
        <v>316</v>
      </c>
      <c r="C676" s="67" t="s">
        <v>254</v>
      </c>
      <c r="D676" s="67" t="s">
        <v>315</v>
      </c>
      <c r="E676" s="67">
        <v>8</v>
      </c>
      <c r="F676" s="8">
        <v>3234</v>
      </c>
    </row>
    <row r="677" spans="1:6">
      <c r="A677" s="131">
        <v>45945</v>
      </c>
      <c r="B677" s="67" t="s">
        <v>311</v>
      </c>
      <c r="C677" s="67" t="s">
        <v>252</v>
      </c>
      <c r="D677" s="67" t="s">
        <v>310</v>
      </c>
      <c r="E677" s="67">
        <v>9</v>
      </c>
      <c r="F677" s="8">
        <v>2614</v>
      </c>
    </row>
    <row r="678" spans="1:6">
      <c r="A678" s="131">
        <v>45945</v>
      </c>
      <c r="B678" s="67" t="s">
        <v>314</v>
      </c>
      <c r="C678" s="67" t="s">
        <v>253</v>
      </c>
      <c r="D678" s="67" t="s">
        <v>304</v>
      </c>
      <c r="E678" s="67">
        <v>5</v>
      </c>
      <c r="F678" s="8">
        <v>2177</v>
      </c>
    </row>
    <row r="679" spans="1:6">
      <c r="A679" s="131">
        <v>45945</v>
      </c>
      <c r="B679" s="67" t="s">
        <v>312</v>
      </c>
      <c r="C679" s="67" t="s">
        <v>254</v>
      </c>
      <c r="D679" s="67" t="s">
        <v>315</v>
      </c>
      <c r="E679" s="67">
        <v>10</v>
      </c>
      <c r="F679" s="8">
        <v>6761</v>
      </c>
    </row>
    <row r="680" spans="1:6">
      <c r="A680" s="131">
        <v>45946</v>
      </c>
      <c r="B680" s="67" t="s">
        <v>313</v>
      </c>
      <c r="C680" s="67" t="s">
        <v>253</v>
      </c>
      <c r="D680" s="67" t="s">
        <v>306</v>
      </c>
      <c r="E680" s="67">
        <v>10</v>
      </c>
      <c r="F680" s="8">
        <v>8855</v>
      </c>
    </row>
    <row r="681" spans="1:6">
      <c r="A681" s="131">
        <v>45947</v>
      </c>
      <c r="B681" s="67" t="s">
        <v>309</v>
      </c>
      <c r="C681" s="67" t="s">
        <v>253</v>
      </c>
      <c r="D681" s="67" t="s">
        <v>308</v>
      </c>
      <c r="E681" s="67">
        <v>3</v>
      </c>
      <c r="F681" s="8">
        <v>4868</v>
      </c>
    </row>
    <row r="682" spans="1:6">
      <c r="A682" s="131">
        <v>45947</v>
      </c>
      <c r="B682" s="67" t="s">
        <v>313</v>
      </c>
      <c r="C682" s="67" t="s">
        <v>252</v>
      </c>
      <c r="D682" s="67" t="s">
        <v>302</v>
      </c>
      <c r="E682" s="67">
        <v>3</v>
      </c>
      <c r="F682" s="8">
        <v>7995</v>
      </c>
    </row>
    <row r="683" spans="1:6">
      <c r="A683" s="131">
        <v>45948</v>
      </c>
      <c r="B683" s="67" t="s">
        <v>309</v>
      </c>
      <c r="C683" s="67" t="s">
        <v>253</v>
      </c>
      <c r="D683" s="67" t="s">
        <v>304</v>
      </c>
      <c r="E683" s="67">
        <v>3</v>
      </c>
      <c r="F683" s="8">
        <v>4630</v>
      </c>
    </row>
    <row r="684" spans="1:6">
      <c r="A684" s="131">
        <v>45948</v>
      </c>
      <c r="B684" s="67" t="s">
        <v>303</v>
      </c>
      <c r="C684" s="67" t="s">
        <v>254</v>
      </c>
      <c r="D684" s="67" t="s">
        <v>302</v>
      </c>
      <c r="E684" s="67">
        <v>6</v>
      </c>
      <c r="F684" s="8">
        <v>6143</v>
      </c>
    </row>
    <row r="685" spans="1:6">
      <c r="A685" s="131">
        <v>45948</v>
      </c>
      <c r="B685" s="67" t="s">
        <v>316</v>
      </c>
      <c r="C685" s="67" t="s">
        <v>254</v>
      </c>
      <c r="D685" s="67" t="s">
        <v>306</v>
      </c>
      <c r="E685" s="67">
        <v>1</v>
      </c>
      <c r="F685" s="8">
        <v>770</v>
      </c>
    </row>
    <row r="686" spans="1:6">
      <c r="A686" s="131">
        <v>45949</v>
      </c>
      <c r="B686" s="67" t="s">
        <v>309</v>
      </c>
      <c r="C686" s="67" t="s">
        <v>254</v>
      </c>
      <c r="D686" s="67" t="s">
        <v>315</v>
      </c>
      <c r="E686" s="67">
        <v>12</v>
      </c>
      <c r="F686" s="8">
        <v>4512</v>
      </c>
    </row>
    <row r="687" spans="1:6">
      <c r="A687" s="131">
        <v>45949</v>
      </c>
      <c r="B687" s="67" t="s">
        <v>309</v>
      </c>
      <c r="C687" s="67" t="s">
        <v>253</v>
      </c>
      <c r="D687" s="67" t="s">
        <v>304</v>
      </c>
      <c r="E687" s="67">
        <v>14</v>
      </c>
      <c r="F687" s="8">
        <v>9712</v>
      </c>
    </row>
    <row r="688" spans="1:6">
      <c r="A688" s="131">
        <v>45950</v>
      </c>
      <c r="B688" s="67" t="s">
        <v>303</v>
      </c>
      <c r="C688" s="67" t="s">
        <v>252</v>
      </c>
      <c r="D688" s="67" t="s">
        <v>310</v>
      </c>
      <c r="E688" s="67">
        <v>14</v>
      </c>
      <c r="F688" s="8">
        <v>2964</v>
      </c>
    </row>
    <row r="689" spans="1:6">
      <c r="A689" s="131">
        <v>45951</v>
      </c>
      <c r="B689" s="67" t="s">
        <v>305</v>
      </c>
      <c r="C689" s="67" t="s">
        <v>253</v>
      </c>
      <c r="D689" s="67" t="s">
        <v>302</v>
      </c>
      <c r="E689" s="67">
        <v>3</v>
      </c>
      <c r="F689" s="8">
        <v>6270</v>
      </c>
    </row>
    <row r="690" spans="1:6">
      <c r="A690" s="131">
        <v>45952</v>
      </c>
      <c r="B690" s="67" t="s">
        <v>301</v>
      </c>
      <c r="C690" s="67" t="s">
        <v>252</v>
      </c>
      <c r="D690" s="67" t="s">
        <v>304</v>
      </c>
      <c r="E690" s="67">
        <v>1</v>
      </c>
      <c r="F690" s="8">
        <v>4035</v>
      </c>
    </row>
    <row r="691" spans="1:6">
      <c r="A691" s="131">
        <v>45952</v>
      </c>
      <c r="B691" s="67" t="s">
        <v>303</v>
      </c>
      <c r="C691" s="67" t="s">
        <v>253</v>
      </c>
      <c r="D691" s="67" t="s">
        <v>306</v>
      </c>
      <c r="E691" s="67">
        <v>6</v>
      </c>
      <c r="F691" s="8">
        <v>1999</v>
      </c>
    </row>
    <row r="692" spans="1:6">
      <c r="A692" s="131">
        <v>45953</v>
      </c>
      <c r="B692" s="67" t="s">
        <v>311</v>
      </c>
      <c r="C692" s="67" t="s">
        <v>253</v>
      </c>
      <c r="D692" s="67" t="s">
        <v>308</v>
      </c>
      <c r="E692" s="67">
        <v>11</v>
      </c>
      <c r="F692" s="8">
        <v>5114</v>
      </c>
    </row>
    <row r="693" spans="1:6">
      <c r="A693" s="131">
        <v>45953</v>
      </c>
      <c r="B693" s="67" t="s">
        <v>301</v>
      </c>
      <c r="C693" s="67" t="s">
        <v>254</v>
      </c>
      <c r="D693" s="67" t="s">
        <v>308</v>
      </c>
      <c r="E693" s="67">
        <v>12</v>
      </c>
      <c r="F693" s="8">
        <v>2386</v>
      </c>
    </row>
    <row r="694" spans="1:6">
      <c r="A694" s="131">
        <v>45954</v>
      </c>
      <c r="B694" s="67" t="s">
        <v>301</v>
      </c>
      <c r="C694" s="67" t="s">
        <v>252</v>
      </c>
      <c r="D694" s="67" t="s">
        <v>306</v>
      </c>
      <c r="E694" s="67">
        <v>5</v>
      </c>
      <c r="F694" s="8">
        <v>2839</v>
      </c>
    </row>
    <row r="695" spans="1:6">
      <c r="A695" s="131">
        <v>45954</v>
      </c>
      <c r="B695" s="67" t="s">
        <v>301</v>
      </c>
      <c r="C695" s="67" t="s">
        <v>287</v>
      </c>
      <c r="D695" s="67" t="s">
        <v>306</v>
      </c>
      <c r="E695" s="67">
        <v>13</v>
      </c>
      <c r="F695" s="8">
        <v>1127</v>
      </c>
    </row>
    <row r="696" spans="1:6">
      <c r="A696" s="131">
        <v>45955</v>
      </c>
      <c r="B696" s="67" t="s">
        <v>303</v>
      </c>
      <c r="C696" s="67" t="s">
        <v>253</v>
      </c>
      <c r="D696" s="67" t="s">
        <v>304</v>
      </c>
      <c r="E696" s="67">
        <v>10</v>
      </c>
      <c r="F696" s="8">
        <v>8118</v>
      </c>
    </row>
    <row r="697" spans="1:6">
      <c r="A697" s="131">
        <v>45955</v>
      </c>
      <c r="B697" s="67" t="s">
        <v>303</v>
      </c>
      <c r="C697" s="67" t="s">
        <v>252</v>
      </c>
      <c r="D697" s="67" t="s">
        <v>302</v>
      </c>
      <c r="E697" s="67">
        <v>10</v>
      </c>
      <c r="F697" s="8">
        <v>11549</v>
      </c>
    </row>
    <row r="698" spans="1:6">
      <c r="A698" s="131">
        <v>45955</v>
      </c>
      <c r="B698" s="67" t="s">
        <v>301</v>
      </c>
      <c r="C698" s="67" t="s">
        <v>254</v>
      </c>
      <c r="D698" s="67" t="s">
        <v>310</v>
      </c>
      <c r="E698" s="67">
        <v>13</v>
      </c>
      <c r="F698" s="8">
        <v>8754</v>
      </c>
    </row>
    <row r="699" spans="1:6">
      <c r="A699" s="131">
        <v>45955</v>
      </c>
      <c r="B699" s="67" t="s">
        <v>316</v>
      </c>
      <c r="C699" s="67" t="s">
        <v>253</v>
      </c>
      <c r="D699" s="67" t="s">
        <v>308</v>
      </c>
      <c r="E699" s="67">
        <v>1</v>
      </c>
      <c r="F699" s="8">
        <v>9559</v>
      </c>
    </row>
    <row r="700" spans="1:6">
      <c r="A700" s="131">
        <v>45957</v>
      </c>
      <c r="B700" s="67" t="s">
        <v>316</v>
      </c>
      <c r="C700" s="67" t="s">
        <v>252</v>
      </c>
      <c r="D700" s="67" t="s">
        <v>310</v>
      </c>
      <c r="E700" s="67">
        <v>5</v>
      </c>
      <c r="F700" s="8">
        <v>7071</v>
      </c>
    </row>
    <row r="701" spans="1:6">
      <c r="A701" s="131">
        <v>45957</v>
      </c>
      <c r="B701" s="67" t="s">
        <v>311</v>
      </c>
      <c r="C701" s="67" t="s">
        <v>254</v>
      </c>
      <c r="D701" s="67" t="s">
        <v>315</v>
      </c>
      <c r="E701" s="67">
        <v>4</v>
      </c>
      <c r="F701" s="8">
        <v>7791</v>
      </c>
    </row>
    <row r="702" spans="1:6">
      <c r="A702" s="131">
        <v>45959</v>
      </c>
      <c r="B702" s="67" t="s">
        <v>312</v>
      </c>
      <c r="C702" s="67" t="s">
        <v>254</v>
      </c>
      <c r="D702" s="67" t="s">
        <v>315</v>
      </c>
      <c r="E702" s="67">
        <v>6</v>
      </c>
      <c r="F702" s="8">
        <v>7504</v>
      </c>
    </row>
    <row r="703" spans="1:6">
      <c r="A703" s="131">
        <v>45959</v>
      </c>
      <c r="B703" s="67" t="s">
        <v>305</v>
      </c>
      <c r="C703" s="67" t="s">
        <v>252</v>
      </c>
      <c r="D703" s="67" t="s">
        <v>315</v>
      </c>
      <c r="E703" s="67">
        <v>5</v>
      </c>
      <c r="F703" s="8">
        <v>4734</v>
      </c>
    </row>
    <row r="704" spans="1:6">
      <c r="A704" s="131">
        <v>45959</v>
      </c>
      <c r="B704" s="67" t="s">
        <v>303</v>
      </c>
      <c r="C704" s="67" t="s">
        <v>254</v>
      </c>
      <c r="D704" s="67" t="s">
        <v>304</v>
      </c>
      <c r="E704" s="67">
        <v>9</v>
      </c>
      <c r="F704" s="8">
        <v>7672</v>
      </c>
    </row>
    <row r="705" spans="1:6">
      <c r="A705" s="131">
        <v>45959</v>
      </c>
      <c r="B705" s="67" t="s">
        <v>301</v>
      </c>
      <c r="C705" s="67" t="s">
        <v>254</v>
      </c>
      <c r="D705" s="67" t="s">
        <v>310</v>
      </c>
      <c r="E705" s="67">
        <v>12</v>
      </c>
      <c r="F705" s="8">
        <v>3670</v>
      </c>
    </row>
    <row r="706" spans="1:6">
      <c r="A706" s="131">
        <v>45960</v>
      </c>
      <c r="B706" s="67" t="s">
        <v>311</v>
      </c>
      <c r="C706" s="67" t="s">
        <v>287</v>
      </c>
      <c r="D706" s="67" t="s">
        <v>308</v>
      </c>
      <c r="E706" s="67">
        <v>5</v>
      </c>
      <c r="F706" s="8">
        <v>11739</v>
      </c>
    </row>
    <row r="707" spans="1:6">
      <c r="A707" s="131">
        <v>45961</v>
      </c>
      <c r="B707" s="67" t="s">
        <v>313</v>
      </c>
      <c r="C707" s="67" t="s">
        <v>254</v>
      </c>
      <c r="D707" s="67" t="s">
        <v>310</v>
      </c>
      <c r="E707" s="67">
        <v>11</v>
      </c>
      <c r="F707" s="8">
        <v>3826</v>
      </c>
    </row>
    <row r="708" spans="1:6">
      <c r="A708" s="131">
        <v>45961</v>
      </c>
      <c r="B708" s="67" t="s">
        <v>301</v>
      </c>
      <c r="C708" s="67" t="s">
        <v>254</v>
      </c>
      <c r="D708" s="67" t="s">
        <v>315</v>
      </c>
      <c r="E708" s="67">
        <v>5</v>
      </c>
      <c r="F708" s="8">
        <v>7032</v>
      </c>
    </row>
    <row r="709" spans="1:6">
      <c r="A709" s="131">
        <v>45962</v>
      </c>
      <c r="B709" s="67" t="s">
        <v>312</v>
      </c>
      <c r="C709" s="67" t="s">
        <v>254</v>
      </c>
      <c r="D709" s="67" t="s">
        <v>304</v>
      </c>
      <c r="E709" s="67">
        <v>12</v>
      </c>
      <c r="F709" s="8">
        <v>5368</v>
      </c>
    </row>
    <row r="710" spans="1:6">
      <c r="A710" s="131">
        <v>45962</v>
      </c>
      <c r="B710" s="67" t="s">
        <v>311</v>
      </c>
      <c r="C710" s="67" t="s">
        <v>287</v>
      </c>
      <c r="D710" s="67" t="s">
        <v>306</v>
      </c>
      <c r="E710" s="67">
        <v>6</v>
      </c>
      <c r="F710" s="8">
        <v>8309</v>
      </c>
    </row>
    <row r="711" spans="1:6">
      <c r="A711" s="131">
        <v>45962</v>
      </c>
      <c r="B711" s="67" t="s">
        <v>307</v>
      </c>
      <c r="C711" s="67" t="s">
        <v>253</v>
      </c>
      <c r="D711" s="67" t="s">
        <v>306</v>
      </c>
      <c r="E711" s="67">
        <v>11</v>
      </c>
      <c r="F711" s="8">
        <v>9277</v>
      </c>
    </row>
    <row r="712" spans="1:6">
      <c r="A712" s="131">
        <v>45963</v>
      </c>
      <c r="B712" s="67" t="s">
        <v>309</v>
      </c>
      <c r="C712" s="67" t="s">
        <v>254</v>
      </c>
      <c r="D712" s="67" t="s">
        <v>304</v>
      </c>
      <c r="E712" s="67">
        <v>4</v>
      </c>
      <c r="F712" s="8">
        <v>6137</v>
      </c>
    </row>
    <row r="713" spans="1:6">
      <c r="A713" s="131">
        <v>45963</v>
      </c>
      <c r="B713" s="67" t="s">
        <v>313</v>
      </c>
      <c r="C713" s="67" t="s">
        <v>252</v>
      </c>
      <c r="D713" s="67" t="s">
        <v>306</v>
      </c>
      <c r="E713" s="67">
        <v>12</v>
      </c>
      <c r="F713" s="8">
        <v>9291</v>
      </c>
    </row>
    <row r="714" spans="1:6">
      <c r="A714" s="131">
        <v>45963</v>
      </c>
      <c r="B714" s="67" t="s">
        <v>301</v>
      </c>
      <c r="C714" s="67" t="s">
        <v>287</v>
      </c>
      <c r="D714" s="67" t="s">
        <v>315</v>
      </c>
      <c r="E714" s="67">
        <v>11</v>
      </c>
      <c r="F714" s="8">
        <v>848</v>
      </c>
    </row>
    <row r="715" spans="1:6">
      <c r="A715" s="131">
        <v>45963</v>
      </c>
      <c r="B715" s="67" t="s">
        <v>305</v>
      </c>
      <c r="C715" s="67" t="s">
        <v>253</v>
      </c>
      <c r="D715" s="67" t="s">
        <v>315</v>
      </c>
      <c r="E715" s="67">
        <v>8</v>
      </c>
      <c r="F715" s="8">
        <v>5582</v>
      </c>
    </row>
    <row r="716" spans="1:6">
      <c r="A716" s="131">
        <v>45963</v>
      </c>
      <c r="B716" s="67" t="s">
        <v>307</v>
      </c>
      <c r="C716" s="67" t="s">
        <v>252</v>
      </c>
      <c r="D716" s="67" t="s">
        <v>308</v>
      </c>
      <c r="E716" s="67">
        <v>4</v>
      </c>
      <c r="F716" s="8">
        <v>8488</v>
      </c>
    </row>
    <row r="717" spans="1:6">
      <c r="A717" s="131">
        <v>45964</v>
      </c>
      <c r="B717" s="67" t="s">
        <v>316</v>
      </c>
      <c r="C717" s="67" t="s">
        <v>252</v>
      </c>
      <c r="D717" s="67" t="s">
        <v>315</v>
      </c>
      <c r="E717" s="67">
        <v>14</v>
      </c>
      <c r="F717" s="8">
        <v>7338</v>
      </c>
    </row>
    <row r="718" spans="1:6">
      <c r="A718" s="131">
        <v>45964</v>
      </c>
      <c r="B718" s="67" t="s">
        <v>316</v>
      </c>
      <c r="C718" s="67" t="s">
        <v>287</v>
      </c>
      <c r="D718" s="67" t="s">
        <v>310</v>
      </c>
      <c r="E718" s="67">
        <v>9</v>
      </c>
      <c r="F718" s="8">
        <v>8303</v>
      </c>
    </row>
    <row r="719" spans="1:6">
      <c r="A719" s="131">
        <v>45965</v>
      </c>
      <c r="B719" s="67" t="s">
        <v>314</v>
      </c>
      <c r="C719" s="67" t="s">
        <v>252</v>
      </c>
      <c r="D719" s="67" t="s">
        <v>310</v>
      </c>
      <c r="E719" s="67">
        <v>8</v>
      </c>
      <c r="F719" s="8">
        <v>9271</v>
      </c>
    </row>
    <row r="720" spans="1:6">
      <c r="A720" s="131">
        <v>45965</v>
      </c>
      <c r="B720" s="67" t="s">
        <v>313</v>
      </c>
      <c r="C720" s="67" t="s">
        <v>254</v>
      </c>
      <c r="D720" s="67" t="s">
        <v>302</v>
      </c>
      <c r="E720" s="67">
        <v>11</v>
      </c>
      <c r="F720" s="8">
        <v>1176</v>
      </c>
    </row>
    <row r="721" spans="1:6">
      <c r="A721" s="131">
        <v>45966</v>
      </c>
      <c r="B721" s="67" t="s">
        <v>312</v>
      </c>
      <c r="C721" s="67" t="s">
        <v>254</v>
      </c>
      <c r="D721" s="67" t="s">
        <v>308</v>
      </c>
      <c r="E721" s="67">
        <v>11</v>
      </c>
      <c r="F721" s="8">
        <v>2514</v>
      </c>
    </row>
    <row r="722" spans="1:6">
      <c r="A722" s="131">
        <v>45966</v>
      </c>
      <c r="B722" s="67" t="s">
        <v>316</v>
      </c>
      <c r="C722" s="67" t="s">
        <v>254</v>
      </c>
      <c r="D722" s="67" t="s">
        <v>302</v>
      </c>
      <c r="E722" s="67">
        <v>14</v>
      </c>
      <c r="F722" s="8">
        <v>1945</v>
      </c>
    </row>
    <row r="723" spans="1:6">
      <c r="A723" s="131">
        <v>45968</v>
      </c>
      <c r="B723" s="67" t="s">
        <v>305</v>
      </c>
      <c r="C723" s="67" t="s">
        <v>253</v>
      </c>
      <c r="D723" s="67" t="s">
        <v>306</v>
      </c>
      <c r="E723" s="67">
        <v>12</v>
      </c>
      <c r="F723" s="8">
        <v>11255</v>
      </c>
    </row>
    <row r="724" spans="1:6">
      <c r="A724" s="131">
        <v>45968</v>
      </c>
      <c r="B724" s="67" t="s">
        <v>309</v>
      </c>
      <c r="C724" s="67" t="s">
        <v>287</v>
      </c>
      <c r="D724" s="67" t="s">
        <v>310</v>
      </c>
      <c r="E724" s="67">
        <v>13</v>
      </c>
      <c r="F724" s="8">
        <v>3102</v>
      </c>
    </row>
    <row r="725" spans="1:6">
      <c r="A725" s="131">
        <v>45968</v>
      </c>
      <c r="B725" s="67" t="s">
        <v>312</v>
      </c>
      <c r="C725" s="67" t="s">
        <v>253</v>
      </c>
      <c r="D725" s="67" t="s">
        <v>302</v>
      </c>
      <c r="E725" s="67">
        <v>5</v>
      </c>
      <c r="F725" s="8">
        <v>3925</v>
      </c>
    </row>
    <row r="726" spans="1:6">
      <c r="A726" s="131">
        <v>45968</v>
      </c>
      <c r="B726" s="67" t="s">
        <v>316</v>
      </c>
      <c r="C726" s="67" t="s">
        <v>254</v>
      </c>
      <c r="D726" s="67" t="s">
        <v>315</v>
      </c>
      <c r="E726" s="67">
        <v>1</v>
      </c>
      <c r="F726" s="8">
        <v>10508</v>
      </c>
    </row>
    <row r="727" spans="1:6">
      <c r="A727" s="131">
        <v>45970</v>
      </c>
      <c r="B727" s="67" t="s">
        <v>312</v>
      </c>
      <c r="C727" s="67" t="s">
        <v>253</v>
      </c>
      <c r="D727" s="67" t="s">
        <v>304</v>
      </c>
      <c r="E727" s="67">
        <v>6</v>
      </c>
      <c r="F727" s="8">
        <v>1144</v>
      </c>
    </row>
    <row r="728" spans="1:6">
      <c r="A728" s="131">
        <v>45970</v>
      </c>
      <c r="B728" s="67" t="s">
        <v>307</v>
      </c>
      <c r="C728" s="67" t="s">
        <v>252</v>
      </c>
      <c r="D728" s="67" t="s">
        <v>304</v>
      </c>
      <c r="E728" s="67">
        <v>14</v>
      </c>
      <c r="F728" s="8">
        <v>7174</v>
      </c>
    </row>
    <row r="729" spans="1:6">
      <c r="A729" s="131">
        <v>45971</v>
      </c>
      <c r="B729" s="67" t="s">
        <v>303</v>
      </c>
      <c r="C729" s="67" t="s">
        <v>254</v>
      </c>
      <c r="D729" s="67" t="s">
        <v>315</v>
      </c>
      <c r="E729" s="67">
        <v>9</v>
      </c>
      <c r="F729" s="8">
        <v>8074</v>
      </c>
    </row>
    <row r="730" spans="1:6">
      <c r="A730" s="131">
        <v>45971</v>
      </c>
      <c r="B730" s="67" t="s">
        <v>311</v>
      </c>
      <c r="C730" s="67" t="s">
        <v>252</v>
      </c>
      <c r="D730" s="67" t="s">
        <v>304</v>
      </c>
      <c r="E730" s="67">
        <v>4</v>
      </c>
      <c r="F730" s="8">
        <v>8172</v>
      </c>
    </row>
    <row r="731" spans="1:6">
      <c r="A731" s="131">
        <v>45971</v>
      </c>
      <c r="B731" s="67" t="s">
        <v>312</v>
      </c>
      <c r="C731" s="67" t="s">
        <v>253</v>
      </c>
      <c r="D731" s="67" t="s">
        <v>310</v>
      </c>
      <c r="E731" s="67">
        <v>5</v>
      </c>
      <c r="F731" s="8">
        <v>7288</v>
      </c>
    </row>
    <row r="732" spans="1:6">
      <c r="A732" s="131">
        <v>45971</v>
      </c>
      <c r="B732" s="67" t="s">
        <v>305</v>
      </c>
      <c r="C732" s="67" t="s">
        <v>254</v>
      </c>
      <c r="D732" s="67" t="s">
        <v>302</v>
      </c>
      <c r="E732" s="67">
        <v>4</v>
      </c>
      <c r="F732" s="8">
        <v>4596</v>
      </c>
    </row>
    <row r="733" spans="1:6">
      <c r="A733" s="131">
        <v>45972</v>
      </c>
      <c r="B733" s="67" t="s">
        <v>313</v>
      </c>
      <c r="C733" s="67" t="s">
        <v>252</v>
      </c>
      <c r="D733" s="67" t="s">
        <v>304</v>
      </c>
      <c r="E733" s="67">
        <v>7</v>
      </c>
      <c r="F733" s="8">
        <v>5576</v>
      </c>
    </row>
    <row r="734" spans="1:6">
      <c r="A734" s="131">
        <v>45973</v>
      </c>
      <c r="B734" s="67" t="s">
        <v>307</v>
      </c>
      <c r="C734" s="67" t="s">
        <v>252</v>
      </c>
      <c r="D734" s="67" t="s">
        <v>310</v>
      </c>
      <c r="E734" s="67">
        <v>3</v>
      </c>
      <c r="F734" s="8">
        <v>7061</v>
      </c>
    </row>
    <row r="735" spans="1:6">
      <c r="A735" s="131">
        <v>45975</v>
      </c>
      <c r="B735" s="67" t="s">
        <v>309</v>
      </c>
      <c r="C735" s="67" t="s">
        <v>287</v>
      </c>
      <c r="D735" s="67" t="s">
        <v>310</v>
      </c>
      <c r="E735" s="67">
        <v>5</v>
      </c>
      <c r="F735" s="8">
        <v>3155</v>
      </c>
    </row>
    <row r="736" spans="1:6">
      <c r="A736" s="131">
        <v>45976</v>
      </c>
      <c r="B736" s="67" t="s">
        <v>309</v>
      </c>
      <c r="C736" s="67" t="s">
        <v>287</v>
      </c>
      <c r="D736" s="67" t="s">
        <v>306</v>
      </c>
      <c r="E736" s="67">
        <v>5</v>
      </c>
      <c r="F736" s="8">
        <v>6019</v>
      </c>
    </row>
    <row r="737" spans="1:6">
      <c r="A737" s="131">
        <v>45976</v>
      </c>
      <c r="B737" s="67" t="s">
        <v>305</v>
      </c>
      <c r="C737" s="67" t="s">
        <v>254</v>
      </c>
      <c r="D737" s="67" t="s">
        <v>302</v>
      </c>
      <c r="E737" s="67">
        <v>14</v>
      </c>
      <c r="F737" s="8">
        <v>11685</v>
      </c>
    </row>
    <row r="738" spans="1:6">
      <c r="A738" s="131">
        <v>45977</v>
      </c>
      <c r="B738" s="67" t="s">
        <v>311</v>
      </c>
      <c r="C738" s="67" t="s">
        <v>254</v>
      </c>
      <c r="D738" s="67" t="s">
        <v>308</v>
      </c>
      <c r="E738" s="67">
        <v>8</v>
      </c>
      <c r="F738" s="8">
        <v>11091</v>
      </c>
    </row>
    <row r="739" spans="1:6">
      <c r="A739" s="131">
        <v>45977</v>
      </c>
      <c r="B739" s="67" t="s">
        <v>313</v>
      </c>
      <c r="C739" s="67" t="s">
        <v>254</v>
      </c>
      <c r="D739" s="67" t="s">
        <v>310</v>
      </c>
      <c r="E739" s="67">
        <v>2</v>
      </c>
      <c r="F739" s="8">
        <v>7487</v>
      </c>
    </row>
    <row r="740" spans="1:6">
      <c r="A740" s="131">
        <v>45977</v>
      </c>
      <c r="B740" s="67" t="s">
        <v>311</v>
      </c>
      <c r="C740" s="67" t="s">
        <v>252</v>
      </c>
      <c r="D740" s="67" t="s">
        <v>302</v>
      </c>
      <c r="E740" s="67">
        <v>4</v>
      </c>
      <c r="F740" s="8">
        <v>2648</v>
      </c>
    </row>
    <row r="741" spans="1:6">
      <c r="A741" s="131">
        <v>45978</v>
      </c>
      <c r="B741" s="67" t="s">
        <v>301</v>
      </c>
      <c r="C741" s="67" t="s">
        <v>253</v>
      </c>
      <c r="D741" s="67" t="s">
        <v>306</v>
      </c>
      <c r="E741" s="67">
        <v>7</v>
      </c>
      <c r="F741" s="8">
        <v>2118</v>
      </c>
    </row>
    <row r="742" spans="1:6">
      <c r="A742" s="131">
        <v>45978</v>
      </c>
      <c r="B742" s="67" t="s">
        <v>309</v>
      </c>
      <c r="C742" s="67" t="s">
        <v>287</v>
      </c>
      <c r="D742" s="67" t="s">
        <v>315</v>
      </c>
      <c r="E742" s="67">
        <v>5</v>
      </c>
      <c r="F742" s="8">
        <v>1295</v>
      </c>
    </row>
    <row r="743" spans="1:6">
      <c r="A743" s="131">
        <v>45979</v>
      </c>
      <c r="B743" s="67" t="s">
        <v>307</v>
      </c>
      <c r="C743" s="67" t="s">
        <v>254</v>
      </c>
      <c r="D743" s="67" t="s">
        <v>308</v>
      </c>
      <c r="E743" s="67">
        <v>3</v>
      </c>
      <c r="F743" s="8">
        <v>7591</v>
      </c>
    </row>
    <row r="744" spans="1:6">
      <c r="A744" s="131">
        <v>45979</v>
      </c>
      <c r="B744" s="67" t="s">
        <v>316</v>
      </c>
      <c r="C744" s="67" t="s">
        <v>287</v>
      </c>
      <c r="D744" s="67" t="s">
        <v>302</v>
      </c>
      <c r="E744" s="67">
        <v>6</v>
      </c>
      <c r="F744" s="8">
        <v>1169</v>
      </c>
    </row>
    <row r="745" spans="1:6">
      <c r="A745" s="131">
        <v>45979</v>
      </c>
      <c r="B745" s="67" t="s">
        <v>301</v>
      </c>
      <c r="C745" s="67" t="s">
        <v>287</v>
      </c>
      <c r="D745" s="67" t="s">
        <v>308</v>
      </c>
      <c r="E745" s="67">
        <v>5</v>
      </c>
      <c r="F745" s="8">
        <v>882</v>
      </c>
    </row>
    <row r="746" spans="1:6">
      <c r="A746" s="131">
        <v>45979</v>
      </c>
      <c r="B746" s="67" t="s">
        <v>311</v>
      </c>
      <c r="C746" s="67" t="s">
        <v>253</v>
      </c>
      <c r="D746" s="67" t="s">
        <v>302</v>
      </c>
      <c r="E746" s="67">
        <v>8</v>
      </c>
      <c r="F746" s="8">
        <v>5312</v>
      </c>
    </row>
    <row r="747" spans="1:6">
      <c r="A747" s="131">
        <v>45980</v>
      </c>
      <c r="B747" s="67" t="s">
        <v>311</v>
      </c>
      <c r="C747" s="67" t="s">
        <v>254</v>
      </c>
      <c r="D747" s="67" t="s">
        <v>315</v>
      </c>
      <c r="E747" s="67">
        <v>4</v>
      </c>
      <c r="F747" s="8">
        <v>8442</v>
      </c>
    </row>
    <row r="748" spans="1:6">
      <c r="A748" s="131">
        <v>45980</v>
      </c>
      <c r="B748" s="67" t="s">
        <v>316</v>
      </c>
      <c r="C748" s="67" t="s">
        <v>252</v>
      </c>
      <c r="D748" s="67" t="s">
        <v>315</v>
      </c>
      <c r="E748" s="67">
        <v>12</v>
      </c>
      <c r="F748" s="8">
        <v>10086</v>
      </c>
    </row>
    <row r="749" spans="1:6">
      <c r="A749" s="131">
        <v>45981</v>
      </c>
      <c r="B749" s="67" t="s">
        <v>301</v>
      </c>
      <c r="C749" s="67" t="s">
        <v>252</v>
      </c>
      <c r="D749" s="67" t="s">
        <v>302</v>
      </c>
      <c r="E749" s="67">
        <v>5</v>
      </c>
      <c r="F749" s="8">
        <v>5498</v>
      </c>
    </row>
    <row r="750" spans="1:6">
      <c r="A750" s="131">
        <v>45981</v>
      </c>
      <c r="B750" s="67" t="s">
        <v>316</v>
      </c>
      <c r="C750" s="67" t="s">
        <v>287</v>
      </c>
      <c r="D750" s="67" t="s">
        <v>302</v>
      </c>
      <c r="E750" s="67">
        <v>6</v>
      </c>
      <c r="F750" s="8">
        <v>1957</v>
      </c>
    </row>
    <row r="751" spans="1:6">
      <c r="A751" s="131">
        <v>45983</v>
      </c>
      <c r="B751" s="67" t="s">
        <v>301</v>
      </c>
      <c r="C751" s="67" t="s">
        <v>252</v>
      </c>
      <c r="D751" s="67" t="s">
        <v>302</v>
      </c>
      <c r="E751" s="67">
        <v>14</v>
      </c>
      <c r="F751" s="8">
        <v>4304</v>
      </c>
    </row>
    <row r="752" spans="1:6">
      <c r="A752" s="131">
        <v>45983</v>
      </c>
      <c r="B752" s="67" t="s">
        <v>316</v>
      </c>
      <c r="C752" s="67" t="s">
        <v>253</v>
      </c>
      <c r="D752" s="67" t="s">
        <v>304</v>
      </c>
      <c r="E752" s="67">
        <v>6</v>
      </c>
      <c r="F752" s="8">
        <v>7812</v>
      </c>
    </row>
    <row r="753" spans="1:6">
      <c r="A753" s="131">
        <v>45984</v>
      </c>
      <c r="B753" s="67" t="s">
        <v>311</v>
      </c>
      <c r="C753" s="67" t="s">
        <v>253</v>
      </c>
      <c r="D753" s="67" t="s">
        <v>306</v>
      </c>
      <c r="E753" s="67">
        <v>8</v>
      </c>
      <c r="F753" s="8">
        <v>8419</v>
      </c>
    </row>
    <row r="754" spans="1:6">
      <c r="A754" s="131">
        <v>45985</v>
      </c>
      <c r="B754" s="67" t="s">
        <v>303</v>
      </c>
      <c r="C754" s="67" t="s">
        <v>253</v>
      </c>
      <c r="D754" s="67" t="s">
        <v>308</v>
      </c>
      <c r="E754" s="67">
        <v>1</v>
      </c>
      <c r="F754" s="8">
        <v>3288</v>
      </c>
    </row>
    <row r="755" spans="1:6">
      <c r="A755" s="131">
        <v>45985</v>
      </c>
      <c r="B755" s="67" t="s">
        <v>313</v>
      </c>
      <c r="C755" s="67" t="s">
        <v>253</v>
      </c>
      <c r="D755" s="67" t="s">
        <v>308</v>
      </c>
      <c r="E755" s="67">
        <v>11</v>
      </c>
      <c r="F755" s="8">
        <v>1057</v>
      </c>
    </row>
    <row r="756" spans="1:6">
      <c r="A756" s="131">
        <v>45985</v>
      </c>
      <c r="B756" s="67" t="s">
        <v>313</v>
      </c>
      <c r="C756" s="67" t="s">
        <v>287</v>
      </c>
      <c r="D756" s="67" t="s">
        <v>310</v>
      </c>
      <c r="E756" s="67">
        <v>6</v>
      </c>
      <c r="F756" s="8">
        <v>7686</v>
      </c>
    </row>
    <row r="757" spans="1:6">
      <c r="A757" s="131">
        <v>45986</v>
      </c>
      <c r="B757" s="67" t="s">
        <v>314</v>
      </c>
      <c r="C757" s="67" t="s">
        <v>254</v>
      </c>
      <c r="D757" s="67" t="s">
        <v>310</v>
      </c>
      <c r="E757" s="67">
        <v>6</v>
      </c>
      <c r="F757" s="8">
        <v>5345</v>
      </c>
    </row>
    <row r="758" spans="1:6">
      <c r="A758" s="131">
        <v>45986</v>
      </c>
      <c r="B758" s="67" t="s">
        <v>311</v>
      </c>
      <c r="C758" s="67" t="s">
        <v>253</v>
      </c>
      <c r="D758" s="67" t="s">
        <v>306</v>
      </c>
      <c r="E758" s="67">
        <v>3</v>
      </c>
      <c r="F758" s="8">
        <v>7366</v>
      </c>
    </row>
    <row r="759" spans="1:6">
      <c r="A759" s="131">
        <v>45987</v>
      </c>
      <c r="B759" s="67" t="s">
        <v>303</v>
      </c>
      <c r="C759" s="67" t="s">
        <v>254</v>
      </c>
      <c r="D759" s="67" t="s">
        <v>310</v>
      </c>
      <c r="E759" s="67">
        <v>1</v>
      </c>
      <c r="F759" s="8">
        <v>11971</v>
      </c>
    </row>
    <row r="760" spans="1:6">
      <c r="A760" s="131">
        <v>45988</v>
      </c>
      <c r="B760" s="67" t="s">
        <v>313</v>
      </c>
      <c r="C760" s="67" t="s">
        <v>254</v>
      </c>
      <c r="D760" s="67" t="s">
        <v>308</v>
      </c>
      <c r="E760" s="67">
        <v>10</v>
      </c>
      <c r="F760" s="8">
        <v>11933</v>
      </c>
    </row>
    <row r="761" spans="1:6">
      <c r="A761" s="131">
        <v>45988</v>
      </c>
      <c r="B761" s="67" t="s">
        <v>314</v>
      </c>
      <c r="C761" s="67" t="s">
        <v>253</v>
      </c>
      <c r="D761" s="67" t="s">
        <v>306</v>
      </c>
      <c r="E761" s="67">
        <v>3</v>
      </c>
      <c r="F761" s="8">
        <v>11689</v>
      </c>
    </row>
    <row r="762" spans="1:6">
      <c r="A762" s="131">
        <v>45988</v>
      </c>
      <c r="B762" s="67" t="s">
        <v>311</v>
      </c>
      <c r="C762" s="67" t="s">
        <v>287</v>
      </c>
      <c r="D762" s="67" t="s">
        <v>306</v>
      </c>
      <c r="E762" s="67">
        <v>11</v>
      </c>
      <c r="F762" s="8">
        <v>4202</v>
      </c>
    </row>
    <row r="763" spans="1:6">
      <c r="A763" s="131">
        <v>45989</v>
      </c>
      <c r="B763" s="67" t="s">
        <v>314</v>
      </c>
      <c r="C763" s="67" t="s">
        <v>253</v>
      </c>
      <c r="D763" s="67" t="s">
        <v>315</v>
      </c>
      <c r="E763" s="67">
        <v>8</v>
      </c>
      <c r="F763" s="8">
        <v>7358</v>
      </c>
    </row>
    <row r="764" spans="1:6">
      <c r="A764" s="131">
        <v>45989</v>
      </c>
      <c r="B764" s="67" t="s">
        <v>303</v>
      </c>
      <c r="C764" s="67" t="s">
        <v>254</v>
      </c>
      <c r="D764" s="67" t="s">
        <v>308</v>
      </c>
      <c r="E764" s="67">
        <v>8</v>
      </c>
      <c r="F764" s="8">
        <v>8096</v>
      </c>
    </row>
    <row r="765" spans="1:6">
      <c r="A765" s="131">
        <v>45990</v>
      </c>
      <c r="B765" s="67" t="s">
        <v>312</v>
      </c>
      <c r="C765" s="67" t="s">
        <v>254</v>
      </c>
      <c r="D765" s="67" t="s">
        <v>308</v>
      </c>
      <c r="E765" s="67">
        <v>12</v>
      </c>
      <c r="F765" s="8">
        <v>1582</v>
      </c>
    </row>
    <row r="766" spans="1:6">
      <c r="A766" s="131">
        <v>45990</v>
      </c>
      <c r="B766" s="67" t="s">
        <v>307</v>
      </c>
      <c r="C766" s="67" t="s">
        <v>254</v>
      </c>
      <c r="D766" s="67" t="s">
        <v>310</v>
      </c>
      <c r="E766" s="67">
        <v>8</v>
      </c>
      <c r="F766" s="8">
        <v>7056</v>
      </c>
    </row>
    <row r="767" spans="1:6">
      <c r="A767" s="131">
        <v>45991</v>
      </c>
      <c r="B767" s="67" t="s">
        <v>309</v>
      </c>
      <c r="C767" s="67" t="s">
        <v>254</v>
      </c>
      <c r="D767" s="67" t="s">
        <v>308</v>
      </c>
      <c r="E767" s="67">
        <v>12</v>
      </c>
      <c r="F767" s="8">
        <v>1880</v>
      </c>
    </row>
    <row r="768" spans="1:6">
      <c r="A768" s="131">
        <v>45991</v>
      </c>
      <c r="B768" s="67" t="s">
        <v>307</v>
      </c>
      <c r="C768" s="67" t="s">
        <v>253</v>
      </c>
      <c r="D768" s="67" t="s">
        <v>302</v>
      </c>
      <c r="E768" s="67">
        <v>3</v>
      </c>
      <c r="F768" s="8">
        <v>6361</v>
      </c>
    </row>
    <row r="769" spans="1:6">
      <c r="A769" s="131">
        <v>45991</v>
      </c>
      <c r="B769" s="67" t="s">
        <v>311</v>
      </c>
      <c r="C769" s="67" t="s">
        <v>252</v>
      </c>
      <c r="D769" s="67" t="s">
        <v>306</v>
      </c>
      <c r="E769" s="67">
        <v>9</v>
      </c>
      <c r="F769" s="8">
        <v>3387</v>
      </c>
    </row>
    <row r="770" spans="1:6">
      <c r="A770" s="131">
        <v>45992</v>
      </c>
      <c r="B770" s="67" t="s">
        <v>309</v>
      </c>
      <c r="C770" s="67" t="s">
        <v>253</v>
      </c>
      <c r="D770" s="67" t="s">
        <v>302</v>
      </c>
      <c r="E770" s="67">
        <v>4</v>
      </c>
      <c r="F770" s="8">
        <v>4696</v>
      </c>
    </row>
    <row r="771" spans="1:6">
      <c r="A771" s="131">
        <v>45992</v>
      </c>
      <c r="B771" s="67" t="s">
        <v>309</v>
      </c>
      <c r="C771" s="67" t="s">
        <v>253</v>
      </c>
      <c r="D771" s="67" t="s">
        <v>310</v>
      </c>
      <c r="E771" s="67">
        <v>10</v>
      </c>
      <c r="F771" s="8">
        <v>2683</v>
      </c>
    </row>
    <row r="772" spans="1:6">
      <c r="A772" s="131">
        <v>45992</v>
      </c>
      <c r="B772" s="67" t="s">
        <v>305</v>
      </c>
      <c r="C772" s="67" t="s">
        <v>253</v>
      </c>
      <c r="D772" s="67" t="s">
        <v>302</v>
      </c>
      <c r="E772" s="67">
        <v>13</v>
      </c>
      <c r="F772" s="8">
        <v>10414</v>
      </c>
    </row>
    <row r="773" spans="1:6">
      <c r="A773" s="131">
        <v>45992</v>
      </c>
      <c r="B773" s="67" t="s">
        <v>316</v>
      </c>
      <c r="C773" s="67" t="s">
        <v>252</v>
      </c>
      <c r="D773" s="67" t="s">
        <v>310</v>
      </c>
      <c r="E773" s="67">
        <v>14</v>
      </c>
      <c r="F773" s="8">
        <v>2176</v>
      </c>
    </row>
    <row r="774" spans="1:6">
      <c r="A774" s="131">
        <v>45992</v>
      </c>
      <c r="B774" s="67" t="s">
        <v>303</v>
      </c>
      <c r="C774" s="67" t="s">
        <v>252</v>
      </c>
      <c r="D774" s="67" t="s">
        <v>304</v>
      </c>
      <c r="E774" s="67">
        <v>11</v>
      </c>
      <c r="F774" s="8">
        <v>10407</v>
      </c>
    </row>
    <row r="775" spans="1:6">
      <c r="A775" s="131">
        <v>45992</v>
      </c>
      <c r="B775" s="67" t="s">
        <v>313</v>
      </c>
      <c r="C775" s="67" t="s">
        <v>253</v>
      </c>
      <c r="D775" s="67" t="s">
        <v>306</v>
      </c>
      <c r="E775" s="67">
        <v>10</v>
      </c>
      <c r="F775" s="8">
        <v>2199</v>
      </c>
    </row>
    <row r="776" spans="1:6">
      <c r="A776" s="131">
        <v>45992</v>
      </c>
      <c r="B776" s="67" t="s">
        <v>314</v>
      </c>
      <c r="C776" s="67" t="s">
        <v>254</v>
      </c>
      <c r="D776" s="67" t="s">
        <v>310</v>
      </c>
      <c r="E776" s="67">
        <v>8</v>
      </c>
      <c r="F776" s="8">
        <v>3368</v>
      </c>
    </row>
    <row r="777" spans="1:6">
      <c r="A777" s="131">
        <v>45993</v>
      </c>
      <c r="B777" s="67" t="s">
        <v>305</v>
      </c>
      <c r="C777" s="67" t="s">
        <v>254</v>
      </c>
      <c r="D777" s="67" t="s">
        <v>306</v>
      </c>
      <c r="E777" s="67">
        <v>13</v>
      </c>
      <c r="F777" s="8">
        <v>4831</v>
      </c>
    </row>
    <row r="778" spans="1:6">
      <c r="A778" s="131">
        <v>45993</v>
      </c>
      <c r="B778" s="67" t="s">
        <v>305</v>
      </c>
      <c r="C778" s="67" t="s">
        <v>253</v>
      </c>
      <c r="D778" s="67" t="s">
        <v>308</v>
      </c>
      <c r="E778" s="67">
        <v>13</v>
      </c>
      <c r="F778" s="8">
        <v>3526</v>
      </c>
    </row>
    <row r="779" spans="1:6">
      <c r="A779" s="131">
        <v>45994</v>
      </c>
      <c r="B779" s="67" t="s">
        <v>305</v>
      </c>
      <c r="C779" s="67" t="s">
        <v>253</v>
      </c>
      <c r="D779" s="67" t="s">
        <v>310</v>
      </c>
      <c r="E779" s="67">
        <v>5</v>
      </c>
      <c r="F779" s="8">
        <v>5475</v>
      </c>
    </row>
    <row r="780" spans="1:6">
      <c r="A780" s="131">
        <v>45994</v>
      </c>
      <c r="B780" s="67" t="s">
        <v>314</v>
      </c>
      <c r="C780" s="67" t="s">
        <v>253</v>
      </c>
      <c r="D780" s="67" t="s">
        <v>308</v>
      </c>
      <c r="E780" s="67">
        <v>1</v>
      </c>
      <c r="F780" s="8">
        <v>5334</v>
      </c>
    </row>
    <row r="781" spans="1:6">
      <c r="A781" s="131">
        <v>45994</v>
      </c>
      <c r="B781" s="67" t="s">
        <v>316</v>
      </c>
      <c r="C781" s="67" t="s">
        <v>254</v>
      </c>
      <c r="D781" s="67" t="s">
        <v>306</v>
      </c>
      <c r="E781" s="67">
        <v>10</v>
      </c>
      <c r="F781" s="8">
        <v>1888</v>
      </c>
    </row>
    <row r="782" spans="1:6">
      <c r="A782" s="131">
        <v>45994</v>
      </c>
      <c r="B782" s="67" t="s">
        <v>307</v>
      </c>
      <c r="C782" s="67" t="s">
        <v>254</v>
      </c>
      <c r="D782" s="67" t="s">
        <v>302</v>
      </c>
      <c r="E782" s="67">
        <v>7</v>
      </c>
      <c r="F782" s="8">
        <v>8791</v>
      </c>
    </row>
    <row r="783" spans="1:6">
      <c r="A783" s="131">
        <v>45995</v>
      </c>
      <c r="B783" s="67" t="s">
        <v>313</v>
      </c>
      <c r="C783" s="67" t="s">
        <v>254</v>
      </c>
      <c r="D783" s="67" t="s">
        <v>304</v>
      </c>
      <c r="E783" s="67">
        <v>4</v>
      </c>
      <c r="F783" s="8">
        <v>5224</v>
      </c>
    </row>
    <row r="784" spans="1:6">
      <c r="A784" s="131">
        <v>45995</v>
      </c>
      <c r="B784" s="67" t="s">
        <v>309</v>
      </c>
      <c r="C784" s="67" t="s">
        <v>252</v>
      </c>
      <c r="D784" s="67" t="s">
        <v>310</v>
      </c>
      <c r="E784" s="67">
        <v>10</v>
      </c>
      <c r="F784" s="8">
        <v>10559</v>
      </c>
    </row>
    <row r="785" spans="1:6">
      <c r="A785" s="131">
        <v>45995</v>
      </c>
      <c r="B785" s="67" t="s">
        <v>312</v>
      </c>
      <c r="C785" s="67" t="s">
        <v>252</v>
      </c>
      <c r="D785" s="67" t="s">
        <v>308</v>
      </c>
      <c r="E785" s="67">
        <v>10</v>
      </c>
      <c r="F785" s="8">
        <v>844</v>
      </c>
    </row>
    <row r="786" spans="1:6">
      <c r="A786" s="131">
        <v>45995</v>
      </c>
      <c r="B786" s="67" t="s">
        <v>305</v>
      </c>
      <c r="C786" s="67" t="s">
        <v>287</v>
      </c>
      <c r="D786" s="67" t="s">
        <v>304</v>
      </c>
      <c r="E786" s="67">
        <v>8</v>
      </c>
      <c r="F786" s="8">
        <v>7642</v>
      </c>
    </row>
    <row r="787" spans="1:6">
      <c r="A787" s="131">
        <v>45995</v>
      </c>
      <c r="B787" s="67" t="s">
        <v>316</v>
      </c>
      <c r="C787" s="67" t="s">
        <v>253</v>
      </c>
      <c r="D787" s="67" t="s">
        <v>304</v>
      </c>
      <c r="E787" s="67">
        <v>11</v>
      </c>
      <c r="F787" s="8">
        <v>4527</v>
      </c>
    </row>
    <row r="788" spans="1:6">
      <c r="A788" s="131">
        <v>45996</v>
      </c>
      <c r="B788" s="67" t="s">
        <v>305</v>
      </c>
      <c r="C788" s="67" t="s">
        <v>254</v>
      </c>
      <c r="D788" s="67" t="s">
        <v>315</v>
      </c>
      <c r="E788" s="67">
        <v>13</v>
      </c>
      <c r="F788" s="8">
        <v>2481</v>
      </c>
    </row>
    <row r="789" spans="1:6">
      <c r="A789" s="131">
        <v>45996</v>
      </c>
      <c r="B789" s="67" t="s">
        <v>316</v>
      </c>
      <c r="C789" s="67" t="s">
        <v>254</v>
      </c>
      <c r="D789" s="67" t="s">
        <v>310</v>
      </c>
      <c r="E789" s="67">
        <v>4</v>
      </c>
      <c r="F789" s="8">
        <v>11139</v>
      </c>
    </row>
    <row r="790" spans="1:6">
      <c r="A790" s="131">
        <v>45996</v>
      </c>
      <c r="B790" s="67" t="s">
        <v>314</v>
      </c>
      <c r="C790" s="67" t="s">
        <v>254</v>
      </c>
      <c r="D790" s="67" t="s">
        <v>315</v>
      </c>
      <c r="E790" s="67">
        <v>1</v>
      </c>
      <c r="F790" s="8">
        <v>758</v>
      </c>
    </row>
    <row r="791" spans="1:6">
      <c r="A791" s="131">
        <v>45996</v>
      </c>
      <c r="B791" s="67" t="s">
        <v>301</v>
      </c>
      <c r="C791" s="67" t="s">
        <v>253</v>
      </c>
      <c r="D791" s="67" t="s">
        <v>306</v>
      </c>
      <c r="E791" s="67">
        <v>2</v>
      </c>
      <c r="F791" s="8">
        <v>8796</v>
      </c>
    </row>
    <row r="792" spans="1:6">
      <c r="A792" s="131">
        <v>45997</v>
      </c>
      <c r="B792" s="67" t="s">
        <v>316</v>
      </c>
      <c r="C792" s="67" t="s">
        <v>252</v>
      </c>
      <c r="D792" s="67" t="s">
        <v>304</v>
      </c>
      <c r="E792" s="67">
        <v>7</v>
      </c>
      <c r="F792" s="8">
        <v>10632</v>
      </c>
    </row>
    <row r="793" spans="1:6">
      <c r="A793" s="131">
        <v>45997</v>
      </c>
      <c r="B793" s="67" t="s">
        <v>316</v>
      </c>
      <c r="C793" s="67" t="s">
        <v>254</v>
      </c>
      <c r="D793" s="67" t="s">
        <v>304</v>
      </c>
      <c r="E793" s="67">
        <v>11</v>
      </c>
      <c r="F793" s="8">
        <v>10642</v>
      </c>
    </row>
    <row r="794" spans="1:6">
      <c r="A794" s="131">
        <v>45999</v>
      </c>
      <c r="B794" s="67" t="s">
        <v>309</v>
      </c>
      <c r="C794" s="67" t="s">
        <v>254</v>
      </c>
      <c r="D794" s="67" t="s">
        <v>302</v>
      </c>
      <c r="E794" s="67">
        <v>1</v>
      </c>
      <c r="F794" s="8">
        <v>8567</v>
      </c>
    </row>
    <row r="795" spans="1:6">
      <c r="A795" s="131">
        <v>45999</v>
      </c>
      <c r="B795" s="67" t="s">
        <v>303</v>
      </c>
      <c r="C795" s="67" t="s">
        <v>254</v>
      </c>
      <c r="D795" s="67" t="s">
        <v>306</v>
      </c>
      <c r="E795" s="67">
        <v>4</v>
      </c>
      <c r="F795" s="8">
        <v>5634</v>
      </c>
    </row>
    <row r="796" spans="1:6">
      <c r="A796" s="131">
        <v>45999</v>
      </c>
      <c r="B796" s="67" t="s">
        <v>309</v>
      </c>
      <c r="C796" s="67" t="s">
        <v>254</v>
      </c>
      <c r="D796" s="67" t="s">
        <v>302</v>
      </c>
      <c r="E796" s="67">
        <v>8</v>
      </c>
      <c r="F796" s="8">
        <v>8521</v>
      </c>
    </row>
    <row r="797" spans="1:6">
      <c r="A797" s="131">
        <v>45999</v>
      </c>
      <c r="B797" s="67" t="s">
        <v>309</v>
      </c>
      <c r="C797" s="67" t="s">
        <v>253</v>
      </c>
      <c r="D797" s="67" t="s">
        <v>306</v>
      </c>
      <c r="E797" s="67">
        <v>6</v>
      </c>
      <c r="F797" s="8">
        <v>10731</v>
      </c>
    </row>
    <row r="798" spans="1:6">
      <c r="A798" s="131">
        <v>45999</v>
      </c>
      <c r="B798" s="67" t="s">
        <v>301</v>
      </c>
      <c r="C798" s="67" t="s">
        <v>254</v>
      </c>
      <c r="D798" s="67" t="s">
        <v>304</v>
      </c>
      <c r="E798" s="67">
        <v>11</v>
      </c>
      <c r="F798" s="8">
        <v>6104</v>
      </c>
    </row>
    <row r="799" spans="1:6">
      <c r="A799" s="131">
        <v>45999</v>
      </c>
      <c r="B799" s="67" t="s">
        <v>301</v>
      </c>
      <c r="C799" s="67" t="s">
        <v>253</v>
      </c>
      <c r="D799" s="67" t="s">
        <v>304</v>
      </c>
      <c r="E799" s="67">
        <v>6</v>
      </c>
      <c r="F799" s="8">
        <v>7017</v>
      </c>
    </row>
    <row r="800" spans="1:6">
      <c r="A800" s="131">
        <v>45999</v>
      </c>
      <c r="B800" s="67" t="s">
        <v>305</v>
      </c>
      <c r="C800" s="67" t="s">
        <v>287</v>
      </c>
      <c r="D800" s="67" t="s">
        <v>302</v>
      </c>
      <c r="E800" s="67">
        <v>6</v>
      </c>
      <c r="F800" s="8">
        <v>5327</v>
      </c>
    </row>
    <row r="801" spans="1:6">
      <c r="A801" s="131">
        <v>45999</v>
      </c>
      <c r="B801" s="67" t="s">
        <v>311</v>
      </c>
      <c r="C801" s="67" t="s">
        <v>254</v>
      </c>
      <c r="D801" s="67" t="s">
        <v>308</v>
      </c>
      <c r="E801" s="67">
        <v>13</v>
      </c>
      <c r="F801" s="8">
        <v>10380</v>
      </c>
    </row>
    <row r="802" spans="1:6">
      <c r="A802" s="131">
        <v>46000</v>
      </c>
      <c r="B802" s="67" t="s">
        <v>303</v>
      </c>
      <c r="C802" s="67" t="s">
        <v>253</v>
      </c>
      <c r="D802" s="67" t="s">
        <v>308</v>
      </c>
      <c r="E802" s="67">
        <v>8</v>
      </c>
      <c r="F802" s="8">
        <v>10614</v>
      </c>
    </row>
    <row r="803" spans="1:6">
      <c r="A803" s="131">
        <v>46000</v>
      </c>
      <c r="B803" s="67" t="s">
        <v>309</v>
      </c>
      <c r="C803" s="67" t="s">
        <v>253</v>
      </c>
      <c r="D803" s="67" t="s">
        <v>315</v>
      </c>
      <c r="E803" s="67">
        <v>10</v>
      </c>
      <c r="F803" s="8">
        <v>1088</v>
      </c>
    </row>
    <row r="804" spans="1:6">
      <c r="A804" s="131">
        <v>46001</v>
      </c>
      <c r="B804" s="67" t="s">
        <v>309</v>
      </c>
      <c r="C804" s="67" t="s">
        <v>254</v>
      </c>
      <c r="D804" s="67" t="s">
        <v>310</v>
      </c>
      <c r="E804" s="67">
        <v>8</v>
      </c>
      <c r="F804" s="8">
        <v>11486</v>
      </c>
    </row>
    <row r="805" spans="1:6">
      <c r="A805" s="131">
        <v>46001</v>
      </c>
      <c r="B805" s="67" t="s">
        <v>303</v>
      </c>
      <c r="C805" s="67" t="s">
        <v>254</v>
      </c>
      <c r="D805" s="67" t="s">
        <v>306</v>
      </c>
      <c r="E805" s="67">
        <v>12</v>
      </c>
      <c r="F805" s="8">
        <v>6083</v>
      </c>
    </row>
    <row r="806" spans="1:6">
      <c r="A806" s="131">
        <v>46001</v>
      </c>
      <c r="B806" s="67" t="s">
        <v>312</v>
      </c>
      <c r="C806" s="67" t="s">
        <v>253</v>
      </c>
      <c r="D806" s="67" t="s">
        <v>306</v>
      </c>
      <c r="E806" s="67">
        <v>2</v>
      </c>
      <c r="F806" s="8">
        <v>6887</v>
      </c>
    </row>
    <row r="807" spans="1:6">
      <c r="A807" s="131">
        <v>46003</v>
      </c>
      <c r="B807" s="67" t="s">
        <v>301</v>
      </c>
      <c r="C807" s="67" t="s">
        <v>253</v>
      </c>
      <c r="D807" s="67" t="s">
        <v>315</v>
      </c>
      <c r="E807" s="67">
        <v>14</v>
      </c>
      <c r="F807" s="8">
        <v>1180</v>
      </c>
    </row>
    <row r="808" spans="1:6">
      <c r="A808" s="131">
        <v>46003</v>
      </c>
      <c r="B808" s="67" t="s">
        <v>314</v>
      </c>
      <c r="C808" s="67" t="s">
        <v>254</v>
      </c>
      <c r="D808" s="67" t="s">
        <v>304</v>
      </c>
      <c r="E808" s="67">
        <v>10</v>
      </c>
      <c r="F808" s="8">
        <v>8119</v>
      </c>
    </row>
    <row r="809" spans="1:6">
      <c r="A809" s="131">
        <v>46003</v>
      </c>
      <c r="B809" s="67" t="s">
        <v>307</v>
      </c>
      <c r="C809" s="67" t="s">
        <v>287</v>
      </c>
      <c r="D809" s="67" t="s">
        <v>308</v>
      </c>
      <c r="E809" s="67">
        <v>5</v>
      </c>
      <c r="F809" s="8">
        <v>6731</v>
      </c>
    </row>
    <row r="810" spans="1:6">
      <c r="A810" s="131">
        <v>46004</v>
      </c>
      <c r="B810" s="67" t="s">
        <v>307</v>
      </c>
      <c r="C810" s="67" t="s">
        <v>252</v>
      </c>
      <c r="D810" s="67" t="s">
        <v>315</v>
      </c>
      <c r="E810" s="67">
        <v>5</v>
      </c>
      <c r="F810" s="8">
        <v>3635</v>
      </c>
    </row>
    <row r="811" spans="1:6">
      <c r="A811" s="131">
        <v>46004</v>
      </c>
      <c r="B811" s="67" t="s">
        <v>305</v>
      </c>
      <c r="C811" s="67" t="s">
        <v>252</v>
      </c>
      <c r="D811" s="67" t="s">
        <v>308</v>
      </c>
      <c r="E811" s="67">
        <v>2</v>
      </c>
      <c r="F811" s="8">
        <v>10113</v>
      </c>
    </row>
    <row r="812" spans="1:6">
      <c r="A812" s="131">
        <v>46005</v>
      </c>
      <c r="B812" s="67" t="s">
        <v>309</v>
      </c>
      <c r="C812" s="67" t="s">
        <v>254</v>
      </c>
      <c r="D812" s="67" t="s">
        <v>302</v>
      </c>
      <c r="E812" s="67">
        <v>13</v>
      </c>
      <c r="F812" s="8">
        <v>7529</v>
      </c>
    </row>
    <row r="813" spans="1:6">
      <c r="A813" s="131">
        <v>46005</v>
      </c>
      <c r="B813" s="67" t="s">
        <v>309</v>
      </c>
      <c r="C813" s="67" t="s">
        <v>254</v>
      </c>
      <c r="D813" s="67" t="s">
        <v>302</v>
      </c>
      <c r="E813" s="67">
        <v>2</v>
      </c>
      <c r="F813" s="8">
        <v>3074</v>
      </c>
    </row>
    <row r="814" spans="1:6">
      <c r="A814" s="131">
        <v>46005</v>
      </c>
      <c r="B814" s="67" t="s">
        <v>309</v>
      </c>
      <c r="C814" s="67" t="s">
        <v>253</v>
      </c>
      <c r="D814" s="67" t="s">
        <v>304</v>
      </c>
      <c r="E814" s="67">
        <v>11</v>
      </c>
      <c r="F814" s="8">
        <v>5539</v>
      </c>
    </row>
    <row r="815" spans="1:6">
      <c r="A815" s="131">
        <v>46006</v>
      </c>
      <c r="B815" s="67" t="s">
        <v>301</v>
      </c>
      <c r="C815" s="67" t="s">
        <v>254</v>
      </c>
      <c r="D815" s="67" t="s">
        <v>310</v>
      </c>
      <c r="E815" s="67">
        <v>8</v>
      </c>
      <c r="F815" s="8">
        <v>2166</v>
      </c>
    </row>
    <row r="816" spans="1:6">
      <c r="A816" s="131">
        <v>46007</v>
      </c>
      <c r="B816" s="67" t="s">
        <v>307</v>
      </c>
      <c r="C816" s="67" t="s">
        <v>253</v>
      </c>
      <c r="D816" s="67" t="s">
        <v>306</v>
      </c>
      <c r="E816" s="67">
        <v>12</v>
      </c>
      <c r="F816" s="8">
        <v>11115</v>
      </c>
    </row>
    <row r="817" spans="1:6">
      <c r="A817" s="131">
        <v>46008</v>
      </c>
      <c r="B817" s="67" t="s">
        <v>316</v>
      </c>
      <c r="C817" s="67" t="s">
        <v>254</v>
      </c>
      <c r="D817" s="67" t="s">
        <v>308</v>
      </c>
      <c r="E817" s="67">
        <v>5</v>
      </c>
      <c r="F817" s="8">
        <v>10971</v>
      </c>
    </row>
    <row r="818" spans="1:6">
      <c r="A818" s="131">
        <v>46008</v>
      </c>
      <c r="B818" s="67" t="s">
        <v>313</v>
      </c>
      <c r="C818" s="67" t="s">
        <v>253</v>
      </c>
      <c r="D818" s="67" t="s">
        <v>302</v>
      </c>
      <c r="E818" s="67">
        <v>2</v>
      </c>
      <c r="F818" s="8">
        <v>10177</v>
      </c>
    </row>
    <row r="819" spans="1:6">
      <c r="A819" s="131">
        <v>46008</v>
      </c>
      <c r="B819" s="67" t="s">
        <v>316</v>
      </c>
      <c r="C819" s="67" t="s">
        <v>253</v>
      </c>
      <c r="D819" s="67" t="s">
        <v>304</v>
      </c>
      <c r="E819" s="67">
        <v>7</v>
      </c>
      <c r="F819" s="8">
        <v>10256</v>
      </c>
    </row>
    <row r="820" spans="1:6">
      <c r="A820" s="131">
        <v>46009</v>
      </c>
      <c r="B820" s="67" t="s">
        <v>313</v>
      </c>
      <c r="C820" s="67" t="s">
        <v>254</v>
      </c>
      <c r="D820" s="67" t="s">
        <v>304</v>
      </c>
      <c r="E820" s="67">
        <v>12</v>
      </c>
      <c r="F820" s="8">
        <v>2559</v>
      </c>
    </row>
    <row r="821" spans="1:6">
      <c r="A821" s="131">
        <v>46011</v>
      </c>
      <c r="B821" s="67" t="s">
        <v>313</v>
      </c>
      <c r="C821" s="67" t="s">
        <v>254</v>
      </c>
      <c r="D821" s="67" t="s">
        <v>308</v>
      </c>
      <c r="E821" s="67">
        <v>5</v>
      </c>
      <c r="F821" s="8">
        <v>10721</v>
      </c>
    </row>
    <row r="822" spans="1:6">
      <c r="A822" s="131">
        <v>46012</v>
      </c>
      <c r="B822" s="67" t="s">
        <v>305</v>
      </c>
      <c r="C822" s="67" t="s">
        <v>254</v>
      </c>
      <c r="D822" s="67" t="s">
        <v>310</v>
      </c>
      <c r="E822" s="67">
        <v>3</v>
      </c>
      <c r="F822" s="8">
        <v>9570</v>
      </c>
    </row>
    <row r="823" spans="1:6">
      <c r="A823" s="131">
        <v>46012</v>
      </c>
      <c r="B823" s="67" t="s">
        <v>301</v>
      </c>
      <c r="C823" s="67" t="s">
        <v>253</v>
      </c>
      <c r="D823" s="67" t="s">
        <v>315</v>
      </c>
      <c r="E823" s="67">
        <v>9</v>
      </c>
      <c r="F823" s="8">
        <v>6698</v>
      </c>
    </row>
    <row r="824" spans="1:6">
      <c r="A824" s="131">
        <v>46013</v>
      </c>
      <c r="B824" s="67" t="s">
        <v>313</v>
      </c>
      <c r="C824" s="67" t="s">
        <v>253</v>
      </c>
      <c r="D824" s="67" t="s">
        <v>315</v>
      </c>
      <c r="E824" s="67">
        <v>4</v>
      </c>
      <c r="F824" s="8">
        <v>9271</v>
      </c>
    </row>
    <row r="825" spans="1:6">
      <c r="A825" s="131">
        <v>46013</v>
      </c>
      <c r="B825" s="67" t="s">
        <v>307</v>
      </c>
      <c r="C825" s="67" t="s">
        <v>252</v>
      </c>
      <c r="D825" s="67" t="s">
        <v>306</v>
      </c>
      <c r="E825" s="67">
        <v>13</v>
      </c>
      <c r="F825" s="8">
        <v>11446</v>
      </c>
    </row>
    <row r="826" spans="1:6">
      <c r="A826" s="131">
        <v>46013</v>
      </c>
      <c r="B826" s="67" t="s">
        <v>314</v>
      </c>
      <c r="C826" s="67" t="s">
        <v>287</v>
      </c>
      <c r="D826" s="67" t="s">
        <v>302</v>
      </c>
      <c r="E826" s="67">
        <v>2</v>
      </c>
      <c r="F826" s="8">
        <v>1335</v>
      </c>
    </row>
    <row r="827" spans="1:6">
      <c r="A827" s="131">
        <v>46014</v>
      </c>
      <c r="B827" s="67" t="s">
        <v>313</v>
      </c>
      <c r="C827" s="67" t="s">
        <v>287</v>
      </c>
      <c r="D827" s="67" t="s">
        <v>304</v>
      </c>
      <c r="E827" s="67">
        <v>11</v>
      </c>
      <c r="F827" s="8">
        <v>3699</v>
      </c>
    </row>
    <row r="828" spans="1:6">
      <c r="A828" s="131">
        <v>46014</v>
      </c>
      <c r="B828" s="67" t="s">
        <v>311</v>
      </c>
      <c r="C828" s="67" t="s">
        <v>287</v>
      </c>
      <c r="D828" s="67" t="s">
        <v>315</v>
      </c>
      <c r="E828" s="67">
        <v>6</v>
      </c>
      <c r="F828" s="8">
        <v>5489</v>
      </c>
    </row>
    <row r="829" spans="1:6">
      <c r="A829" s="131">
        <v>46015</v>
      </c>
      <c r="B829" s="67" t="s">
        <v>313</v>
      </c>
      <c r="C829" s="67" t="s">
        <v>254</v>
      </c>
      <c r="D829" s="67" t="s">
        <v>306</v>
      </c>
      <c r="E829" s="67">
        <v>7</v>
      </c>
      <c r="F829" s="8">
        <v>8647</v>
      </c>
    </row>
    <row r="830" spans="1:6">
      <c r="A830" s="131">
        <v>46015</v>
      </c>
      <c r="B830" s="67" t="s">
        <v>312</v>
      </c>
      <c r="C830" s="67" t="s">
        <v>287</v>
      </c>
      <c r="D830" s="67" t="s">
        <v>304</v>
      </c>
      <c r="E830" s="67">
        <v>11</v>
      </c>
      <c r="F830" s="8">
        <v>5443</v>
      </c>
    </row>
    <row r="831" spans="1:6">
      <c r="A831" s="131">
        <v>46016</v>
      </c>
      <c r="B831" s="67" t="s">
        <v>307</v>
      </c>
      <c r="C831" s="67" t="s">
        <v>287</v>
      </c>
      <c r="D831" s="67" t="s">
        <v>302</v>
      </c>
      <c r="E831" s="67">
        <v>8</v>
      </c>
      <c r="F831" s="8">
        <v>10320</v>
      </c>
    </row>
    <row r="832" spans="1:6">
      <c r="A832" s="131">
        <v>46016</v>
      </c>
      <c r="B832" s="67" t="s">
        <v>312</v>
      </c>
      <c r="C832" s="67" t="s">
        <v>254</v>
      </c>
      <c r="D832" s="67" t="s">
        <v>306</v>
      </c>
      <c r="E832" s="67">
        <v>11</v>
      </c>
      <c r="F832" s="8">
        <v>7533</v>
      </c>
    </row>
    <row r="833" spans="1:6">
      <c r="A833" s="131">
        <v>46016</v>
      </c>
      <c r="B833" s="67" t="s">
        <v>311</v>
      </c>
      <c r="C833" s="67" t="s">
        <v>254</v>
      </c>
      <c r="D833" s="67" t="s">
        <v>310</v>
      </c>
      <c r="E833" s="67">
        <v>9</v>
      </c>
      <c r="F833" s="8">
        <v>8487</v>
      </c>
    </row>
    <row r="834" spans="1:6">
      <c r="A834" s="131">
        <v>46016</v>
      </c>
      <c r="B834" s="67" t="s">
        <v>309</v>
      </c>
      <c r="C834" s="67" t="s">
        <v>253</v>
      </c>
      <c r="D834" s="67" t="s">
        <v>310</v>
      </c>
      <c r="E834" s="67">
        <v>9</v>
      </c>
      <c r="F834" s="8">
        <v>6833</v>
      </c>
    </row>
    <row r="835" spans="1:6">
      <c r="A835" s="131">
        <v>46017</v>
      </c>
      <c r="B835" s="67" t="s">
        <v>303</v>
      </c>
      <c r="C835" s="67" t="s">
        <v>254</v>
      </c>
      <c r="D835" s="67" t="s">
        <v>310</v>
      </c>
      <c r="E835" s="67">
        <v>9</v>
      </c>
      <c r="F835" s="8">
        <v>9325</v>
      </c>
    </row>
    <row r="836" spans="1:6">
      <c r="A836" s="131">
        <v>46017</v>
      </c>
      <c r="B836" s="67" t="s">
        <v>316</v>
      </c>
      <c r="C836" s="67" t="s">
        <v>253</v>
      </c>
      <c r="D836" s="67" t="s">
        <v>306</v>
      </c>
      <c r="E836" s="67">
        <v>13</v>
      </c>
      <c r="F836" s="8">
        <v>4945</v>
      </c>
    </row>
    <row r="837" spans="1:6">
      <c r="A837" s="131">
        <v>46018</v>
      </c>
      <c r="B837" s="67" t="s">
        <v>313</v>
      </c>
      <c r="C837" s="67" t="s">
        <v>252</v>
      </c>
      <c r="D837" s="67" t="s">
        <v>310</v>
      </c>
      <c r="E837" s="67">
        <v>11</v>
      </c>
      <c r="F837" s="8">
        <v>7883</v>
      </c>
    </row>
    <row r="838" spans="1:6">
      <c r="A838" s="131">
        <v>46018</v>
      </c>
      <c r="B838" s="67" t="s">
        <v>309</v>
      </c>
      <c r="C838" s="67" t="s">
        <v>287</v>
      </c>
      <c r="D838" s="67" t="s">
        <v>302</v>
      </c>
      <c r="E838" s="67">
        <v>11</v>
      </c>
      <c r="F838" s="8">
        <v>2016</v>
      </c>
    </row>
    <row r="839" spans="1:6">
      <c r="A839" s="131">
        <v>46018</v>
      </c>
      <c r="B839" s="67" t="s">
        <v>313</v>
      </c>
      <c r="C839" s="67" t="s">
        <v>253</v>
      </c>
      <c r="D839" s="67" t="s">
        <v>304</v>
      </c>
      <c r="E839" s="67">
        <v>6</v>
      </c>
      <c r="F839" s="8">
        <v>3640</v>
      </c>
    </row>
    <row r="840" spans="1:6">
      <c r="A840" s="131">
        <v>46019</v>
      </c>
      <c r="B840" s="67" t="s">
        <v>312</v>
      </c>
      <c r="C840" s="67" t="s">
        <v>254</v>
      </c>
      <c r="D840" s="67" t="s">
        <v>306</v>
      </c>
      <c r="E840" s="67">
        <v>12</v>
      </c>
      <c r="F840" s="8">
        <v>2424</v>
      </c>
    </row>
    <row r="841" spans="1:6">
      <c r="A841" s="131">
        <v>46019</v>
      </c>
      <c r="B841" s="67" t="s">
        <v>311</v>
      </c>
      <c r="C841" s="67" t="s">
        <v>287</v>
      </c>
      <c r="D841" s="67" t="s">
        <v>304</v>
      </c>
      <c r="E841" s="67">
        <v>1</v>
      </c>
      <c r="F841" s="8">
        <v>7051</v>
      </c>
    </row>
    <row r="842" spans="1:6">
      <c r="A842" s="131">
        <v>46020</v>
      </c>
      <c r="B842" s="67" t="s">
        <v>305</v>
      </c>
      <c r="C842" s="67" t="s">
        <v>253</v>
      </c>
      <c r="D842" s="67" t="s">
        <v>306</v>
      </c>
      <c r="E842" s="67">
        <v>3</v>
      </c>
      <c r="F842" s="8">
        <v>10038</v>
      </c>
    </row>
    <row r="843" spans="1:6">
      <c r="A843" s="131">
        <v>46020</v>
      </c>
      <c r="B843" s="67" t="s">
        <v>305</v>
      </c>
      <c r="C843" s="67" t="s">
        <v>252</v>
      </c>
      <c r="D843" s="67" t="s">
        <v>315</v>
      </c>
      <c r="E843" s="67">
        <v>1</v>
      </c>
      <c r="F843" s="8">
        <v>3111</v>
      </c>
    </row>
    <row r="844" spans="1:6">
      <c r="A844" s="131">
        <v>46020</v>
      </c>
      <c r="B844" s="67" t="s">
        <v>303</v>
      </c>
      <c r="C844" s="67" t="s">
        <v>254</v>
      </c>
      <c r="D844" s="67" t="s">
        <v>302</v>
      </c>
      <c r="E844" s="67">
        <v>7</v>
      </c>
      <c r="F844" s="8">
        <v>11635</v>
      </c>
    </row>
    <row r="845" spans="1:6">
      <c r="A845" s="131">
        <v>46021</v>
      </c>
      <c r="B845" s="67" t="s">
        <v>301</v>
      </c>
      <c r="C845" s="67" t="s">
        <v>253</v>
      </c>
      <c r="D845" s="67" t="s">
        <v>306</v>
      </c>
      <c r="E845" s="67">
        <v>10</v>
      </c>
      <c r="F845" s="8">
        <v>9219</v>
      </c>
    </row>
    <row r="846" spans="1:6">
      <c r="A846" s="131">
        <v>46021</v>
      </c>
      <c r="B846" s="67" t="s">
        <v>305</v>
      </c>
      <c r="C846" s="67" t="s">
        <v>252</v>
      </c>
      <c r="D846" s="67" t="s">
        <v>308</v>
      </c>
      <c r="E846" s="67">
        <v>5</v>
      </c>
      <c r="F846" s="8">
        <v>4946</v>
      </c>
    </row>
    <row r="847" spans="1:6">
      <c r="A847" s="131">
        <v>46022</v>
      </c>
      <c r="B847" s="67" t="s">
        <v>314</v>
      </c>
      <c r="C847" s="67" t="s">
        <v>287</v>
      </c>
      <c r="D847" s="67" t="s">
        <v>310</v>
      </c>
      <c r="E847" s="67">
        <v>2</v>
      </c>
      <c r="F847" s="8">
        <v>6270</v>
      </c>
    </row>
    <row r="848" spans="1:6">
      <c r="A848" s="131">
        <v>46022</v>
      </c>
      <c r="B848" s="67" t="s">
        <v>303</v>
      </c>
      <c r="C848" s="67" t="s">
        <v>254</v>
      </c>
      <c r="D848" s="67" t="s">
        <v>308</v>
      </c>
      <c r="E848" s="67">
        <v>14</v>
      </c>
      <c r="F848" s="8">
        <v>6111</v>
      </c>
    </row>
    <row r="849" spans="1:6">
      <c r="A849" s="131">
        <v>46022</v>
      </c>
      <c r="B849" s="67" t="s">
        <v>314</v>
      </c>
      <c r="C849" s="67" t="s">
        <v>287</v>
      </c>
      <c r="D849" s="67" t="s">
        <v>308</v>
      </c>
      <c r="E849" s="67">
        <v>8</v>
      </c>
      <c r="F849" s="8">
        <v>1524</v>
      </c>
    </row>
    <row r="850" spans="1:6">
      <c r="A850" s="131">
        <v>46022</v>
      </c>
      <c r="B850" s="67" t="s">
        <v>305</v>
      </c>
      <c r="C850" s="67" t="s">
        <v>253</v>
      </c>
      <c r="D850" s="67" t="s">
        <v>308</v>
      </c>
      <c r="E850" s="67">
        <v>10</v>
      </c>
      <c r="F850" s="8">
        <v>8699</v>
      </c>
    </row>
    <row r="851" spans="1:6">
      <c r="A851" s="131">
        <v>46022</v>
      </c>
      <c r="B851" s="67" t="s">
        <v>314</v>
      </c>
      <c r="C851" s="67" t="s">
        <v>254</v>
      </c>
      <c r="D851" s="67" t="s">
        <v>315</v>
      </c>
      <c r="E851" s="67">
        <v>4</v>
      </c>
      <c r="F851" s="8">
        <v>6229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0078-4688-4DE0-9C90-21873B7F87F8}">
  <sheetPr codeName="Sheet7"/>
  <dimension ref="B2:C7"/>
  <sheetViews>
    <sheetView zoomScale="295" zoomScaleNormal="295" workbookViewId="0">
      <selection activeCell="C7" sqref="C7"/>
    </sheetView>
  </sheetViews>
  <sheetFormatPr defaultColWidth="9.1796875" defaultRowHeight="12.5"/>
  <cols>
    <col min="1" max="1" width="3" style="67" customWidth="1"/>
    <col min="2" max="2" width="25.453125" style="67" bestFit="1" customWidth="1"/>
    <col min="3" max="3" width="16.453125" style="67" customWidth="1"/>
    <col min="4" max="16384" width="9.1796875" style="67"/>
  </cols>
  <sheetData>
    <row r="2" spans="2:3" ht="14.5" thickBot="1">
      <c r="B2" s="132" t="s">
        <v>317</v>
      </c>
      <c r="C2" s="132" t="s">
        <v>318</v>
      </c>
    </row>
    <row r="3" spans="2:3">
      <c r="B3" s="67" t="s">
        <v>319</v>
      </c>
      <c r="C3" s="133">
        <f>SUM(tblTransactions[Revenue])</f>
        <v>5305462</v>
      </c>
    </row>
    <row r="4" spans="2:3">
      <c r="B4" s="67" t="s">
        <v>320</v>
      </c>
      <c r="C4" s="8">
        <f>AVERAGE(tblTransactions[Revenue])</f>
        <v>6241.72</v>
      </c>
    </row>
    <row r="5" spans="2:3">
      <c r="B5" s="67" t="s">
        <v>321</v>
      </c>
      <c r="C5" t="str">
        <f>INDEX(tblTransactions[Sales Rep],MATCH(MAX(tblTransactions[Revenue]),tblTransactions[Revenue],0))</f>
        <v>James Wilson</v>
      </c>
    </row>
    <row r="6" spans="2:3">
      <c r="B6" s="67" t="s">
        <v>322</v>
      </c>
      <c r="C6" s="8">
        <f>SUMIF(tblTransactions[Region],"West",tblTransactions[Revenue])</f>
        <v>1524883</v>
      </c>
    </row>
    <row r="7" spans="2:3">
      <c r="B7" s="67" t="s">
        <v>323</v>
      </c>
      <c r="C7" s="8">
        <f>SUMIF(tblTransactions[Region],"East",tblTransactions[Revenue])</f>
        <v>1723481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2"/>
  <sheetViews>
    <sheetView showGridLines="0" zoomScale="190" zoomScaleNormal="190" workbookViewId="0">
      <selection activeCell="B5" sqref="B5"/>
    </sheetView>
  </sheetViews>
  <sheetFormatPr defaultRowHeight="12.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3" thickBot="1"/>
    <row r="2" spans="1:9" ht="16" thickBot="1">
      <c r="A2" s="138" t="s">
        <v>280</v>
      </c>
      <c r="B2" s="138"/>
      <c r="C2" s="138"/>
      <c r="D2" s="138"/>
      <c r="E2" s="138"/>
      <c r="F2" s="138"/>
      <c r="H2" s="27" t="s">
        <v>0</v>
      </c>
      <c r="I2" s="126">
        <v>34000</v>
      </c>
    </row>
    <row r="3" spans="1:9" ht="13.5" thickTop="1" thickBot="1"/>
    <row r="4" spans="1:9" ht="14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5">
      <c r="A5" s="4" t="s">
        <v>9</v>
      </c>
      <c r="B5" s="127">
        <v>9550</v>
      </c>
      <c r="C5" s="127">
        <v>9230</v>
      </c>
      <c r="D5" s="127">
        <v>8500</v>
      </c>
      <c r="E5" s="127">
        <v>8965</v>
      </c>
      <c r="F5" s="128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5">
      <c r="A6" s="4" t="s">
        <v>10</v>
      </c>
      <c r="B6" s="127">
        <v>5975</v>
      </c>
      <c r="C6" s="127">
        <v>6900</v>
      </c>
      <c r="D6" s="127">
        <v>8500</v>
      </c>
      <c r="E6" s="127">
        <v>10100</v>
      </c>
      <c r="F6" s="128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5">
      <c r="A7" s="4" t="s">
        <v>11</v>
      </c>
      <c r="B7" s="127">
        <v>7425</v>
      </c>
      <c r="C7" s="127">
        <v>8580</v>
      </c>
      <c r="D7" s="127">
        <v>9910</v>
      </c>
      <c r="E7" s="127">
        <v>7512</v>
      </c>
      <c r="F7" s="128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5">
      <c r="A8" s="4" t="s">
        <v>14</v>
      </c>
      <c r="B8" s="127">
        <v>9560</v>
      </c>
      <c r="C8" s="127">
        <v>10150</v>
      </c>
      <c r="D8" s="127">
        <v>10200</v>
      </c>
      <c r="E8" s="127">
        <v>9795</v>
      </c>
      <c r="F8" s="128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" thickBot="1">
      <c r="A9" s="15" t="s">
        <v>13</v>
      </c>
      <c r="B9" s="129">
        <v>7892</v>
      </c>
      <c r="C9" s="129">
        <v>7695</v>
      </c>
      <c r="D9" s="129">
        <v>9520</v>
      </c>
      <c r="E9" s="129">
        <v>10252</v>
      </c>
      <c r="F9" s="13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4">
      <c r="A10" s="45" t="s">
        <v>221</v>
      </c>
      <c r="B10" s="50">
        <f>SUM(B5:B9)</f>
        <v>40402</v>
      </c>
      <c r="C10" s="50">
        <f t="shared" ref="C10:F10" si="2">SUM(C5:C9)</f>
        <v>42555</v>
      </c>
      <c r="D10" s="50">
        <f t="shared" si="2"/>
        <v>46630</v>
      </c>
      <c r="E10" s="50">
        <f t="shared" si="2"/>
        <v>46624</v>
      </c>
      <c r="F10" s="50">
        <f t="shared" si="2"/>
        <v>176211</v>
      </c>
    </row>
    <row r="11" spans="1:9" ht="14">
      <c r="A11" s="46"/>
    </row>
    <row r="12" spans="1:9" ht="16.5" customHeight="1">
      <c r="A12" s="135" t="s">
        <v>12</v>
      </c>
      <c r="B12" s="136"/>
      <c r="C12" s="136"/>
      <c r="D12" s="136"/>
      <c r="E12" s="137"/>
      <c r="F12" s="3">
        <f>COUNTIF(H5:H9, "YES")</f>
        <v>3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310" zoomScaleNormal="310" workbookViewId="0">
      <selection activeCell="D3" sqref="D3"/>
    </sheetView>
  </sheetViews>
  <sheetFormatPr defaultRowHeight="12.5"/>
  <cols>
    <col min="1" max="1" width="18" bestFit="1" customWidth="1"/>
    <col min="2" max="2" width="10" bestFit="1" customWidth="1"/>
    <col min="4" max="4" width="12.26953125" bestFit="1" customWidth="1"/>
  </cols>
  <sheetData>
    <row r="1" spans="1:4" ht="13" thickBot="1"/>
    <row r="2" spans="1:4" ht="13">
      <c r="A2" s="90" t="s">
        <v>251</v>
      </c>
      <c r="B2" s="85">
        <v>220000</v>
      </c>
      <c r="C2" s="67"/>
      <c r="D2" s="89" t="s">
        <v>250</v>
      </c>
    </row>
    <row r="3" spans="1:4" ht="13.5" thickBot="1">
      <c r="A3" s="90" t="s">
        <v>249</v>
      </c>
      <c r="B3" s="86">
        <v>0.08</v>
      </c>
      <c r="C3" s="67"/>
      <c r="D3" s="88"/>
    </row>
    <row r="4" spans="1:4" ht="13">
      <c r="A4" s="90" t="s">
        <v>248</v>
      </c>
      <c r="B4" s="87">
        <v>300</v>
      </c>
      <c r="C4" s="67"/>
      <c r="D4" s="6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90" zoomScaleNormal="190" workbookViewId="0">
      <selection activeCell="H8" sqref="H8"/>
    </sheetView>
  </sheetViews>
  <sheetFormatPr defaultColWidth="9.1796875" defaultRowHeight="12.5"/>
  <cols>
    <col min="1" max="1" width="25.453125" style="71" customWidth="1"/>
    <col min="2" max="2" width="10.1796875" style="71" customWidth="1"/>
    <col min="3" max="3" width="10.54296875" style="71" customWidth="1"/>
    <col min="4" max="4" width="10.26953125" style="71" customWidth="1"/>
    <col min="5" max="5" width="9.26953125" style="71" customWidth="1"/>
    <col min="6" max="6" width="8.81640625" style="71" customWidth="1"/>
    <col min="7" max="7" width="11.26953125" style="71" customWidth="1"/>
    <col min="8" max="8" width="15.7265625" style="71" customWidth="1"/>
    <col min="9" max="16384" width="9.1796875" style="71"/>
  </cols>
  <sheetData>
    <row r="1" spans="1:8" ht="10.5" customHeight="1">
      <c r="A1" s="84"/>
      <c r="B1" s="83"/>
      <c r="C1" s="83"/>
      <c r="D1" s="83"/>
      <c r="E1" s="83"/>
      <c r="F1" s="83"/>
      <c r="G1" s="83"/>
    </row>
    <row r="2" spans="1:8" ht="11.25" customHeight="1" thickBot="1"/>
    <row r="3" spans="1:8" ht="15.75" customHeight="1">
      <c r="G3" s="94" t="s">
        <v>269</v>
      </c>
      <c r="H3" s="95" t="s">
        <v>276</v>
      </c>
    </row>
    <row r="4" spans="1:8" ht="16" thickBot="1">
      <c r="A4" s="82" t="s">
        <v>275</v>
      </c>
      <c r="B4" s="93" t="s">
        <v>274</v>
      </c>
      <c r="C4" s="93" t="s">
        <v>273</v>
      </c>
      <c r="D4" s="93" t="s">
        <v>272</v>
      </c>
      <c r="E4" s="93" t="s">
        <v>271</v>
      </c>
      <c r="F4" s="67"/>
      <c r="G4" s="96" t="s">
        <v>270</v>
      </c>
      <c r="H4" s="97" t="s">
        <v>269</v>
      </c>
    </row>
    <row r="5" spans="1:8" ht="15.5">
      <c r="A5" s="80" t="s">
        <v>268</v>
      </c>
      <c r="B5" s="79">
        <v>1</v>
      </c>
      <c r="C5" s="79">
        <v>1</v>
      </c>
      <c r="D5" s="79">
        <v>1</v>
      </c>
      <c r="E5" s="79">
        <v>1</v>
      </c>
      <c r="F5" s="67"/>
      <c r="G5" s="78">
        <v>1.25</v>
      </c>
      <c r="H5" s="77">
        <f>G5*(B5+C5+D5+E5)</f>
        <v>5</v>
      </c>
    </row>
    <row r="6" spans="1:8" ht="15.5">
      <c r="A6" s="80" t="s">
        <v>267</v>
      </c>
      <c r="B6" s="81">
        <v>0</v>
      </c>
      <c r="C6" s="79">
        <v>0</v>
      </c>
      <c r="D6" s="79">
        <v>0</v>
      </c>
      <c r="E6" s="79">
        <v>0</v>
      </c>
      <c r="F6" s="67"/>
      <c r="G6" s="78">
        <v>1.84</v>
      </c>
      <c r="H6" s="77">
        <f>G6*(B6+C6+D6+E6)</f>
        <v>0</v>
      </c>
    </row>
    <row r="7" spans="1:8" ht="15.5">
      <c r="A7" s="80" t="s">
        <v>266</v>
      </c>
      <c r="B7" s="79">
        <v>0</v>
      </c>
      <c r="C7" s="79">
        <v>0</v>
      </c>
      <c r="D7" s="79">
        <v>0</v>
      </c>
      <c r="E7" s="79">
        <v>0</v>
      </c>
      <c r="F7" s="67"/>
      <c r="G7" s="78">
        <v>1.45</v>
      </c>
      <c r="H7" s="77">
        <f>G7*(B7+C7+D7+E7)</f>
        <v>0</v>
      </c>
    </row>
    <row r="8" spans="1:8" ht="15.5">
      <c r="A8" s="91" t="s">
        <v>265</v>
      </c>
      <c r="B8" s="76">
        <f>SUM(B5:B7)</f>
        <v>1</v>
      </c>
      <c r="C8" s="76">
        <f>SUM(C5:C7)</f>
        <v>1</v>
      </c>
      <c r="D8" s="76">
        <f>SUM(D5:D7)</f>
        <v>1</v>
      </c>
      <c r="E8" s="76">
        <f>SUM(E5:E7)</f>
        <v>1</v>
      </c>
      <c r="F8" s="67"/>
      <c r="G8" s="75"/>
      <c r="H8" s="98">
        <f>H5+H6+H7</f>
        <v>5</v>
      </c>
    </row>
    <row r="9" spans="1:8" ht="4.5" customHeight="1">
      <c r="A9" s="74"/>
      <c r="B9" s="73"/>
      <c r="C9" s="73"/>
      <c r="D9" s="73"/>
      <c r="E9" s="73"/>
      <c r="F9" s="67"/>
    </row>
    <row r="10" spans="1:8" ht="15.5">
      <c r="A10" s="92" t="s">
        <v>264</v>
      </c>
      <c r="B10" s="99">
        <v>180</v>
      </c>
      <c r="C10" s="99">
        <v>80</v>
      </c>
      <c r="D10" s="99">
        <v>190</v>
      </c>
      <c r="E10" s="99">
        <v>160</v>
      </c>
      <c r="F10" s="67"/>
    </row>
    <row r="11" spans="1:8" ht="15.5">
      <c r="A11" s="72"/>
      <c r="F11" s="67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235" zoomScaleNormal="235" workbookViewId="0">
      <selection activeCell="D10" sqref="D10"/>
    </sheetView>
  </sheetViews>
  <sheetFormatPr defaultColWidth="9.1796875" defaultRowHeight="12.5"/>
  <cols>
    <col min="1" max="1" width="9.1796875" style="67"/>
    <col min="2" max="2" width="17.453125" style="67" bestFit="1" customWidth="1"/>
    <col min="3" max="6" width="12.453125" style="67" customWidth="1"/>
    <col min="7" max="16384" width="9.1796875" style="67"/>
  </cols>
  <sheetData>
    <row r="2" spans="2:3" ht="13">
      <c r="B2" s="90" t="s">
        <v>251</v>
      </c>
      <c r="C2" s="100">
        <v>220000</v>
      </c>
    </row>
    <row r="3" spans="2:3" ht="13">
      <c r="B3" s="90" t="s">
        <v>249</v>
      </c>
      <c r="C3" s="101">
        <v>0.08</v>
      </c>
    </row>
    <row r="4" spans="2:3" ht="13">
      <c r="B4" s="90" t="s">
        <v>248</v>
      </c>
      <c r="C4" s="102">
        <f>25*12</f>
        <v>300</v>
      </c>
    </row>
    <row r="6" spans="2:3">
      <c r="C6" s="69"/>
    </row>
    <row r="7" spans="2:3" ht="15.5">
      <c r="B7" s="104" t="s">
        <v>247</v>
      </c>
      <c r="C7" s="103">
        <f>-PMT(C3/12,C4,C2)</f>
        <v>1697.9956826206067</v>
      </c>
    </row>
    <row r="8" spans="2:3" ht="15.5">
      <c r="B8" s="68">
        <v>7.2499999999999995E-2</v>
      </c>
      <c r="C8" s="11"/>
    </row>
    <row r="9" spans="2:3" ht="15.5">
      <c r="B9" s="68">
        <v>7.4999999999999997E-2</v>
      </c>
      <c r="C9" s="11"/>
    </row>
    <row r="10" spans="2:3" ht="15.5">
      <c r="B10" s="68">
        <v>7.7499999999999999E-2</v>
      </c>
      <c r="C10" s="11"/>
    </row>
    <row r="11" spans="2:3" ht="15.5">
      <c r="B11" s="68">
        <v>8.2500000000000004E-2</v>
      </c>
      <c r="C11" s="11"/>
    </row>
    <row r="12" spans="2:3" ht="15.5">
      <c r="B12" s="68">
        <v>8.5000000000000006E-2</v>
      </c>
      <c r="C12" s="11"/>
    </row>
    <row r="13" spans="2:3" ht="15.5">
      <c r="B13" s="68">
        <v>8.7499999999999994E-2</v>
      </c>
      <c r="C13" s="11"/>
    </row>
    <row r="14" spans="2:3" ht="15.5">
      <c r="B14" s="68">
        <v>0.09</v>
      </c>
      <c r="C14" s="11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205" zoomScaleNormal="205" workbookViewId="0">
      <selection activeCell="C11" sqref="C11:C14"/>
    </sheetView>
  </sheetViews>
  <sheetFormatPr defaultColWidth="9.1796875" defaultRowHeight="12.5"/>
  <cols>
    <col min="1" max="1" width="2.453125" style="67" customWidth="1"/>
    <col min="2" max="2" width="11.54296875" style="67" customWidth="1"/>
    <col min="3" max="6" width="14.81640625" style="67" bestFit="1" customWidth="1"/>
    <col min="7" max="7" width="16.7265625" style="67" bestFit="1" customWidth="1"/>
    <col min="8" max="16384" width="9.1796875" style="67"/>
  </cols>
  <sheetData>
    <row r="2" spans="2:7" ht="15.5">
      <c r="B2" s="104" t="s">
        <v>263</v>
      </c>
      <c r="C2" s="104" t="s">
        <v>262</v>
      </c>
      <c r="D2" s="104" t="s">
        <v>261</v>
      </c>
      <c r="E2" s="104" t="s">
        <v>260</v>
      </c>
      <c r="F2" s="104" t="s">
        <v>259</v>
      </c>
      <c r="G2" s="104" t="s">
        <v>258</v>
      </c>
    </row>
    <row r="3" spans="2:7" ht="13">
      <c r="B3" s="105" t="s">
        <v>255</v>
      </c>
      <c r="C3" s="106">
        <v>85292.25</v>
      </c>
      <c r="D3" s="106">
        <f>C3*C11+C3</f>
        <v>88106.894249999998</v>
      </c>
      <c r="E3" s="106">
        <f>D3*C11+D3</f>
        <v>91014.421760249999</v>
      </c>
      <c r="F3" s="106">
        <f>E3*C11+E3</f>
        <v>94017.897678338253</v>
      </c>
      <c r="G3" s="106">
        <f>SUM(C3:F3)</f>
        <v>358431.46368858824</v>
      </c>
    </row>
    <row r="4" spans="2:7" ht="13">
      <c r="B4" s="105" t="s">
        <v>254</v>
      </c>
      <c r="C4" s="106">
        <v>75891.25</v>
      </c>
      <c r="D4" s="106">
        <f>C4*C12+C4</f>
        <v>77636.748749999999</v>
      </c>
      <c r="E4" s="106">
        <f>D4*C12+D4</f>
        <v>79422.39397125</v>
      </c>
      <c r="F4" s="106">
        <f>E4*C12+E4</f>
        <v>81249.109032588749</v>
      </c>
      <c r="G4" s="106">
        <f>SUM(C4:F4)</f>
        <v>314199.50175383873</v>
      </c>
    </row>
    <row r="5" spans="2:7" ht="13">
      <c r="B5" s="105" t="s">
        <v>253</v>
      </c>
      <c r="C5" s="106">
        <v>90568.34</v>
      </c>
      <c r="D5" s="106">
        <f>C5*C13+C5</f>
        <v>94462.778619999997</v>
      </c>
      <c r="E5" s="106">
        <f>D5*C13+D5</f>
        <v>98524.678100659992</v>
      </c>
      <c r="F5" s="106">
        <f>E5*C13+E5</f>
        <v>102761.23925898837</v>
      </c>
      <c r="G5" s="106">
        <f>SUM(C5:F5)</f>
        <v>386317.03597964835</v>
      </c>
    </row>
    <row r="6" spans="2:7" ht="13">
      <c r="B6" s="105" t="s">
        <v>252</v>
      </c>
      <c r="C6" s="106">
        <v>65897.25</v>
      </c>
      <c r="D6" s="106">
        <f>C6*C14+C6</f>
        <v>66622.119749999998</v>
      </c>
      <c r="E6" s="106">
        <f>D6*C14+D6</f>
        <v>67354.963067249992</v>
      </c>
      <c r="F6" s="106">
        <f>E6*C14+E6</f>
        <v>68095.867660989737</v>
      </c>
      <c r="G6" s="106">
        <f>SUM(C6:F6)</f>
        <v>267970.20047823974</v>
      </c>
    </row>
    <row r="7" spans="2:7" ht="15.5">
      <c r="B7" s="93" t="s">
        <v>257</v>
      </c>
      <c r="C7" s="70">
        <f>SUM(C3:C6)</f>
        <v>317649.08999999997</v>
      </c>
      <c r="D7" s="70">
        <f>SUM(D3:D6)</f>
        <v>326828.54136999999</v>
      </c>
      <c r="E7" s="70">
        <f>SUM(E3:E6)</f>
        <v>336316.45689940994</v>
      </c>
      <c r="F7" s="70">
        <f>SUM(F3:F6)</f>
        <v>346124.11363090511</v>
      </c>
      <c r="G7" s="70">
        <f>SUM(G3:G6)</f>
        <v>1326918.201900315</v>
      </c>
    </row>
    <row r="10" spans="2:7" ht="13">
      <c r="B10" s="144" t="s">
        <v>256</v>
      </c>
      <c r="C10" s="144"/>
    </row>
    <row r="11" spans="2:7" ht="13">
      <c r="B11" s="107" t="s">
        <v>255</v>
      </c>
      <c r="C11" s="108">
        <v>3.3000000000000002E-2</v>
      </c>
    </row>
    <row r="12" spans="2:7" ht="13">
      <c r="B12" s="107" t="s">
        <v>254</v>
      </c>
      <c r="C12" s="108">
        <v>2.3E-2</v>
      </c>
    </row>
    <row r="13" spans="2:7" ht="13">
      <c r="B13" s="107" t="s">
        <v>253</v>
      </c>
      <c r="C13" s="108">
        <v>4.2999999999999997E-2</v>
      </c>
    </row>
    <row r="14" spans="2:7" ht="13">
      <c r="B14" s="107" t="s">
        <v>252</v>
      </c>
      <c r="C14" s="108">
        <v>1.0999999999999999E-2</v>
      </c>
    </row>
  </sheetData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23"/>
  <sheetViews>
    <sheetView zoomScale="115" zoomScaleNormal="115" workbookViewId="0"/>
  </sheetViews>
  <sheetFormatPr defaultRowHeight="12.5"/>
  <cols>
    <col min="2" max="2" width="11.1796875" bestFit="1" customWidth="1"/>
    <col min="3" max="3" width="8.81640625" bestFit="1" customWidth="1"/>
    <col min="7" max="7" width="11.7265625" customWidth="1"/>
    <col min="8" max="8" width="13.1796875" style="111" customWidth="1"/>
    <col min="9" max="9" width="9.179687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zoomScale="130" zoomScaleNormal="130" workbookViewId="0"/>
  </sheetViews>
  <sheetFormatPr defaultRowHeight="12.5"/>
  <cols>
    <col min="2" max="2" width="11.1796875" bestFit="1" customWidth="1"/>
    <col min="3" max="3" width="8.81640625" bestFit="1" customWidth="1"/>
    <col min="7" max="7" width="13.1796875" bestFit="1" customWidth="1"/>
    <col min="8" max="8" width="13.54296875" style="111" bestFit="1" customWidth="1"/>
    <col min="9" max="9" width="9.179687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9CA6-E2A0-4FA3-BD5A-079332BA9A6B}">
  <dimension ref="A1:I37"/>
  <sheetViews>
    <sheetView zoomScale="130" zoomScaleNormal="130" workbookViewId="0"/>
  </sheetViews>
  <sheetFormatPr defaultRowHeight="12.5"/>
  <cols>
    <col min="2" max="2" width="11.1796875" bestFit="1" customWidth="1"/>
    <col min="3" max="3" width="8.81640625" bestFit="1" customWidth="1"/>
    <col min="7" max="7" width="13.1796875" bestFit="1" customWidth="1"/>
    <col min="8" max="8" width="13.54296875" style="111" bestFit="1" customWidth="1"/>
    <col min="9" max="9" width="9.179687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Emp Commission</vt:lpstr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</vt:lpstr>
      <vt:lpstr>Contact List</vt:lpstr>
      <vt:lpstr>Formula Auditing</vt:lpstr>
      <vt:lpstr>Transactions</vt:lpstr>
      <vt:lpstr>Transaction Summary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Test Edited Macro</vt:lpstr>
      <vt:lpstr>Comm</vt:lpstr>
      <vt:lpstr>MonthlyGoal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Praful Chaudhari</cp:lastModifiedBy>
  <cp:lastPrinted>2016-02-22T19:48:39Z</cp:lastPrinted>
  <dcterms:created xsi:type="dcterms:W3CDTF">2001-09-07T21:10:35Z</dcterms:created>
  <dcterms:modified xsi:type="dcterms:W3CDTF">2026-05-15T09:21:36Z</dcterms:modified>
</cp:coreProperties>
</file>