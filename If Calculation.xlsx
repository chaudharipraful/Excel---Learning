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IF &amp; Nested IF in Excel\"/>
    </mc:Choice>
  </mc:AlternateContent>
  <xr:revisionPtr revIDLastSave="0" documentId="13_ncr:1_{593A3E7E-F00F-49CA-815B-15639A1EED79}" xr6:coauthVersionLast="47" xr6:coauthVersionMax="47" xr10:uidLastSave="{00000000-0000-0000-0000-000000000000}"/>
  <bookViews>
    <workbookView xWindow="-110" yWindow="-110" windowWidth="19420" windowHeight="10420" activeTab="3" xr2:uid="{DA4B2C8C-4103-4D8A-BD92-BCB727311DAD}"/>
  </bookViews>
  <sheets>
    <sheet name="Using IF" sheetId="1" r:id="rId1"/>
    <sheet name="Nested IF" sheetId="2" r:id="rId2"/>
    <sheet name="Modified Nested IF" sheetId="3" r:id="rId3"/>
    <sheet name="Count IF" sheetId="4" r:id="rId4"/>
  </sheets>
  <definedNames>
    <definedName name="MonthlyGoal">'Using IF'!$I$2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4" l="1"/>
  <c r="F9" i="4"/>
  <c r="H9" i="4" s="1"/>
  <c r="I9" i="4" s="1"/>
  <c r="F8" i="4"/>
  <c r="H8" i="4" s="1"/>
  <c r="I8" i="4" s="1"/>
  <c r="H7" i="4"/>
  <c r="I7" i="4" s="1"/>
  <c r="F7" i="4"/>
  <c r="F6" i="4"/>
  <c r="H6" i="4" s="1"/>
  <c r="I6" i="4" s="1"/>
  <c r="F5" i="4"/>
  <c r="H5" i="4" s="1"/>
  <c r="I5" i="4" s="1"/>
  <c r="I6" i="3"/>
  <c r="I7" i="3"/>
  <c r="I8" i="3"/>
  <c r="I9" i="3"/>
  <c r="I5" i="3"/>
  <c r="F9" i="3"/>
  <c r="H9" i="3" s="1"/>
  <c r="F8" i="3"/>
  <c r="H8" i="3" s="1"/>
  <c r="H7" i="3"/>
  <c r="F7" i="3"/>
  <c r="F6" i="3"/>
  <c r="H6" i="3" s="1"/>
  <c r="F5" i="3"/>
  <c r="H5" i="3" s="1"/>
  <c r="I6" i="2"/>
  <c r="I7" i="2"/>
  <c r="I8" i="2"/>
  <c r="I9" i="2"/>
  <c r="I5" i="2"/>
  <c r="F9" i="2"/>
  <c r="H9" i="2" s="1"/>
  <c r="F8" i="2"/>
  <c r="H8" i="2" s="1"/>
  <c r="F7" i="2"/>
  <c r="H7" i="2" s="1"/>
  <c r="F6" i="2"/>
  <c r="H6" i="2" s="1"/>
  <c r="F5" i="2"/>
  <c r="H5" i="2" s="1"/>
  <c r="F9" i="1"/>
  <c r="H9" i="1" s="1"/>
  <c r="F8" i="1"/>
  <c r="H8" i="1" s="1"/>
  <c r="F7" i="1"/>
  <c r="H7" i="1" s="1"/>
  <c r="F6" i="1"/>
  <c r="H6" i="1" s="1"/>
  <c r="F5" i="1"/>
  <c r="H5" i="1" s="1"/>
</calcChain>
</file>

<file path=xl/sharedStrings.xml><?xml version="1.0" encoding="utf-8"?>
<sst xmlns="http://schemas.openxmlformats.org/spreadsheetml/2006/main" count="68" uniqueCount="17">
  <si>
    <t>Sales Figures - December 2026</t>
  </si>
  <si>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</si>
  <si>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</si>
  <si>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</si>
  <si>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</si>
  <si>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</si>
  <si>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</si>
  <si>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</si>
  <si>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</si>
  <si>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</si>
  <si>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</si>
  <si>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</si>
  <si>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</si>
  <si>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R. Smith</t>
  </si>
  <si>
    <t>D. O'Brian</t>
  </si>
  <si>
    <t>Weekly Total</t>
  </si>
  <si>
    <t>Current number of sales people who haved reached their goal: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</si>
</sst>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_(&quot;$&quot;* #,##0_);_(&quot;$&quot;* \(#,##0\);_(&quot;$&quot;* &quot;-&quot;??_);_(@_)"/>
    <numFmt numFmtId="166" formatCode="0.00_);[Red]\(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44" fontId="4" fillId="2" borderId="2" xfId="1" applyFont="1" applyFill="1" applyBorder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right"/>
    </xf>
    <xf numFmtId="165" fontId="0" fillId="0" borderId="8" xfId="1" applyNumberFormat="1" applyFont="1" applyBorder="1" applyAlignment="1">
      <alignment horizontal="left"/>
    </xf>
    <xf numFmtId="165" fontId="7" fillId="0" borderId="9" xfId="1" applyNumberFormat="1" applyFont="1" applyBorder="1" applyAlignment="1">
      <alignment horizontal="center"/>
    </xf>
    <xf numFmtId="166" fontId="3" fillId="5" borderId="10" xfId="0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right"/>
    </xf>
    <xf numFmtId="0" fontId="6" fillId="4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4" fillId="3" borderId="12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4" fillId="3" borderId="14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042E-529F-408E-BF54-B174612ADEBD}">
  <dimension ref="A1:I12"/>
  <sheetViews>
    <sheetView workbookViewId="0">
      <selection sqref="A1:XFD1048576"/>
    </sheetView>
  </sheetViews>
  <sheetFormatPr defaultRowHeight="14.5" x14ac:dyDescent="0.35"/>
  <cols>
    <col min="1" max="1" width="15.54296875" customWidth="1"/>
    <col min="2" max="2" width="11.26953125" customWidth="1"/>
    <col min="3" max="3" width="11.54296875" customWidth="1"/>
    <col min="4" max="4" width="11.81640625" customWidth="1"/>
    <col min="5" max="5" width="11.7265625" bestFit="1" customWidth="1"/>
    <col min="6" max="6" width="11.26953125" customWidth="1"/>
    <col min="7" max="7" width="1.1796875" customWidth="1"/>
    <col min="8" max="8" width="20.1796875" customWidth="1"/>
    <col min="9" max="9" width="15.81640625" customWidth="1"/>
  </cols>
  <sheetData>
    <row r="1" spans="1:9" ht="15" thickBot="1" x14ac:dyDescent="0.4"/>
    <row r="2" spans="1:9" ht="16" thickBot="1" x14ac:dyDescent="0.4">
      <c r="A2" s="1" t="s">
        <v>0</v>
      </c>
      <c r="B2" s="1"/>
      <c r="C2" s="1"/>
      <c r="D2" s="1"/>
      <c r="E2" s="1"/>
      <c r="F2" s="1"/>
      <c r="H2" s="2" t="s">
        <v>1</v>
      </c>
      <c r="I2" s="3">
        <v>34000</v>
      </c>
    </row>
    <row r="3" spans="1:9" ht="15.5" thickTop="1" thickBot="1" x14ac:dyDescent="0.4"/>
    <row r="4" spans="1:9" x14ac:dyDescent="0.3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H4" s="7" t="s">
        <v>8</v>
      </c>
      <c r="I4" s="8" t="s">
        <v>9</v>
      </c>
    </row>
    <row r="5" spans="1:9" ht="15.5" x14ac:dyDescent="0.35">
      <c r="A5" s="9" t="s">
        <v>10</v>
      </c>
      <c r="B5" s="10">
        <v>9550</v>
      </c>
      <c r="C5" s="10">
        <v>9230</v>
      </c>
      <c r="D5" s="10">
        <v>8500</v>
      </c>
      <c r="E5" s="10">
        <v>8965</v>
      </c>
      <c r="F5" s="11">
        <f>SUM(B5:E5)</f>
        <v>36245</v>
      </c>
      <c r="H5" s="12" t="str">
        <f>IF(F5&gt;=MonthlyGoal,"YES","NO")</f>
        <v>YES</v>
      </c>
      <c r="I5" s="13"/>
    </row>
    <row r="6" spans="1:9" ht="15.5" x14ac:dyDescent="0.35">
      <c r="A6" s="9" t="s">
        <v>11</v>
      </c>
      <c r="B6" s="10">
        <v>5975</v>
      </c>
      <c r="C6" s="10">
        <v>6900</v>
      </c>
      <c r="D6" s="10">
        <v>8500</v>
      </c>
      <c r="E6" s="10">
        <v>10100</v>
      </c>
      <c r="F6" s="11">
        <f>SUM(B6:E6)</f>
        <v>31475</v>
      </c>
      <c r="H6" s="12" t="str">
        <f>IF(F6&gt;=MonthlyGoal,"YES","NO")</f>
        <v>NO</v>
      </c>
      <c r="I6" s="13"/>
    </row>
    <row r="7" spans="1:9" ht="15.5" x14ac:dyDescent="0.35">
      <c r="A7" s="9" t="s">
        <v>12</v>
      </c>
      <c r="B7" s="10">
        <v>7425</v>
      </c>
      <c r="C7" s="10">
        <v>8580</v>
      </c>
      <c r="D7" s="10">
        <v>9910</v>
      </c>
      <c r="E7" s="10">
        <v>7512</v>
      </c>
      <c r="F7" s="11">
        <f>SUM(B7:E7)</f>
        <v>33427</v>
      </c>
      <c r="H7" s="12" t="str">
        <f>IF(F7&gt;=MonthlyGoal,"YES","NO")</f>
        <v>NO</v>
      </c>
      <c r="I7" s="13"/>
    </row>
    <row r="8" spans="1:9" ht="15.5" x14ac:dyDescent="0.35">
      <c r="A8" s="9" t="s">
        <v>13</v>
      </c>
      <c r="B8" s="10">
        <v>9560</v>
      </c>
      <c r="C8" s="10">
        <v>10150</v>
      </c>
      <c r="D8" s="10">
        <v>10200</v>
      </c>
      <c r="E8" s="10">
        <v>9795</v>
      </c>
      <c r="F8" s="11">
        <f>SUM(B8:E8)</f>
        <v>39705</v>
      </c>
      <c r="H8" s="12" t="str">
        <f>IF(F8&gt;=MonthlyGoal,"YES","NO")</f>
        <v>YES</v>
      </c>
      <c r="I8" s="13"/>
    </row>
    <row r="9" spans="1:9" ht="16" thickBot="1" x14ac:dyDescent="0.4">
      <c r="A9" s="14" t="s">
        <v>14</v>
      </c>
      <c r="B9" s="10">
        <v>7892</v>
      </c>
      <c r="C9" s="10">
        <v>7695</v>
      </c>
      <c r="D9" s="10">
        <v>9520</v>
      </c>
      <c r="E9" s="10">
        <v>10252</v>
      </c>
      <c r="F9" s="11">
        <f>SUM(B9:E9)</f>
        <v>35359</v>
      </c>
      <c r="H9" s="12" t="str">
        <f>IF(F9&gt;=MonthlyGoal,"YES","NO")</f>
        <v>YES</v>
      </c>
      <c r="I9" s="13"/>
    </row>
    <row r="10" spans="1:9" x14ac:dyDescent="0.35">
      <c r="A10" s="15" t="s">
        <v>15</v>
      </c>
      <c r="B10" s="10"/>
      <c r="C10" s="10"/>
      <c r="D10" s="10"/>
      <c r="E10" s="10"/>
    </row>
    <row r="11" spans="1:9" x14ac:dyDescent="0.35">
      <c r="A11" s="16"/>
    </row>
    <row r="12" spans="1:9" x14ac:dyDescent="0.35">
      <c r="A12" s="17" t="s">
        <v>16</v>
      </c>
      <c r="B12" s="18"/>
      <c r="C12" s="18"/>
      <c r="D12" s="18"/>
      <c r="E12" s="19"/>
    </row>
  </sheetData>
  <mergeCells count="2">
    <mergeCell ref="A2:F2"/>
    <mergeCell ref="A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5E80-7883-4EB7-AD59-FD2993934A1D}">
  <dimension ref="A1:I12"/>
  <sheetViews>
    <sheetView workbookViewId="0">
      <selection sqref="A1:XFD1048576"/>
    </sheetView>
  </sheetViews>
  <sheetFormatPr defaultRowHeight="14.5" x14ac:dyDescent="0.35"/>
  <cols>
    <col min="1" max="1" width="15.54296875" customWidth="1"/>
    <col min="2" max="2" width="11.26953125" customWidth="1"/>
    <col min="3" max="3" width="11.54296875" customWidth="1"/>
    <col min="4" max="4" width="11.81640625" customWidth="1"/>
    <col min="5" max="5" width="11.7265625" bestFit="1" customWidth="1"/>
    <col min="6" max="6" width="11.26953125" customWidth="1"/>
    <col min="7" max="7" width="1.1796875" customWidth="1"/>
    <col min="8" max="8" width="20.1796875" customWidth="1"/>
    <col min="9" max="9" width="15.81640625" customWidth="1"/>
  </cols>
  <sheetData>
    <row r="1" spans="1:9" ht="15" thickBot="1" x14ac:dyDescent="0.4"/>
    <row r="2" spans="1:9" ht="16" thickBot="1" x14ac:dyDescent="0.4">
      <c r="A2" s="1" t="s">
        <v>0</v>
      </c>
      <c r="B2" s="1"/>
      <c r="C2" s="1"/>
      <c r="D2" s="1"/>
      <c r="E2" s="1"/>
      <c r="F2" s="1"/>
      <c r="H2" s="2" t="s">
        <v>1</v>
      </c>
      <c r="I2" s="3">
        <v>34000</v>
      </c>
    </row>
    <row r="3" spans="1:9" ht="15.5" thickTop="1" thickBot="1" x14ac:dyDescent="0.4"/>
    <row r="4" spans="1:9" x14ac:dyDescent="0.3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H4" s="7" t="s">
        <v>8</v>
      </c>
      <c r="I4" s="8" t="s">
        <v>9</v>
      </c>
    </row>
    <row r="5" spans="1:9" ht="15.5" x14ac:dyDescent="0.35">
      <c r="A5" s="9" t="s">
        <v>10</v>
      </c>
      <c r="B5" s="10">
        <v>9550</v>
      </c>
      <c r="C5" s="10">
        <v>9230</v>
      </c>
      <c r="D5" s="10">
        <v>8500</v>
      </c>
      <c r="E5" s="10">
        <v>8965</v>
      </c>
      <c r="F5" s="11">
        <f>SUM(B5:E5)</f>
        <v>36245</v>
      </c>
      <c r="H5" s="12" t="str">
        <f>IF(F5&gt;=MonthlyGoal,"YES","NO")</f>
        <v>YES</v>
      </c>
      <c r="I5" s="13" t="str">
        <f>IF(AND(H5="YES",B5&gt;=8000,C5&gt;=8000,D5&gt;=8000,E5&gt;=8000),"YES BONUS","NO BONUS")</f>
        <v>YES BONUS</v>
      </c>
    </row>
    <row r="6" spans="1:9" ht="15.5" x14ac:dyDescent="0.35">
      <c r="A6" s="9" t="s">
        <v>11</v>
      </c>
      <c r="B6" s="10">
        <v>5975</v>
      </c>
      <c r="C6" s="10">
        <v>6900</v>
      </c>
      <c r="D6" s="10">
        <v>8500</v>
      </c>
      <c r="E6" s="10">
        <v>10100</v>
      </c>
      <c r="F6" s="11">
        <f>SUM(B6:E6)</f>
        <v>31475</v>
      </c>
      <c r="H6" s="12" t="str">
        <f>IF(F6&gt;=MonthlyGoal,"YES","NO")</f>
        <v>NO</v>
      </c>
      <c r="I6" s="13" t="str">
        <f t="shared" ref="I6:I9" si="0">IF(AND(H6="YES",B6&gt;=8000,C6&gt;=8000,D6&gt;=8000,E6&gt;=8000),"YES BONUS","NO BONUS")</f>
        <v>NO BONUS</v>
      </c>
    </row>
    <row r="7" spans="1:9" ht="15.5" x14ac:dyDescent="0.35">
      <c r="A7" s="9" t="s">
        <v>12</v>
      </c>
      <c r="B7" s="10">
        <v>7425</v>
      </c>
      <c r="C7" s="10">
        <v>8580</v>
      </c>
      <c r="D7" s="10">
        <v>9910</v>
      </c>
      <c r="E7" s="10">
        <v>7512</v>
      </c>
      <c r="F7" s="11">
        <f>SUM(B7:E7)</f>
        <v>33427</v>
      </c>
      <c r="H7" s="12" t="str">
        <f>IF(F7&gt;=MonthlyGoal,"YES","NO")</f>
        <v>NO</v>
      </c>
      <c r="I7" s="13" t="str">
        <f t="shared" si="0"/>
        <v>NO BONUS</v>
      </c>
    </row>
    <row r="8" spans="1:9" ht="15.5" x14ac:dyDescent="0.35">
      <c r="A8" s="9" t="s">
        <v>13</v>
      </c>
      <c r="B8" s="10">
        <v>9560</v>
      </c>
      <c r="C8" s="10">
        <v>10150</v>
      </c>
      <c r="D8" s="10">
        <v>10200</v>
      </c>
      <c r="E8" s="10">
        <v>9795</v>
      </c>
      <c r="F8" s="11">
        <f>SUM(B8:E8)</f>
        <v>39705</v>
      </c>
      <c r="H8" s="12" t="str">
        <f>IF(F8&gt;=MonthlyGoal,"YES","NO")</f>
        <v>YES</v>
      </c>
      <c r="I8" s="13" t="str">
        <f t="shared" si="0"/>
        <v>YES BONUS</v>
      </c>
    </row>
    <row r="9" spans="1:9" ht="16" thickBot="1" x14ac:dyDescent="0.4">
      <c r="A9" s="14" t="s">
        <v>14</v>
      </c>
      <c r="B9" s="10">
        <v>7892</v>
      </c>
      <c r="C9" s="10">
        <v>7695</v>
      </c>
      <c r="D9" s="10">
        <v>9520</v>
      </c>
      <c r="E9" s="10">
        <v>10252</v>
      </c>
      <c r="F9" s="11">
        <f>SUM(B9:E9)</f>
        <v>35359</v>
      </c>
      <c r="H9" s="12" t="str">
        <f>IF(F9&gt;=MonthlyGoal,"YES","NO")</f>
        <v>YES</v>
      </c>
      <c r="I9" s="13" t="str">
        <f t="shared" si="0"/>
        <v>NO BONUS</v>
      </c>
    </row>
    <row r="10" spans="1:9" x14ac:dyDescent="0.35">
      <c r="A10" s="15" t="s">
        <v>15</v>
      </c>
      <c r="B10" s="10"/>
      <c r="C10" s="10"/>
      <c r="D10" s="10"/>
      <c r="E10" s="10"/>
    </row>
    <row r="11" spans="1:9" x14ac:dyDescent="0.35">
      <c r="A11" s="16"/>
    </row>
    <row r="12" spans="1:9" x14ac:dyDescent="0.35">
      <c r="A12" s="17" t="s">
        <v>16</v>
      </c>
      <c r="B12" s="18"/>
      <c r="C12" s="18"/>
      <c r="D12" s="18"/>
      <c r="E12" s="19"/>
    </row>
  </sheetData>
  <mergeCells count="2">
    <mergeCell ref="A2:F2"/>
    <mergeCell ref="A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2241-B4C9-413A-ADDC-A9F63A31E241}">
  <dimension ref="A1:I12"/>
  <sheetViews>
    <sheetView workbookViewId="0">
      <selection sqref="A1:XFD1048576"/>
    </sheetView>
  </sheetViews>
  <sheetFormatPr defaultRowHeight="14.5" x14ac:dyDescent="0.35"/>
  <cols>
    <col min="1" max="1" width="15.54296875" customWidth="1"/>
    <col min="2" max="2" width="11.26953125" customWidth="1"/>
    <col min="3" max="3" width="11.54296875" customWidth="1"/>
    <col min="4" max="4" width="11.81640625" customWidth="1"/>
    <col min="5" max="5" width="11.7265625" bestFit="1" customWidth="1"/>
    <col min="6" max="6" width="11.26953125" customWidth="1"/>
    <col min="7" max="7" width="1.1796875" customWidth="1"/>
    <col min="8" max="8" width="20.1796875" customWidth="1"/>
    <col min="9" max="9" width="15.81640625" customWidth="1"/>
  </cols>
  <sheetData>
    <row r="1" spans="1:9" ht="15" thickBot="1" x14ac:dyDescent="0.4"/>
    <row r="2" spans="1:9" ht="16" thickBot="1" x14ac:dyDescent="0.4">
      <c r="A2" s="1" t="s">
        <v>0</v>
      </c>
      <c r="B2" s="1"/>
      <c r="C2" s="1"/>
      <c r="D2" s="1"/>
      <c r="E2" s="1"/>
      <c r="F2" s="1"/>
      <c r="H2" s="2" t="s">
        <v>1</v>
      </c>
      <c r="I2" s="3">
        <v>34000</v>
      </c>
    </row>
    <row r="3" spans="1:9" ht="15.5" thickTop="1" thickBot="1" x14ac:dyDescent="0.4"/>
    <row r="4" spans="1:9" x14ac:dyDescent="0.3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H4" s="7" t="s">
        <v>8</v>
      </c>
      <c r="I4" s="8" t="s">
        <v>9</v>
      </c>
    </row>
    <row r="5" spans="1:9" ht="15.5" x14ac:dyDescent="0.35">
      <c r="A5" s="9" t="s">
        <v>10</v>
      </c>
      <c r="B5" s="10">
        <v>9550</v>
      </c>
      <c r="C5" s="10">
        <v>9230</v>
      </c>
      <c r="D5" s="10">
        <v>8500</v>
      </c>
      <c r="E5" s="10">
        <v>8965</v>
      </c>
      <c r="F5" s="11">
        <f>SUM(B5:E5)</f>
        <v>36245</v>
      </c>
      <c r="H5" s="12" t="str">
        <f>IF(F5&gt;=MonthlyGoal,"YES","NO")</f>
        <v>YES</v>
      </c>
      <c r="I5" s="13" t="str">
        <f>IF(AND(H5="YES",MIN(B5:E5)&gt;=8000),"YES BONUS","NO BONUS")</f>
        <v>YES BONUS</v>
      </c>
    </row>
    <row r="6" spans="1:9" ht="15.5" x14ac:dyDescent="0.35">
      <c r="A6" s="9" t="s">
        <v>11</v>
      </c>
      <c r="B6" s="10">
        <v>5975</v>
      </c>
      <c r="C6" s="10">
        <v>6900</v>
      </c>
      <c r="D6" s="10">
        <v>8500</v>
      </c>
      <c r="E6" s="10">
        <v>10100</v>
      </c>
      <c r="F6" s="11">
        <f>SUM(B6:E6)</f>
        <v>31475</v>
      </c>
      <c r="H6" s="12" t="str">
        <f>IF(F6&gt;=MonthlyGoal,"YES","NO")</f>
        <v>NO</v>
      </c>
      <c r="I6" s="13" t="str">
        <f t="shared" ref="I6:I9" si="0">IF(AND(H6="YES",MIN(B6:E6)&gt;=8000),"YES BONUS","NO BONUS")</f>
        <v>NO BONUS</v>
      </c>
    </row>
    <row r="7" spans="1:9" ht="15.5" x14ac:dyDescent="0.35">
      <c r="A7" s="9" t="s">
        <v>12</v>
      </c>
      <c r="B7" s="10">
        <v>7425</v>
      </c>
      <c r="C7" s="10">
        <v>8580</v>
      </c>
      <c r="D7" s="10">
        <v>9910</v>
      </c>
      <c r="E7" s="10">
        <v>7512</v>
      </c>
      <c r="F7" s="11">
        <f>SUM(B7:E7)</f>
        <v>33427</v>
      </c>
      <c r="H7" s="12" t="str">
        <f>IF(F7&gt;=MonthlyGoal,"YES","NO")</f>
        <v>NO</v>
      </c>
      <c r="I7" s="13" t="str">
        <f t="shared" si="0"/>
        <v>NO BONUS</v>
      </c>
    </row>
    <row r="8" spans="1:9" ht="15.5" x14ac:dyDescent="0.35">
      <c r="A8" s="9" t="s">
        <v>13</v>
      </c>
      <c r="B8" s="10">
        <v>9560</v>
      </c>
      <c r="C8" s="10">
        <v>10150</v>
      </c>
      <c r="D8" s="10">
        <v>10200</v>
      </c>
      <c r="E8" s="10">
        <v>9795</v>
      </c>
      <c r="F8" s="11">
        <f>SUM(B8:E8)</f>
        <v>39705</v>
      </c>
      <c r="H8" s="12" t="str">
        <f>IF(F8&gt;=MonthlyGoal,"YES","NO")</f>
        <v>YES</v>
      </c>
      <c r="I8" s="13" t="str">
        <f t="shared" si="0"/>
        <v>YES BONUS</v>
      </c>
    </row>
    <row r="9" spans="1:9" ht="16" thickBot="1" x14ac:dyDescent="0.4">
      <c r="A9" s="14" t="s">
        <v>14</v>
      </c>
      <c r="B9" s="10">
        <v>7892</v>
      </c>
      <c r="C9" s="10">
        <v>7695</v>
      </c>
      <c r="D9" s="10">
        <v>9520</v>
      </c>
      <c r="E9" s="10">
        <v>10252</v>
      </c>
      <c r="F9" s="11">
        <f>SUM(B9:E9)</f>
        <v>35359</v>
      </c>
      <c r="H9" s="12" t="str">
        <f>IF(F9&gt;=MonthlyGoal,"YES","NO")</f>
        <v>YES</v>
      </c>
      <c r="I9" s="13" t="str">
        <f t="shared" si="0"/>
        <v>NO BONUS</v>
      </c>
    </row>
    <row r="10" spans="1:9" x14ac:dyDescent="0.35">
      <c r="A10" s="15" t="s">
        <v>15</v>
      </c>
      <c r="B10" s="10"/>
      <c r="C10" s="10"/>
      <c r="D10" s="10"/>
      <c r="E10" s="10"/>
    </row>
    <row r="11" spans="1:9" x14ac:dyDescent="0.35">
      <c r="A11" s="16"/>
    </row>
    <row r="12" spans="1:9" x14ac:dyDescent="0.35">
      <c r="A12" s="17" t="s">
        <v>16</v>
      </c>
      <c r="B12" s="18"/>
      <c r="C12" s="18"/>
      <c r="D12" s="18"/>
      <c r="E12" s="19"/>
    </row>
  </sheetData>
  <mergeCells count="2">
    <mergeCell ref="A2:F2"/>
    <mergeCell ref="A12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77F0-873F-4258-92F6-75D1090135E9}">
  <dimension ref="A1:I12"/>
  <sheetViews>
    <sheetView tabSelected="1" workbookViewId="0">
      <selection activeCell="E13" sqref="E13"/>
    </sheetView>
  </sheetViews>
  <sheetFormatPr defaultRowHeight="14.5" x14ac:dyDescent="0.35"/>
  <cols>
    <col min="1" max="1" width="15.54296875" customWidth="1"/>
    <col min="2" max="2" width="11.26953125" customWidth="1"/>
    <col min="3" max="3" width="11.54296875" customWidth="1"/>
    <col min="4" max="4" width="11.81640625" customWidth="1"/>
    <col min="5" max="5" width="11.7265625" bestFit="1" customWidth="1"/>
    <col min="6" max="6" width="11.26953125" customWidth="1"/>
    <col min="7" max="7" width="1.1796875" customWidth="1"/>
    <col min="8" max="8" width="20.1796875" customWidth="1"/>
    <col min="9" max="9" width="15.81640625" customWidth="1"/>
  </cols>
  <sheetData>
    <row r="1" spans="1:9" ht="15" thickBot="1" x14ac:dyDescent="0.4"/>
    <row r="2" spans="1:9" ht="16" thickBot="1" x14ac:dyDescent="0.4">
      <c r="A2" s="1" t="s">
        <v>0</v>
      </c>
      <c r="B2" s="1"/>
      <c r="C2" s="1"/>
      <c r="D2" s="1"/>
      <c r="E2" s="1"/>
      <c r="F2" s="1"/>
      <c r="H2" s="2" t="s">
        <v>1</v>
      </c>
      <c r="I2" s="3">
        <v>34000</v>
      </c>
    </row>
    <row r="3" spans="1:9" ht="15.5" thickTop="1" thickBot="1" x14ac:dyDescent="0.4"/>
    <row r="4" spans="1:9" x14ac:dyDescent="0.3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H4" s="7" t="s">
        <v>8</v>
      </c>
      <c r="I4" s="8" t="s">
        <v>9</v>
      </c>
    </row>
    <row r="5" spans="1:9" ht="15.5" x14ac:dyDescent="0.35">
      <c r="A5" s="9" t="s">
        <v>10</v>
      </c>
      <c r="B5" s="10">
        <v>9550</v>
      </c>
      <c r="C5" s="10">
        <v>9230</v>
      </c>
      <c r="D5" s="10">
        <v>8500</v>
      </c>
      <c r="E5" s="10">
        <v>8965</v>
      </c>
      <c r="F5" s="11">
        <f>SUM(B5:E5)</f>
        <v>36245</v>
      </c>
      <c r="H5" s="12" t="str">
        <f>IF(F5&gt;=MonthlyGoal,"YES","NO")</f>
        <v>YES</v>
      </c>
      <c r="I5" s="13" t="str">
        <f>IF(AND(H5="YES",MIN(B5:E5)&gt;=8000),"YES BONUS","NO BONUS")</f>
        <v>YES BONUS</v>
      </c>
    </row>
    <row r="6" spans="1:9" ht="15.5" x14ac:dyDescent="0.35">
      <c r="A6" s="9" t="s">
        <v>11</v>
      </c>
      <c r="B6" s="10">
        <v>5975</v>
      </c>
      <c r="C6" s="10">
        <v>6900</v>
      </c>
      <c r="D6" s="10">
        <v>8500</v>
      </c>
      <c r="E6" s="10">
        <v>10100</v>
      </c>
      <c r="F6" s="11">
        <f>SUM(B6:E6)</f>
        <v>31475</v>
      </c>
      <c r="H6" s="12" t="str">
        <f>IF(F6&gt;=MonthlyGoal,"YES","NO")</f>
        <v>NO</v>
      </c>
      <c r="I6" s="13" t="str">
        <f t="shared" ref="I6:I9" si="0">IF(AND(H6="YES",MIN(B6:E6)&gt;=8000),"YES BONUS","NO BONUS")</f>
        <v>NO BONUS</v>
      </c>
    </row>
    <row r="7" spans="1:9" ht="15.5" x14ac:dyDescent="0.35">
      <c r="A7" s="9" t="s">
        <v>12</v>
      </c>
      <c r="B7" s="10">
        <v>7425</v>
      </c>
      <c r="C7" s="10">
        <v>8580</v>
      </c>
      <c r="D7" s="10">
        <v>9910</v>
      </c>
      <c r="E7" s="10">
        <v>7512</v>
      </c>
      <c r="F7" s="11">
        <f>SUM(B7:E7)</f>
        <v>33427</v>
      </c>
      <c r="H7" s="12" t="str">
        <f>IF(F7&gt;=MonthlyGoal,"YES","NO")</f>
        <v>NO</v>
      </c>
      <c r="I7" s="13" t="str">
        <f t="shared" si="0"/>
        <v>NO BONUS</v>
      </c>
    </row>
    <row r="8" spans="1:9" ht="15.5" x14ac:dyDescent="0.35">
      <c r="A8" s="9" t="s">
        <v>13</v>
      </c>
      <c r="B8" s="10">
        <v>9560</v>
      </c>
      <c r="C8" s="10">
        <v>10150</v>
      </c>
      <c r="D8" s="10">
        <v>10200</v>
      </c>
      <c r="E8" s="10">
        <v>9795</v>
      </c>
      <c r="F8" s="11">
        <f>SUM(B8:E8)</f>
        <v>39705</v>
      </c>
      <c r="H8" s="12" t="str">
        <f>IF(F8&gt;=MonthlyGoal,"YES","NO")</f>
        <v>YES</v>
      </c>
      <c r="I8" s="13" t="str">
        <f t="shared" si="0"/>
        <v>YES BONUS</v>
      </c>
    </row>
    <row r="9" spans="1:9" ht="16" thickBot="1" x14ac:dyDescent="0.4">
      <c r="A9" s="14" t="s">
        <v>14</v>
      </c>
      <c r="B9" s="10">
        <v>7892</v>
      </c>
      <c r="C9" s="10">
        <v>7695</v>
      </c>
      <c r="D9" s="10">
        <v>9520</v>
      </c>
      <c r="E9" s="10">
        <v>10252</v>
      </c>
      <c r="F9" s="11">
        <f>SUM(B9:E9)</f>
        <v>35359</v>
      </c>
      <c r="H9" s="12" t="str">
        <f>IF(F9&gt;=MonthlyGoal,"YES","NO")</f>
        <v>YES</v>
      </c>
      <c r="I9" s="13" t="str">
        <f t="shared" si="0"/>
        <v>NO BONUS</v>
      </c>
    </row>
    <row r="10" spans="1:9" x14ac:dyDescent="0.35">
      <c r="A10" s="15" t="s">
        <v>15</v>
      </c>
      <c r="B10" s="10"/>
      <c r="C10" s="10"/>
      <c r="D10" s="10"/>
      <c r="E10" s="10"/>
    </row>
    <row r="11" spans="1:9" ht="15" thickBot="1" x14ac:dyDescent="0.4">
      <c r="A11" s="16"/>
    </row>
    <row r="12" spans="1:9" ht="15" thickBot="1" x14ac:dyDescent="0.4">
      <c r="A12" s="17" t="s">
        <v>16</v>
      </c>
      <c r="B12" s="18"/>
      <c r="C12" s="18"/>
      <c r="D12" s="18"/>
      <c r="E12" s="18"/>
      <c r="F12" s="20">
        <f>COUNTIF(H5:H9,"YES")</f>
        <v>3</v>
      </c>
    </row>
  </sheetData>
  <mergeCells count="2">
    <mergeCell ref="A2:F2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Using IF</vt:lpstr>
      <vt:lpstr>Nested IF</vt:lpstr>
      <vt:lpstr>Modified Nested IF</vt:lpstr>
      <vt:lpstr>Count IF</vt:lpstr>
      <vt:lpstr>MonthlyGoal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2026-05-13T09:18:27Z</dcterms:created>
  <dcterms:modified xsi:type="dcterms:W3CDTF">2026-05-13T09:35:10Z</dcterms:modified>
</cp:coreProperties>
</file>